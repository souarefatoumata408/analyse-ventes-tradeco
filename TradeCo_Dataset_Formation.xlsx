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slicers/slicer1.xml" ContentType="application/vnd.ms-excel.slicer+xml"/>
  <Override PartName="/xl/timelines/timeline1.xml" ContentType="application/vnd.ms-excel.timelin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6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TI INFORMATIQUE\Desktop\FORMATION ADN\"/>
    </mc:Choice>
  </mc:AlternateContent>
  <xr:revisionPtr revIDLastSave="0" documentId="13_ncr:1_{AD22B9C0-B0E5-4D5D-8D45-432FED2D98C4}" xr6:coauthVersionLast="47" xr6:coauthVersionMax="47" xr10:uidLastSave="{00000000-0000-0000-0000-000000000000}"/>
  <bookViews>
    <workbookView xWindow="-120" yWindow="-120" windowWidth="20730" windowHeight="11160" tabRatio="500" firstSheet="8" activeTab="10" xr2:uid="{00000000-000D-0000-FFFF-FFFF00000000}"/>
  </bookViews>
  <sheets>
    <sheet name="🗂️ Données_v1" sheetId="9" r:id="rId1"/>
    <sheet name="Résumé_Nettoyage" sheetId="10" r:id="rId2"/>
    <sheet name="📋 README" sheetId="1" r:id="rId3"/>
    <sheet name="🗂️ Données_Brutes" sheetId="2" r:id="rId4"/>
    <sheet name="Fiche_Audit" sheetId="8" r:id="rId5"/>
    <sheet name="✅ Données_Propres" sheetId="3" r:id="rId6"/>
    <sheet name="📊 Analyse" sheetId="4" r:id="rId7"/>
    <sheet name="🔄 TCD" sheetId="5" r:id="rId8"/>
    <sheet name="📈 Graphiques" sheetId="6" r:id="rId9"/>
    <sheet name="📊 TCD" sheetId="11" r:id="rId10"/>
    <sheet name="🏆 DASHBOARD" sheetId="7" r:id="rId11"/>
  </sheets>
  <definedNames>
    <definedName name="_xlnm._FilterDatabase" localSheetId="3" hidden="1">'🗂️ Données_Brutes'!$A$1:$M$2046</definedName>
    <definedName name="_xlnm._FilterDatabase" localSheetId="0" hidden="1">'🗂️ Données_v1'!$A$1:$M$2001</definedName>
    <definedName name="ChronologieNative_Date_Commande">#N/A</definedName>
    <definedName name="Segment_Catégorie">#N/A</definedName>
    <definedName name="Segment_Région">#N/A</definedName>
    <definedName name="Segment_Statut_Commande">#N/A</definedName>
  </definedNames>
  <calcPr calcId="191029"/>
  <pivotCaches>
    <pivotCache cacheId="0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6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5" i="4" l="1"/>
  <c r="Q5" i="4"/>
  <c r="L5" i="4"/>
  <c r="K5" i="4"/>
  <c r="B6" i="4"/>
  <c r="A3" i="7"/>
  <c r="R4" i="7"/>
  <c r="K14" i="11"/>
  <c r="K5" i="11"/>
  <c r="K6" i="11"/>
  <c r="K7" i="11"/>
  <c r="K8" i="11"/>
  <c r="K9" i="11"/>
  <c r="K10" i="11"/>
  <c r="K11" i="11"/>
  <c r="K12" i="11"/>
  <c r="K13" i="11"/>
  <c r="K4" i="11"/>
  <c r="V5" i="4"/>
  <c r="V6" i="4"/>
  <c r="V7" i="4"/>
  <c r="V8" i="4"/>
  <c r="V9" i="4"/>
  <c r="F6" i="4"/>
  <c r="P6" i="4"/>
  <c r="P7" i="4"/>
  <c r="P8" i="4"/>
  <c r="P9" i="4"/>
  <c r="P5" i="4"/>
  <c r="J5" i="4"/>
  <c r="F9" i="4"/>
  <c r="F8" i="4"/>
  <c r="F7" i="4"/>
  <c r="F5" i="4"/>
  <c r="B4" i="4"/>
  <c r="B9" i="4"/>
  <c r="B11" i="4"/>
  <c r="J12" i="4"/>
  <c r="J7" i="4"/>
  <c r="J9" i="4"/>
  <c r="J13" i="4"/>
  <c r="J14" i="4"/>
  <c r="J6" i="4"/>
  <c r="J11" i="4"/>
  <c r="J8" i="4"/>
  <c r="J10" i="4"/>
  <c r="C11" i="4"/>
  <c r="A2002" i="9"/>
  <c r="G2002" i="9"/>
  <c r="J2001" i="9"/>
  <c r="K2001" i="9" s="1"/>
  <c r="J2000" i="9"/>
  <c r="K2000" i="9" s="1"/>
  <c r="J1999" i="9"/>
  <c r="K1999" i="9" s="1"/>
  <c r="J1998" i="9"/>
  <c r="K1998" i="9" s="1"/>
  <c r="J1997" i="9"/>
  <c r="K1997" i="9" s="1"/>
  <c r="J1996" i="9"/>
  <c r="K1996" i="9" s="1"/>
  <c r="J1995" i="9"/>
  <c r="K1995" i="9" s="1"/>
  <c r="J1994" i="9"/>
  <c r="K1994" i="9" s="1"/>
  <c r="J1993" i="9"/>
  <c r="K1993" i="9" s="1"/>
  <c r="J1992" i="9"/>
  <c r="K1992" i="9" s="1"/>
  <c r="J1991" i="9"/>
  <c r="K1991" i="9" s="1"/>
  <c r="J1990" i="9"/>
  <c r="K1990" i="9" s="1"/>
  <c r="J1989" i="9"/>
  <c r="K1989" i="9" s="1"/>
  <c r="J1988" i="9"/>
  <c r="K1988" i="9" s="1"/>
  <c r="J1987" i="9"/>
  <c r="K1987" i="9" s="1"/>
  <c r="J1986" i="9"/>
  <c r="K1986" i="9" s="1"/>
  <c r="J1985" i="9"/>
  <c r="K1985" i="9" s="1"/>
  <c r="J1984" i="9"/>
  <c r="K1984" i="9" s="1"/>
  <c r="J1983" i="9"/>
  <c r="K1983" i="9" s="1"/>
  <c r="J1982" i="9"/>
  <c r="K1982" i="9" s="1"/>
  <c r="J1981" i="9"/>
  <c r="K1981" i="9" s="1"/>
  <c r="J1980" i="9"/>
  <c r="K1980" i="9" s="1"/>
  <c r="J1979" i="9"/>
  <c r="K1979" i="9" s="1"/>
  <c r="J1978" i="9"/>
  <c r="K1978" i="9" s="1"/>
  <c r="J1977" i="9"/>
  <c r="K1977" i="9" s="1"/>
  <c r="J1976" i="9"/>
  <c r="K1976" i="9" s="1"/>
  <c r="J1975" i="9"/>
  <c r="K1975" i="9" s="1"/>
  <c r="J1974" i="9"/>
  <c r="K1974" i="9" s="1"/>
  <c r="J1973" i="9"/>
  <c r="K1973" i="9" s="1"/>
  <c r="J1972" i="9"/>
  <c r="K1972" i="9" s="1"/>
  <c r="J1971" i="9"/>
  <c r="K1971" i="9" s="1"/>
  <c r="J1970" i="9"/>
  <c r="K1970" i="9" s="1"/>
  <c r="J1969" i="9"/>
  <c r="K1969" i="9" s="1"/>
  <c r="J1968" i="9"/>
  <c r="K1968" i="9" s="1"/>
  <c r="J1967" i="9"/>
  <c r="K1967" i="9" s="1"/>
  <c r="J1966" i="9"/>
  <c r="K1966" i="9" s="1"/>
  <c r="J1965" i="9"/>
  <c r="K1965" i="9" s="1"/>
  <c r="J1964" i="9"/>
  <c r="K1964" i="9" s="1"/>
  <c r="J1963" i="9"/>
  <c r="K1963" i="9" s="1"/>
  <c r="J1962" i="9"/>
  <c r="K1962" i="9" s="1"/>
  <c r="J1961" i="9"/>
  <c r="K1961" i="9" s="1"/>
  <c r="J1960" i="9"/>
  <c r="K1960" i="9" s="1"/>
  <c r="J1959" i="9"/>
  <c r="K1959" i="9" s="1"/>
  <c r="J1958" i="9"/>
  <c r="K1958" i="9" s="1"/>
  <c r="J1957" i="9"/>
  <c r="K1957" i="9" s="1"/>
  <c r="J1956" i="9"/>
  <c r="K1956" i="9" s="1"/>
  <c r="J1955" i="9"/>
  <c r="K1955" i="9" s="1"/>
  <c r="J1954" i="9"/>
  <c r="K1954" i="9" s="1"/>
  <c r="J1953" i="9"/>
  <c r="K1953" i="9" s="1"/>
  <c r="J1952" i="9"/>
  <c r="K1952" i="9" s="1"/>
  <c r="J1951" i="9"/>
  <c r="K1951" i="9" s="1"/>
  <c r="J1950" i="9"/>
  <c r="K1950" i="9" s="1"/>
  <c r="J1949" i="9"/>
  <c r="K1949" i="9" s="1"/>
  <c r="J1948" i="9"/>
  <c r="K1948" i="9" s="1"/>
  <c r="J1947" i="9"/>
  <c r="K1947" i="9" s="1"/>
  <c r="J1946" i="9"/>
  <c r="K1946" i="9" s="1"/>
  <c r="J1945" i="9"/>
  <c r="K1945" i="9" s="1"/>
  <c r="J1944" i="9"/>
  <c r="K1944" i="9" s="1"/>
  <c r="J1943" i="9"/>
  <c r="K1943" i="9" s="1"/>
  <c r="J1942" i="9"/>
  <c r="K1942" i="9" s="1"/>
  <c r="J1941" i="9"/>
  <c r="K1941" i="9" s="1"/>
  <c r="J1940" i="9"/>
  <c r="K1940" i="9" s="1"/>
  <c r="J1939" i="9"/>
  <c r="K1939" i="9" s="1"/>
  <c r="J1938" i="9"/>
  <c r="K1938" i="9" s="1"/>
  <c r="J1937" i="9"/>
  <c r="K1937" i="9" s="1"/>
  <c r="J1936" i="9"/>
  <c r="K1936" i="9" s="1"/>
  <c r="J1935" i="9"/>
  <c r="K1935" i="9" s="1"/>
  <c r="J1934" i="9"/>
  <c r="K1934" i="9" s="1"/>
  <c r="J1933" i="9"/>
  <c r="K1933" i="9" s="1"/>
  <c r="J1932" i="9"/>
  <c r="K1932" i="9" s="1"/>
  <c r="J1931" i="9"/>
  <c r="K1931" i="9" s="1"/>
  <c r="J1930" i="9"/>
  <c r="K1930" i="9" s="1"/>
  <c r="J1929" i="9"/>
  <c r="K1929" i="9" s="1"/>
  <c r="J1928" i="9"/>
  <c r="K1928" i="9" s="1"/>
  <c r="J1927" i="9"/>
  <c r="K1927" i="9" s="1"/>
  <c r="J1926" i="9"/>
  <c r="K1926" i="9" s="1"/>
  <c r="J1925" i="9"/>
  <c r="K1925" i="9" s="1"/>
  <c r="J1924" i="9"/>
  <c r="K1924" i="9" s="1"/>
  <c r="J1923" i="9"/>
  <c r="K1923" i="9" s="1"/>
  <c r="J1922" i="9"/>
  <c r="K1922" i="9" s="1"/>
  <c r="J1921" i="9"/>
  <c r="K1921" i="9" s="1"/>
  <c r="J1920" i="9"/>
  <c r="K1920" i="9" s="1"/>
  <c r="J1919" i="9"/>
  <c r="K1919" i="9" s="1"/>
  <c r="J1918" i="9"/>
  <c r="K1918" i="9" s="1"/>
  <c r="J1917" i="9"/>
  <c r="K1917" i="9" s="1"/>
  <c r="J1916" i="9"/>
  <c r="K1916" i="9" s="1"/>
  <c r="J1915" i="9"/>
  <c r="K1915" i="9" s="1"/>
  <c r="J1914" i="9"/>
  <c r="K1914" i="9" s="1"/>
  <c r="J1913" i="9"/>
  <c r="K1913" i="9" s="1"/>
  <c r="J1912" i="9"/>
  <c r="K1912" i="9" s="1"/>
  <c r="J1911" i="9"/>
  <c r="K1911" i="9" s="1"/>
  <c r="J1910" i="9"/>
  <c r="K1910" i="9" s="1"/>
  <c r="J1909" i="9"/>
  <c r="K1909" i="9" s="1"/>
  <c r="J1908" i="9"/>
  <c r="K1908" i="9" s="1"/>
  <c r="J1907" i="9"/>
  <c r="K1907" i="9" s="1"/>
  <c r="J1906" i="9"/>
  <c r="K1906" i="9" s="1"/>
  <c r="J1905" i="9"/>
  <c r="K1905" i="9" s="1"/>
  <c r="J1904" i="9"/>
  <c r="K1904" i="9" s="1"/>
  <c r="J1903" i="9"/>
  <c r="K1903" i="9" s="1"/>
  <c r="J1902" i="9"/>
  <c r="K1902" i="9" s="1"/>
  <c r="J1901" i="9"/>
  <c r="K1901" i="9" s="1"/>
  <c r="J1900" i="9"/>
  <c r="K1900" i="9" s="1"/>
  <c r="J1899" i="9"/>
  <c r="K1899" i="9" s="1"/>
  <c r="J1898" i="9"/>
  <c r="K1898" i="9" s="1"/>
  <c r="J1897" i="9"/>
  <c r="K1897" i="9" s="1"/>
  <c r="J1896" i="9"/>
  <c r="K1896" i="9" s="1"/>
  <c r="J1895" i="9"/>
  <c r="K1895" i="9" s="1"/>
  <c r="J1894" i="9"/>
  <c r="K1894" i="9" s="1"/>
  <c r="J1893" i="9"/>
  <c r="K1893" i="9" s="1"/>
  <c r="J1892" i="9"/>
  <c r="K1892" i="9" s="1"/>
  <c r="J1891" i="9"/>
  <c r="K1891" i="9" s="1"/>
  <c r="J1890" i="9"/>
  <c r="K1890" i="9" s="1"/>
  <c r="J1889" i="9"/>
  <c r="K1889" i="9" s="1"/>
  <c r="J1888" i="9"/>
  <c r="K1888" i="9" s="1"/>
  <c r="J1887" i="9"/>
  <c r="K1887" i="9" s="1"/>
  <c r="J1886" i="9"/>
  <c r="K1886" i="9" s="1"/>
  <c r="J1885" i="9"/>
  <c r="K1885" i="9" s="1"/>
  <c r="J1884" i="9"/>
  <c r="K1884" i="9" s="1"/>
  <c r="J1883" i="9"/>
  <c r="K1883" i="9" s="1"/>
  <c r="J1882" i="9"/>
  <c r="K1882" i="9" s="1"/>
  <c r="J1881" i="9"/>
  <c r="K1881" i="9" s="1"/>
  <c r="J1880" i="9"/>
  <c r="K1880" i="9" s="1"/>
  <c r="J1879" i="9"/>
  <c r="K1879" i="9" s="1"/>
  <c r="J1878" i="9"/>
  <c r="K1878" i="9" s="1"/>
  <c r="J1877" i="9"/>
  <c r="K1877" i="9" s="1"/>
  <c r="J1876" i="9"/>
  <c r="K1876" i="9" s="1"/>
  <c r="J1875" i="9"/>
  <c r="K1875" i="9" s="1"/>
  <c r="J1874" i="9"/>
  <c r="K1874" i="9" s="1"/>
  <c r="J1873" i="9"/>
  <c r="K1873" i="9" s="1"/>
  <c r="J1872" i="9"/>
  <c r="K1872" i="9" s="1"/>
  <c r="J1871" i="9"/>
  <c r="K1871" i="9" s="1"/>
  <c r="J1870" i="9"/>
  <c r="K1870" i="9" s="1"/>
  <c r="J1869" i="9"/>
  <c r="K1869" i="9" s="1"/>
  <c r="J1868" i="9"/>
  <c r="K1868" i="9" s="1"/>
  <c r="J1867" i="9"/>
  <c r="K1867" i="9" s="1"/>
  <c r="J1866" i="9"/>
  <c r="K1866" i="9" s="1"/>
  <c r="J1865" i="9"/>
  <c r="K1865" i="9" s="1"/>
  <c r="J1864" i="9"/>
  <c r="K1864" i="9" s="1"/>
  <c r="J1863" i="9"/>
  <c r="K1863" i="9" s="1"/>
  <c r="J1862" i="9"/>
  <c r="K1862" i="9" s="1"/>
  <c r="J1861" i="9"/>
  <c r="K1861" i="9" s="1"/>
  <c r="J1860" i="9"/>
  <c r="K1860" i="9" s="1"/>
  <c r="J1859" i="9"/>
  <c r="K1859" i="9" s="1"/>
  <c r="J1858" i="9"/>
  <c r="K1858" i="9" s="1"/>
  <c r="J1857" i="9"/>
  <c r="K1857" i="9" s="1"/>
  <c r="J1856" i="9"/>
  <c r="K1856" i="9" s="1"/>
  <c r="J1855" i="9"/>
  <c r="K1855" i="9" s="1"/>
  <c r="J1854" i="9"/>
  <c r="K1854" i="9" s="1"/>
  <c r="J1853" i="9"/>
  <c r="K1853" i="9" s="1"/>
  <c r="J1852" i="9"/>
  <c r="K1852" i="9" s="1"/>
  <c r="J1851" i="9"/>
  <c r="K1851" i="9" s="1"/>
  <c r="J1850" i="9"/>
  <c r="K1850" i="9" s="1"/>
  <c r="J1849" i="9"/>
  <c r="K1849" i="9" s="1"/>
  <c r="J1848" i="9"/>
  <c r="K1848" i="9" s="1"/>
  <c r="J1847" i="9"/>
  <c r="K1847" i="9" s="1"/>
  <c r="J1846" i="9"/>
  <c r="K1846" i="9" s="1"/>
  <c r="J1845" i="9"/>
  <c r="K1845" i="9" s="1"/>
  <c r="J1844" i="9"/>
  <c r="K1844" i="9" s="1"/>
  <c r="J1843" i="9"/>
  <c r="K1843" i="9" s="1"/>
  <c r="J1842" i="9"/>
  <c r="K1842" i="9" s="1"/>
  <c r="J1841" i="9"/>
  <c r="K1841" i="9" s="1"/>
  <c r="J1840" i="9"/>
  <c r="K1840" i="9" s="1"/>
  <c r="J1839" i="9"/>
  <c r="K1839" i="9" s="1"/>
  <c r="J1838" i="9"/>
  <c r="K1838" i="9" s="1"/>
  <c r="J1837" i="9"/>
  <c r="K1837" i="9" s="1"/>
  <c r="J1836" i="9"/>
  <c r="K1836" i="9" s="1"/>
  <c r="J1835" i="9"/>
  <c r="K1835" i="9" s="1"/>
  <c r="J1834" i="9"/>
  <c r="K1834" i="9" s="1"/>
  <c r="J1833" i="9"/>
  <c r="K1833" i="9" s="1"/>
  <c r="J1832" i="9"/>
  <c r="K1832" i="9" s="1"/>
  <c r="J1831" i="9"/>
  <c r="K1831" i="9" s="1"/>
  <c r="J1830" i="9"/>
  <c r="K1830" i="9" s="1"/>
  <c r="J1829" i="9"/>
  <c r="K1829" i="9" s="1"/>
  <c r="J1828" i="9"/>
  <c r="K1828" i="9" s="1"/>
  <c r="J1827" i="9"/>
  <c r="K1827" i="9" s="1"/>
  <c r="J1826" i="9"/>
  <c r="K1826" i="9" s="1"/>
  <c r="J1825" i="9"/>
  <c r="K1825" i="9" s="1"/>
  <c r="J1824" i="9"/>
  <c r="K1824" i="9" s="1"/>
  <c r="J1823" i="9"/>
  <c r="K1823" i="9" s="1"/>
  <c r="J1822" i="9"/>
  <c r="K1822" i="9" s="1"/>
  <c r="J1821" i="9"/>
  <c r="K1821" i="9" s="1"/>
  <c r="J1820" i="9"/>
  <c r="K1820" i="9" s="1"/>
  <c r="J1819" i="9"/>
  <c r="K1819" i="9" s="1"/>
  <c r="J1818" i="9"/>
  <c r="K1818" i="9" s="1"/>
  <c r="J1817" i="9"/>
  <c r="K1817" i="9" s="1"/>
  <c r="J1816" i="9"/>
  <c r="K1816" i="9" s="1"/>
  <c r="J1815" i="9"/>
  <c r="K1815" i="9" s="1"/>
  <c r="J1814" i="9"/>
  <c r="K1814" i="9" s="1"/>
  <c r="J1813" i="9"/>
  <c r="K1813" i="9" s="1"/>
  <c r="J1812" i="9"/>
  <c r="K1812" i="9" s="1"/>
  <c r="J1811" i="9"/>
  <c r="K1811" i="9" s="1"/>
  <c r="J1810" i="9"/>
  <c r="K1810" i="9" s="1"/>
  <c r="J1809" i="9"/>
  <c r="K1809" i="9" s="1"/>
  <c r="J1808" i="9"/>
  <c r="K1808" i="9" s="1"/>
  <c r="J1807" i="9"/>
  <c r="K1807" i="9" s="1"/>
  <c r="J1806" i="9"/>
  <c r="K1806" i="9" s="1"/>
  <c r="J1805" i="9"/>
  <c r="K1805" i="9" s="1"/>
  <c r="J1804" i="9"/>
  <c r="K1804" i="9" s="1"/>
  <c r="J1803" i="9"/>
  <c r="K1803" i="9" s="1"/>
  <c r="J1802" i="9"/>
  <c r="K1802" i="9" s="1"/>
  <c r="J1801" i="9"/>
  <c r="K1801" i="9" s="1"/>
  <c r="J1800" i="9"/>
  <c r="K1800" i="9" s="1"/>
  <c r="J1799" i="9"/>
  <c r="K1799" i="9" s="1"/>
  <c r="J1798" i="9"/>
  <c r="K1798" i="9" s="1"/>
  <c r="J1797" i="9"/>
  <c r="K1797" i="9" s="1"/>
  <c r="J1796" i="9"/>
  <c r="K1796" i="9" s="1"/>
  <c r="J1795" i="9"/>
  <c r="K1795" i="9" s="1"/>
  <c r="J1794" i="9"/>
  <c r="K1794" i="9" s="1"/>
  <c r="J1793" i="9"/>
  <c r="K1793" i="9" s="1"/>
  <c r="J1792" i="9"/>
  <c r="K1792" i="9" s="1"/>
  <c r="J1791" i="9"/>
  <c r="K1791" i="9" s="1"/>
  <c r="J1790" i="9"/>
  <c r="K1790" i="9" s="1"/>
  <c r="J1789" i="9"/>
  <c r="K1789" i="9" s="1"/>
  <c r="J1788" i="9"/>
  <c r="K1788" i="9" s="1"/>
  <c r="J1787" i="9"/>
  <c r="K1787" i="9" s="1"/>
  <c r="J1786" i="9"/>
  <c r="K1786" i="9" s="1"/>
  <c r="J1785" i="9"/>
  <c r="K1785" i="9" s="1"/>
  <c r="J1784" i="9"/>
  <c r="K1784" i="9" s="1"/>
  <c r="J1783" i="9"/>
  <c r="K1783" i="9" s="1"/>
  <c r="J1782" i="9"/>
  <c r="K1782" i="9" s="1"/>
  <c r="J1781" i="9"/>
  <c r="K1781" i="9" s="1"/>
  <c r="J1780" i="9"/>
  <c r="K1780" i="9" s="1"/>
  <c r="J1779" i="9"/>
  <c r="K1779" i="9" s="1"/>
  <c r="J1778" i="9"/>
  <c r="K1778" i="9" s="1"/>
  <c r="J1777" i="9"/>
  <c r="K1777" i="9" s="1"/>
  <c r="J1776" i="9"/>
  <c r="K1776" i="9" s="1"/>
  <c r="J1775" i="9"/>
  <c r="K1775" i="9" s="1"/>
  <c r="J1774" i="9"/>
  <c r="K1774" i="9" s="1"/>
  <c r="J1773" i="9"/>
  <c r="K1773" i="9" s="1"/>
  <c r="J1772" i="9"/>
  <c r="K1772" i="9" s="1"/>
  <c r="J1771" i="9"/>
  <c r="K1771" i="9" s="1"/>
  <c r="J1770" i="9"/>
  <c r="K1770" i="9" s="1"/>
  <c r="J1769" i="9"/>
  <c r="K1769" i="9" s="1"/>
  <c r="J1768" i="9"/>
  <c r="K1768" i="9" s="1"/>
  <c r="J1767" i="9"/>
  <c r="K1767" i="9" s="1"/>
  <c r="J1766" i="9"/>
  <c r="K1766" i="9" s="1"/>
  <c r="J1765" i="9"/>
  <c r="K1765" i="9" s="1"/>
  <c r="J1764" i="9"/>
  <c r="K1764" i="9" s="1"/>
  <c r="J1763" i="9"/>
  <c r="K1763" i="9" s="1"/>
  <c r="J1762" i="9"/>
  <c r="K1762" i="9" s="1"/>
  <c r="J1761" i="9"/>
  <c r="K1761" i="9" s="1"/>
  <c r="J1760" i="9"/>
  <c r="K1760" i="9" s="1"/>
  <c r="J1759" i="9"/>
  <c r="K1759" i="9" s="1"/>
  <c r="J1758" i="9"/>
  <c r="K1758" i="9" s="1"/>
  <c r="J1757" i="9"/>
  <c r="K1757" i="9" s="1"/>
  <c r="J1756" i="9"/>
  <c r="K1756" i="9" s="1"/>
  <c r="J1755" i="9"/>
  <c r="K1755" i="9" s="1"/>
  <c r="J1754" i="9"/>
  <c r="K1754" i="9" s="1"/>
  <c r="J1753" i="9"/>
  <c r="K1753" i="9" s="1"/>
  <c r="J1752" i="9"/>
  <c r="K1752" i="9" s="1"/>
  <c r="J1751" i="9"/>
  <c r="K1751" i="9" s="1"/>
  <c r="J1750" i="9"/>
  <c r="K1750" i="9" s="1"/>
  <c r="J1749" i="9"/>
  <c r="K1749" i="9" s="1"/>
  <c r="J1748" i="9"/>
  <c r="K1748" i="9" s="1"/>
  <c r="J1747" i="9"/>
  <c r="K1747" i="9" s="1"/>
  <c r="J1746" i="9"/>
  <c r="K1746" i="9" s="1"/>
  <c r="J1745" i="9"/>
  <c r="K1745" i="9" s="1"/>
  <c r="J1744" i="9"/>
  <c r="K1744" i="9" s="1"/>
  <c r="J1743" i="9"/>
  <c r="K1743" i="9" s="1"/>
  <c r="J1742" i="9"/>
  <c r="K1742" i="9" s="1"/>
  <c r="J1741" i="9"/>
  <c r="K1741" i="9" s="1"/>
  <c r="J1740" i="9"/>
  <c r="K1740" i="9" s="1"/>
  <c r="J1739" i="9"/>
  <c r="K1739" i="9" s="1"/>
  <c r="J1738" i="9"/>
  <c r="K1738" i="9" s="1"/>
  <c r="J1737" i="9"/>
  <c r="K1737" i="9" s="1"/>
  <c r="J1736" i="9"/>
  <c r="K1736" i="9" s="1"/>
  <c r="J1735" i="9"/>
  <c r="K1735" i="9" s="1"/>
  <c r="J1734" i="9"/>
  <c r="K1734" i="9" s="1"/>
  <c r="J1733" i="9"/>
  <c r="K1733" i="9" s="1"/>
  <c r="J1732" i="9"/>
  <c r="K1732" i="9" s="1"/>
  <c r="J1731" i="9"/>
  <c r="K1731" i="9" s="1"/>
  <c r="J1730" i="9"/>
  <c r="K1730" i="9" s="1"/>
  <c r="J1729" i="9"/>
  <c r="K1729" i="9" s="1"/>
  <c r="J1728" i="9"/>
  <c r="K1728" i="9" s="1"/>
  <c r="J1727" i="9"/>
  <c r="K1727" i="9" s="1"/>
  <c r="J1726" i="9"/>
  <c r="K1726" i="9" s="1"/>
  <c r="J1725" i="9"/>
  <c r="K1725" i="9" s="1"/>
  <c r="J1724" i="9"/>
  <c r="K1724" i="9" s="1"/>
  <c r="J1723" i="9"/>
  <c r="K1723" i="9" s="1"/>
  <c r="J1722" i="9"/>
  <c r="K1722" i="9" s="1"/>
  <c r="J1721" i="9"/>
  <c r="K1721" i="9" s="1"/>
  <c r="J1720" i="9"/>
  <c r="K1720" i="9" s="1"/>
  <c r="J1719" i="9"/>
  <c r="K1719" i="9" s="1"/>
  <c r="J1718" i="9"/>
  <c r="K1718" i="9" s="1"/>
  <c r="J1717" i="9"/>
  <c r="K1717" i="9" s="1"/>
  <c r="J1716" i="9"/>
  <c r="K1716" i="9" s="1"/>
  <c r="J1715" i="9"/>
  <c r="K1715" i="9" s="1"/>
  <c r="J1714" i="9"/>
  <c r="K1714" i="9" s="1"/>
  <c r="J1713" i="9"/>
  <c r="K1713" i="9" s="1"/>
  <c r="J1712" i="9"/>
  <c r="K1712" i="9" s="1"/>
  <c r="J1711" i="9"/>
  <c r="K1711" i="9" s="1"/>
  <c r="J1710" i="9"/>
  <c r="K1710" i="9" s="1"/>
  <c r="J1709" i="9"/>
  <c r="K1709" i="9" s="1"/>
  <c r="J1708" i="9"/>
  <c r="K1708" i="9" s="1"/>
  <c r="J1707" i="9"/>
  <c r="K1707" i="9" s="1"/>
  <c r="J1706" i="9"/>
  <c r="K1706" i="9" s="1"/>
  <c r="J1705" i="9"/>
  <c r="K1705" i="9" s="1"/>
  <c r="J1704" i="9"/>
  <c r="K1704" i="9" s="1"/>
  <c r="J1703" i="9"/>
  <c r="K1703" i="9" s="1"/>
  <c r="J1702" i="9"/>
  <c r="K1702" i="9" s="1"/>
  <c r="J1701" i="9"/>
  <c r="K1701" i="9" s="1"/>
  <c r="J1700" i="9"/>
  <c r="K1700" i="9" s="1"/>
  <c r="J1699" i="9"/>
  <c r="K1699" i="9" s="1"/>
  <c r="J1698" i="9"/>
  <c r="K1698" i="9" s="1"/>
  <c r="J1697" i="9"/>
  <c r="K1697" i="9" s="1"/>
  <c r="J1696" i="9"/>
  <c r="K1696" i="9" s="1"/>
  <c r="J1695" i="9"/>
  <c r="K1695" i="9" s="1"/>
  <c r="J1694" i="9"/>
  <c r="K1694" i="9" s="1"/>
  <c r="J1693" i="9"/>
  <c r="K1693" i="9" s="1"/>
  <c r="J1692" i="9"/>
  <c r="K1692" i="9" s="1"/>
  <c r="J1691" i="9"/>
  <c r="K1691" i="9" s="1"/>
  <c r="J1690" i="9"/>
  <c r="K1690" i="9" s="1"/>
  <c r="J1689" i="9"/>
  <c r="K1689" i="9" s="1"/>
  <c r="J1688" i="9"/>
  <c r="K1688" i="9" s="1"/>
  <c r="J1687" i="9"/>
  <c r="K1687" i="9" s="1"/>
  <c r="J1686" i="9"/>
  <c r="K1686" i="9" s="1"/>
  <c r="J1685" i="9"/>
  <c r="K1685" i="9" s="1"/>
  <c r="J1684" i="9"/>
  <c r="K1684" i="9" s="1"/>
  <c r="J1683" i="9"/>
  <c r="K1683" i="9" s="1"/>
  <c r="J1682" i="9"/>
  <c r="K1682" i="9" s="1"/>
  <c r="J1681" i="9"/>
  <c r="K1681" i="9" s="1"/>
  <c r="J1680" i="9"/>
  <c r="K1680" i="9" s="1"/>
  <c r="J1679" i="9"/>
  <c r="K1679" i="9" s="1"/>
  <c r="J1678" i="9"/>
  <c r="K1678" i="9" s="1"/>
  <c r="J1677" i="9"/>
  <c r="K1677" i="9" s="1"/>
  <c r="J1676" i="9"/>
  <c r="K1676" i="9" s="1"/>
  <c r="J1675" i="9"/>
  <c r="K1675" i="9" s="1"/>
  <c r="J1674" i="9"/>
  <c r="K1674" i="9" s="1"/>
  <c r="J1673" i="9"/>
  <c r="K1673" i="9" s="1"/>
  <c r="J1672" i="9"/>
  <c r="K1672" i="9" s="1"/>
  <c r="J1671" i="9"/>
  <c r="K1671" i="9" s="1"/>
  <c r="J1670" i="9"/>
  <c r="K1670" i="9" s="1"/>
  <c r="J1669" i="9"/>
  <c r="K1669" i="9" s="1"/>
  <c r="J1668" i="9"/>
  <c r="K1668" i="9" s="1"/>
  <c r="J1667" i="9"/>
  <c r="K1667" i="9" s="1"/>
  <c r="J1666" i="9"/>
  <c r="K1666" i="9" s="1"/>
  <c r="J1665" i="9"/>
  <c r="K1665" i="9" s="1"/>
  <c r="J1664" i="9"/>
  <c r="K1664" i="9" s="1"/>
  <c r="J1663" i="9"/>
  <c r="K1663" i="9" s="1"/>
  <c r="J1662" i="9"/>
  <c r="K1662" i="9" s="1"/>
  <c r="J1661" i="9"/>
  <c r="K1661" i="9" s="1"/>
  <c r="J1660" i="9"/>
  <c r="K1660" i="9" s="1"/>
  <c r="J1659" i="9"/>
  <c r="K1659" i="9" s="1"/>
  <c r="J1658" i="9"/>
  <c r="K1658" i="9" s="1"/>
  <c r="J1657" i="9"/>
  <c r="K1657" i="9" s="1"/>
  <c r="J1656" i="9"/>
  <c r="K1656" i="9" s="1"/>
  <c r="J1655" i="9"/>
  <c r="K1655" i="9" s="1"/>
  <c r="J1654" i="9"/>
  <c r="K1654" i="9" s="1"/>
  <c r="J1653" i="9"/>
  <c r="K1653" i="9" s="1"/>
  <c r="J1652" i="9"/>
  <c r="K1652" i="9" s="1"/>
  <c r="J1651" i="9"/>
  <c r="K1651" i="9" s="1"/>
  <c r="J1650" i="9"/>
  <c r="K1650" i="9" s="1"/>
  <c r="J1649" i="9"/>
  <c r="K1649" i="9" s="1"/>
  <c r="J1648" i="9"/>
  <c r="K1648" i="9" s="1"/>
  <c r="J1647" i="9"/>
  <c r="K1647" i="9" s="1"/>
  <c r="J1646" i="9"/>
  <c r="K1646" i="9" s="1"/>
  <c r="J1645" i="9"/>
  <c r="K1645" i="9" s="1"/>
  <c r="J1644" i="9"/>
  <c r="K1644" i="9" s="1"/>
  <c r="J1643" i="9"/>
  <c r="K1643" i="9" s="1"/>
  <c r="J1642" i="9"/>
  <c r="K1642" i="9" s="1"/>
  <c r="J1641" i="9"/>
  <c r="K1641" i="9" s="1"/>
  <c r="J1640" i="9"/>
  <c r="K1640" i="9" s="1"/>
  <c r="J1639" i="9"/>
  <c r="K1639" i="9" s="1"/>
  <c r="J1638" i="9"/>
  <c r="K1638" i="9" s="1"/>
  <c r="J1637" i="9"/>
  <c r="K1637" i="9" s="1"/>
  <c r="J1636" i="9"/>
  <c r="K1636" i="9" s="1"/>
  <c r="J1635" i="9"/>
  <c r="K1635" i="9" s="1"/>
  <c r="J1634" i="9"/>
  <c r="K1634" i="9" s="1"/>
  <c r="J1633" i="9"/>
  <c r="K1633" i="9" s="1"/>
  <c r="J1632" i="9"/>
  <c r="K1632" i="9" s="1"/>
  <c r="J1631" i="9"/>
  <c r="K1631" i="9" s="1"/>
  <c r="J1630" i="9"/>
  <c r="K1630" i="9" s="1"/>
  <c r="J1629" i="9"/>
  <c r="K1629" i="9" s="1"/>
  <c r="J1628" i="9"/>
  <c r="K1628" i="9" s="1"/>
  <c r="J1627" i="9"/>
  <c r="K1627" i="9" s="1"/>
  <c r="J1626" i="9"/>
  <c r="K1626" i="9" s="1"/>
  <c r="J1625" i="9"/>
  <c r="K1625" i="9" s="1"/>
  <c r="J1624" i="9"/>
  <c r="K1624" i="9" s="1"/>
  <c r="J1623" i="9"/>
  <c r="K1623" i="9" s="1"/>
  <c r="J1622" i="9"/>
  <c r="K1622" i="9" s="1"/>
  <c r="J1621" i="9"/>
  <c r="K1621" i="9" s="1"/>
  <c r="J1620" i="9"/>
  <c r="K1620" i="9" s="1"/>
  <c r="J1619" i="9"/>
  <c r="K1619" i="9" s="1"/>
  <c r="J1618" i="9"/>
  <c r="K1618" i="9" s="1"/>
  <c r="J1617" i="9"/>
  <c r="K1617" i="9" s="1"/>
  <c r="J1616" i="9"/>
  <c r="K1616" i="9" s="1"/>
  <c r="J1615" i="9"/>
  <c r="K1615" i="9" s="1"/>
  <c r="J1614" i="9"/>
  <c r="K1614" i="9" s="1"/>
  <c r="J1613" i="9"/>
  <c r="K1613" i="9" s="1"/>
  <c r="J1612" i="9"/>
  <c r="K1612" i="9" s="1"/>
  <c r="J1611" i="9"/>
  <c r="K1611" i="9" s="1"/>
  <c r="J1610" i="9"/>
  <c r="K1610" i="9" s="1"/>
  <c r="J1609" i="9"/>
  <c r="K1609" i="9" s="1"/>
  <c r="J1608" i="9"/>
  <c r="K1608" i="9" s="1"/>
  <c r="J1607" i="9"/>
  <c r="K1607" i="9" s="1"/>
  <c r="J1606" i="9"/>
  <c r="K1606" i="9" s="1"/>
  <c r="J1605" i="9"/>
  <c r="K1605" i="9" s="1"/>
  <c r="J1604" i="9"/>
  <c r="K1604" i="9" s="1"/>
  <c r="J1603" i="9"/>
  <c r="K1603" i="9" s="1"/>
  <c r="J1602" i="9"/>
  <c r="K1602" i="9" s="1"/>
  <c r="J1601" i="9"/>
  <c r="K1601" i="9" s="1"/>
  <c r="J1600" i="9"/>
  <c r="K1600" i="9" s="1"/>
  <c r="J1599" i="9"/>
  <c r="K1599" i="9" s="1"/>
  <c r="J1598" i="9"/>
  <c r="K1598" i="9" s="1"/>
  <c r="J1597" i="9"/>
  <c r="K1597" i="9" s="1"/>
  <c r="J1596" i="9"/>
  <c r="K1596" i="9" s="1"/>
  <c r="J1595" i="9"/>
  <c r="K1595" i="9" s="1"/>
  <c r="J1594" i="9"/>
  <c r="K1594" i="9" s="1"/>
  <c r="J1593" i="9"/>
  <c r="K1593" i="9" s="1"/>
  <c r="J1592" i="9"/>
  <c r="K1592" i="9" s="1"/>
  <c r="J1591" i="9"/>
  <c r="K1591" i="9" s="1"/>
  <c r="J1590" i="9"/>
  <c r="K1590" i="9" s="1"/>
  <c r="J1589" i="9"/>
  <c r="K1589" i="9" s="1"/>
  <c r="J1588" i="9"/>
  <c r="K1588" i="9" s="1"/>
  <c r="J1587" i="9"/>
  <c r="K1587" i="9" s="1"/>
  <c r="J1586" i="9"/>
  <c r="K1586" i="9" s="1"/>
  <c r="J1585" i="9"/>
  <c r="K1585" i="9" s="1"/>
  <c r="J1584" i="9"/>
  <c r="K1584" i="9" s="1"/>
  <c r="J1583" i="9"/>
  <c r="K1583" i="9" s="1"/>
  <c r="J1582" i="9"/>
  <c r="K1582" i="9" s="1"/>
  <c r="J1581" i="9"/>
  <c r="K1581" i="9" s="1"/>
  <c r="J1580" i="9"/>
  <c r="K1580" i="9" s="1"/>
  <c r="J1579" i="9"/>
  <c r="K1579" i="9" s="1"/>
  <c r="J1578" i="9"/>
  <c r="K1578" i="9" s="1"/>
  <c r="J1577" i="9"/>
  <c r="K1577" i="9" s="1"/>
  <c r="J1576" i="9"/>
  <c r="K1576" i="9" s="1"/>
  <c r="J1575" i="9"/>
  <c r="K1575" i="9" s="1"/>
  <c r="J1574" i="9"/>
  <c r="K1574" i="9" s="1"/>
  <c r="J1573" i="9"/>
  <c r="K1573" i="9" s="1"/>
  <c r="J1572" i="9"/>
  <c r="K1572" i="9" s="1"/>
  <c r="J1571" i="9"/>
  <c r="K1571" i="9" s="1"/>
  <c r="J1570" i="9"/>
  <c r="K1570" i="9" s="1"/>
  <c r="J1569" i="9"/>
  <c r="K1569" i="9" s="1"/>
  <c r="J1568" i="9"/>
  <c r="K1568" i="9" s="1"/>
  <c r="J1567" i="9"/>
  <c r="K1567" i="9" s="1"/>
  <c r="J1566" i="9"/>
  <c r="K1566" i="9" s="1"/>
  <c r="J1565" i="9"/>
  <c r="K1565" i="9" s="1"/>
  <c r="J1564" i="9"/>
  <c r="K1564" i="9" s="1"/>
  <c r="J1563" i="9"/>
  <c r="K1563" i="9" s="1"/>
  <c r="J1562" i="9"/>
  <c r="K1562" i="9" s="1"/>
  <c r="J1561" i="9"/>
  <c r="K1561" i="9" s="1"/>
  <c r="J1560" i="9"/>
  <c r="K1560" i="9" s="1"/>
  <c r="J1559" i="9"/>
  <c r="K1559" i="9" s="1"/>
  <c r="J1558" i="9"/>
  <c r="K1558" i="9" s="1"/>
  <c r="J1557" i="9"/>
  <c r="K1557" i="9" s="1"/>
  <c r="J1556" i="9"/>
  <c r="K1556" i="9" s="1"/>
  <c r="J1555" i="9"/>
  <c r="K1555" i="9" s="1"/>
  <c r="J1554" i="9"/>
  <c r="K1554" i="9" s="1"/>
  <c r="J1553" i="9"/>
  <c r="K1553" i="9" s="1"/>
  <c r="J1552" i="9"/>
  <c r="K1552" i="9" s="1"/>
  <c r="J1551" i="9"/>
  <c r="K1551" i="9" s="1"/>
  <c r="J1550" i="9"/>
  <c r="K1550" i="9" s="1"/>
  <c r="J1549" i="9"/>
  <c r="K1549" i="9" s="1"/>
  <c r="J1548" i="9"/>
  <c r="K1548" i="9" s="1"/>
  <c r="J1547" i="9"/>
  <c r="K1547" i="9" s="1"/>
  <c r="J1546" i="9"/>
  <c r="K1546" i="9" s="1"/>
  <c r="J1545" i="9"/>
  <c r="K1545" i="9" s="1"/>
  <c r="J1544" i="9"/>
  <c r="K1544" i="9" s="1"/>
  <c r="J1543" i="9"/>
  <c r="K1543" i="9" s="1"/>
  <c r="J1542" i="9"/>
  <c r="K1542" i="9" s="1"/>
  <c r="J1541" i="9"/>
  <c r="K1541" i="9" s="1"/>
  <c r="J1540" i="9"/>
  <c r="K1540" i="9" s="1"/>
  <c r="J1539" i="9"/>
  <c r="K1539" i="9" s="1"/>
  <c r="J1538" i="9"/>
  <c r="K1538" i="9" s="1"/>
  <c r="J1537" i="9"/>
  <c r="K1537" i="9" s="1"/>
  <c r="J1536" i="9"/>
  <c r="K1536" i="9" s="1"/>
  <c r="J1535" i="9"/>
  <c r="K1535" i="9" s="1"/>
  <c r="J1534" i="9"/>
  <c r="K1534" i="9" s="1"/>
  <c r="J1533" i="9"/>
  <c r="K1533" i="9" s="1"/>
  <c r="J1532" i="9"/>
  <c r="K1532" i="9" s="1"/>
  <c r="J1531" i="9"/>
  <c r="K1531" i="9" s="1"/>
  <c r="J1530" i="9"/>
  <c r="K1530" i="9" s="1"/>
  <c r="J1529" i="9"/>
  <c r="K1529" i="9" s="1"/>
  <c r="J1528" i="9"/>
  <c r="K1528" i="9" s="1"/>
  <c r="J1527" i="9"/>
  <c r="K1527" i="9" s="1"/>
  <c r="J1526" i="9"/>
  <c r="K1526" i="9" s="1"/>
  <c r="J1525" i="9"/>
  <c r="K1525" i="9" s="1"/>
  <c r="J1524" i="9"/>
  <c r="K1524" i="9" s="1"/>
  <c r="J1523" i="9"/>
  <c r="K1523" i="9" s="1"/>
  <c r="J1522" i="9"/>
  <c r="K1522" i="9" s="1"/>
  <c r="J1521" i="9"/>
  <c r="K1521" i="9" s="1"/>
  <c r="J1520" i="9"/>
  <c r="K1520" i="9" s="1"/>
  <c r="J1519" i="9"/>
  <c r="K1519" i="9" s="1"/>
  <c r="J1518" i="9"/>
  <c r="K1518" i="9" s="1"/>
  <c r="J1517" i="9"/>
  <c r="K1517" i="9" s="1"/>
  <c r="J1516" i="9"/>
  <c r="K1516" i="9" s="1"/>
  <c r="J1515" i="9"/>
  <c r="K1515" i="9" s="1"/>
  <c r="J1514" i="9"/>
  <c r="K1514" i="9" s="1"/>
  <c r="J1513" i="9"/>
  <c r="K1513" i="9" s="1"/>
  <c r="J1512" i="9"/>
  <c r="K1512" i="9" s="1"/>
  <c r="J1511" i="9"/>
  <c r="K1511" i="9" s="1"/>
  <c r="J1510" i="9"/>
  <c r="K1510" i="9" s="1"/>
  <c r="J1509" i="9"/>
  <c r="K1509" i="9" s="1"/>
  <c r="J1508" i="9"/>
  <c r="K1508" i="9" s="1"/>
  <c r="J1507" i="9"/>
  <c r="K1507" i="9" s="1"/>
  <c r="J1506" i="9"/>
  <c r="K1506" i="9" s="1"/>
  <c r="J1505" i="9"/>
  <c r="K1505" i="9" s="1"/>
  <c r="J1504" i="9"/>
  <c r="K1504" i="9" s="1"/>
  <c r="J1503" i="9"/>
  <c r="K1503" i="9" s="1"/>
  <c r="J1502" i="9"/>
  <c r="K1502" i="9" s="1"/>
  <c r="J1501" i="9"/>
  <c r="K1501" i="9" s="1"/>
  <c r="J1500" i="9"/>
  <c r="K1500" i="9" s="1"/>
  <c r="J1499" i="9"/>
  <c r="K1499" i="9" s="1"/>
  <c r="J1498" i="9"/>
  <c r="K1498" i="9" s="1"/>
  <c r="J1497" i="9"/>
  <c r="K1497" i="9" s="1"/>
  <c r="J1496" i="9"/>
  <c r="K1496" i="9" s="1"/>
  <c r="J1495" i="9"/>
  <c r="K1495" i="9" s="1"/>
  <c r="J1494" i="9"/>
  <c r="K1494" i="9" s="1"/>
  <c r="J1493" i="9"/>
  <c r="K1493" i="9" s="1"/>
  <c r="J1492" i="9"/>
  <c r="K1492" i="9" s="1"/>
  <c r="J1491" i="9"/>
  <c r="K1491" i="9" s="1"/>
  <c r="J1490" i="9"/>
  <c r="K1490" i="9" s="1"/>
  <c r="J1489" i="9"/>
  <c r="K1489" i="9" s="1"/>
  <c r="J1488" i="9"/>
  <c r="K1488" i="9" s="1"/>
  <c r="J1487" i="9"/>
  <c r="K1487" i="9" s="1"/>
  <c r="J1486" i="9"/>
  <c r="K1486" i="9" s="1"/>
  <c r="J1485" i="9"/>
  <c r="K1485" i="9" s="1"/>
  <c r="J1484" i="9"/>
  <c r="K1484" i="9" s="1"/>
  <c r="J1483" i="9"/>
  <c r="K1483" i="9" s="1"/>
  <c r="J1482" i="9"/>
  <c r="K1482" i="9" s="1"/>
  <c r="J1481" i="9"/>
  <c r="K1481" i="9" s="1"/>
  <c r="J1480" i="9"/>
  <c r="K1480" i="9" s="1"/>
  <c r="J1479" i="9"/>
  <c r="K1479" i="9" s="1"/>
  <c r="J1478" i="9"/>
  <c r="K1478" i="9" s="1"/>
  <c r="J1477" i="9"/>
  <c r="K1477" i="9" s="1"/>
  <c r="J1476" i="9"/>
  <c r="K1476" i="9" s="1"/>
  <c r="J1475" i="9"/>
  <c r="K1475" i="9" s="1"/>
  <c r="J1474" i="9"/>
  <c r="K1474" i="9" s="1"/>
  <c r="J1473" i="9"/>
  <c r="K1473" i="9" s="1"/>
  <c r="J1472" i="9"/>
  <c r="K1472" i="9" s="1"/>
  <c r="J1471" i="9"/>
  <c r="K1471" i="9" s="1"/>
  <c r="J1470" i="9"/>
  <c r="K1470" i="9" s="1"/>
  <c r="J1469" i="9"/>
  <c r="K1469" i="9" s="1"/>
  <c r="J1468" i="9"/>
  <c r="K1468" i="9" s="1"/>
  <c r="J1467" i="9"/>
  <c r="K1467" i="9" s="1"/>
  <c r="J1466" i="9"/>
  <c r="K1466" i="9" s="1"/>
  <c r="J1465" i="9"/>
  <c r="K1465" i="9" s="1"/>
  <c r="J1464" i="9"/>
  <c r="K1464" i="9" s="1"/>
  <c r="J1463" i="9"/>
  <c r="K1463" i="9" s="1"/>
  <c r="J1462" i="9"/>
  <c r="K1462" i="9" s="1"/>
  <c r="J1461" i="9"/>
  <c r="K1461" i="9" s="1"/>
  <c r="J1460" i="9"/>
  <c r="K1460" i="9" s="1"/>
  <c r="J1459" i="9"/>
  <c r="K1459" i="9" s="1"/>
  <c r="J1458" i="9"/>
  <c r="K1458" i="9" s="1"/>
  <c r="J1457" i="9"/>
  <c r="K1457" i="9" s="1"/>
  <c r="J1456" i="9"/>
  <c r="K1456" i="9" s="1"/>
  <c r="J1455" i="9"/>
  <c r="K1455" i="9" s="1"/>
  <c r="J1454" i="9"/>
  <c r="K1454" i="9" s="1"/>
  <c r="J1453" i="9"/>
  <c r="K1453" i="9" s="1"/>
  <c r="J1452" i="9"/>
  <c r="K1452" i="9" s="1"/>
  <c r="J1451" i="9"/>
  <c r="K1451" i="9" s="1"/>
  <c r="J1450" i="9"/>
  <c r="K1450" i="9" s="1"/>
  <c r="J1449" i="9"/>
  <c r="K1449" i="9" s="1"/>
  <c r="J1448" i="9"/>
  <c r="K1448" i="9" s="1"/>
  <c r="J1447" i="9"/>
  <c r="K1447" i="9" s="1"/>
  <c r="J1446" i="9"/>
  <c r="K1446" i="9" s="1"/>
  <c r="J1445" i="9"/>
  <c r="K1445" i="9" s="1"/>
  <c r="J1444" i="9"/>
  <c r="K1444" i="9" s="1"/>
  <c r="J1443" i="9"/>
  <c r="K1443" i="9" s="1"/>
  <c r="J1442" i="9"/>
  <c r="K1442" i="9" s="1"/>
  <c r="J1441" i="9"/>
  <c r="K1441" i="9" s="1"/>
  <c r="J1440" i="9"/>
  <c r="K1440" i="9" s="1"/>
  <c r="J1439" i="9"/>
  <c r="K1439" i="9" s="1"/>
  <c r="J1438" i="9"/>
  <c r="K1438" i="9" s="1"/>
  <c r="J1437" i="9"/>
  <c r="K1437" i="9" s="1"/>
  <c r="J1436" i="9"/>
  <c r="K1436" i="9" s="1"/>
  <c r="J1435" i="9"/>
  <c r="K1435" i="9" s="1"/>
  <c r="J1434" i="9"/>
  <c r="K1434" i="9" s="1"/>
  <c r="J1433" i="9"/>
  <c r="K1433" i="9" s="1"/>
  <c r="J1432" i="9"/>
  <c r="K1432" i="9" s="1"/>
  <c r="J1431" i="9"/>
  <c r="K1431" i="9" s="1"/>
  <c r="J1430" i="9"/>
  <c r="K1430" i="9" s="1"/>
  <c r="J1429" i="9"/>
  <c r="K1429" i="9" s="1"/>
  <c r="J1428" i="9"/>
  <c r="K1428" i="9" s="1"/>
  <c r="J1427" i="9"/>
  <c r="K1427" i="9" s="1"/>
  <c r="J1426" i="9"/>
  <c r="K1426" i="9" s="1"/>
  <c r="J1425" i="9"/>
  <c r="K1425" i="9" s="1"/>
  <c r="J1424" i="9"/>
  <c r="K1424" i="9" s="1"/>
  <c r="J1423" i="9"/>
  <c r="K1423" i="9" s="1"/>
  <c r="J1422" i="9"/>
  <c r="K1422" i="9" s="1"/>
  <c r="J1421" i="9"/>
  <c r="K1421" i="9" s="1"/>
  <c r="J1420" i="9"/>
  <c r="K1420" i="9" s="1"/>
  <c r="J1419" i="9"/>
  <c r="K1419" i="9" s="1"/>
  <c r="J1418" i="9"/>
  <c r="K1418" i="9" s="1"/>
  <c r="J1417" i="9"/>
  <c r="K1417" i="9" s="1"/>
  <c r="J1416" i="9"/>
  <c r="K1416" i="9" s="1"/>
  <c r="J1415" i="9"/>
  <c r="K1415" i="9" s="1"/>
  <c r="J1414" i="9"/>
  <c r="K1414" i="9" s="1"/>
  <c r="J1413" i="9"/>
  <c r="K1413" i="9" s="1"/>
  <c r="J1412" i="9"/>
  <c r="K1412" i="9" s="1"/>
  <c r="J1411" i="9"/>
  <c r="K1411" i="9" s="1"/>
  <c r="J1410" i="9"/>
  <c r="K1410" i="9" s="1"/>
  <c r="J1409" i="9"/>
  <c r="K1409" i="9" s="1"/>
  <c r="J1408" i="9"/>
  <c r="K1408" i="9" s="1"/>
  <c r="J1407" i="9"/>
  <c r="K1407" i="9" s="1"/>
  <c r="J1406" i="9"/>
  <c r="K1406" i="9" s="1"/>
  <c r="J1405" i="9"/>
  <c r="K1405" i="9" s="1"/>
  <c r="J1404" i="9"/>
  <c r="K1404" i="9" s="1"/>
  <c r="J1403" i="9"/>
  <c r="K1403" i="9" s="1"/>
  <c r="J1402" i="9"/>
  <c r="K1402" i="9" s="1"/>
  <c r="J1401" i="9"/>
  <c r="K1401" i="9" s="1"/>
  <c r="J1400" i="9"/>
  <c r="K1400" i="9" s="1"/>
  <c r="J1399" i="9"/>
  <c r="K1399" i="9" s="1"/>
  <c r="J1398" i="9"/>
  <c r="K1398" i="9" s="1"/>
  <c r="J1397" i="9"/>
  <c r="K1397" i="9" s="1"/>
  <c r="J1396" i="9"/>
  <c r="K1396" i="9" s="1"/>
  <c r="J1395" i="9"/>
  <c r="K1395" i="9" s="1"/>
  <c r="J1394" i="9"/>
  <c r="K1394" i="9" s="1"/>
  <c r="J1393" i="9"/>
  <c r="K1393" i="9" s="1"/>
  <c r="J1392" i="9"/>
  <c r="K1392" i="9" s="1"/>
  <c r="J1391" i="9"/>
  <c r="K1391" i="9" s="1"/>
  <c r="J1390" i="9"/>
  <c r="K1390" i="9" s="1"/>
  <c r="J1389" i="9"/>
  <c r="K1389" i="9" s="1"/>
  <c r="J1388" i="9"/>
  <c r="K1388" i="9" s="1"/>
  <c r="J1387" i="9"/>
  <c r="K1387" i="9" s="1"/>
  <c r="J1386" i="9"/>
  <c r="K1386" i="9" s="1"/>
  <c r="J1385" i="9"/>
  <c r="K1385" i="9" s="1"/>
  <c r="J1384" i="9"/>
  <c r="K1384" i="9" s="1"/>
  <c r="J1383" i="9"/>
  <c r="K1383" i="9" s="1"/>
  <c r="J1382" i="9"/>
  <c r="K1382" i="9" s="1"/>
  <c r="J1381" i="9"/>
  <c r="K1381" i="9" s="1"/>
  <c r="J1380" i="9"/>
  <c r="K1380" i="9" s="1"/>
  <c r="J1379" i="9"/>
  <c r="K1379" i="9" s="1"/>
  <c r="J1378" i="9"/>
  <c r="K1378" i="9" s="1"/>
  <c r="J1377" i="9"/>
  <c r="K1377" i="9" s="1"/>
  <c r="J1376" i="9"/>
  <c r="K1376" i="9" s="1"/>
  <c r="J1375" i="9"/>
  <c r="K1375" i="9" s="1"/>
  <c r="J1374" i="9"/>
  <c r="K1374" i="9" s="1"/>
  <c r="J1373" i="9"/>
  <c r="K1373" i="9" s="1"/>
  <c r="J1372" i="9"/>
  <c r="K1372" i="9" s="1"/>
  <c r="J1371" i="9"/>
  <c r="K1371" i="9" s="1"/>
  <c r="J1370" i="9"/>
  <c r="K1370" i="9" s="1"/>
  <c r="J1369" i="9"/>
  <c r="K1369" i="9" s="1"/>
  <c r="J1368" i="9"/>
  <c r="K1368" i="9" s="1"/>
  <c r="J1367" i="9"/>
  <c r="K1367" i="9" s="1"/>
  <c r="J1366" i="9"/>
  <c r="K1366" i="9" s="1"/>
  <c r="J1365" i="9"/>
  <c r="K1365" i="9" s="1"/>
  <c r="J1364" i="9"/>
  <c r="K1364" i="9" s="1"/>
  <c r="J1363" i="9"/>
  <c r="K1363" i="9" s="1"/>
  <c r="J1362" i="9"/>
  <c r="K1362" i="9" s="1"/>
  <c r="J1361" i="9"/>
  <c r="K1361" i="9" s="1"/>
  <c r="J1360" i="9"/>
  <c r="K1360" i="9" s="1"/>
  <c r="J1359" i="9"/>
  <c r="K1359" i="9" s="1"/>
  <c r="J1358" i="9"/>
  <c r="K1358" i="9" s="1"/>
  <c r="J1357" i="9"/>
  <c r="K1357" i="9" s="1"/>
  <c r="J1356" i="9"/>
  <c r="K1356" i="9" s="1"/>
  <c r="J1355" i="9"/>
  <c r="K1355" i="9" s="1"/>
  <c r="J1354" i="9"/>
  <c r="K1354" i="9" s="1"/>
  <c r="J1353" i="9"/>
  <c r="K1353" i="9" s="1"/>
  <c r="J1352" i="9"/>
  <c r="K1352" i="9" s="1"/>
  <c r="J1351" i="9"/>
  <c r="K1351" i="9" s="1"/>
  <c r="J1350" i="9"/>
  <c r="K1350" i="9" s="1"/>
  <c r="J1349" i="9"/>
  <c r="K1349" i="9" s="1"/>
  <c r="J1348" i="9"/>
  <c r="K1348" i="9" s="1"/>
  <c r="J1347" i="9"/>
  <c r="K1347" i="9" s="1"/>
  <c r="J1346" i="9"/>
  <c r="K1346" i="9" s="1"/>
  <c r="J1345" i="9"/>
  <c r="K1345" i="9" s="1"/>
  <c r="J1344" i="9"/>
  <c r="K1344" i="9" s="1"/>
  <c r="J1343" i="9"/>
  <c r="K1343" i="9" s="1"/>
  <c r="J1342" i="9"/>
  <c r="K1342" i="9" s="1"/>
  <c r="J1341" i="9"/>
  <c r="K1341" i="9" s="1"/>
  <c r="J1340" i="9"/>
  <c r="K1340" i="9" s="1"/>
  <c r="J1339" i="9"/>
  <c r="K1339" i="9" s="1"/>
  <c r="J1338" i="9"/>
  <c r="K1338" i="9" s="1"/>
  <c r="J1337" i="9"/>
  <c r="K1337" i="9" s="1"/>
  <c r="J1336" i="9"/>
  <c r="K1336" i="9" s="1"/>
  <c r="J1335" i="9"/>
  <c r="K1335" i="9" s="1"/>
  <c r="J1334" i="9"/>
  <c r="K1334" i="9" s="1"/>
  <c r="J1333" i="9"/>
  <c r="K1333" i="9" s="1"/>
  <c r="J1332" i="9"/>
  <c r="K1332" i="9" s="1"/>
  <c r="J1331" i="9"/>
  <c r="K1331" i="9" s="1"/>
  <c r="J1330" i="9"/>
  <c r="K1330" i="9" s="1"/>
  <c r="J1329" i="9"/>
  <c r="K1329" i="9" s="1"/>
  <c r="J1328" i="9"/>
  <c r="K1328" i="9" s="1"/>
  <c r="J1327" i="9"/>
  <c r="K1327" i="9" s="1"/>
  <c r="J1326" i="9"/>
  <c r="K1326" i="9" s="1"/>
  <c r="J1325" i="9"/>
  <c r="K1325" i="9" s="1"/>
  <c r="J1324" i="9"/>
  <c r="K1324" i="9" s="1"/>
  <c r="J1323" i="9"/>
  <c r="K1323" i="9" s="1"/>
  <c r="J1322" i="9"/>
  <c r="K1322" i="9" s="1"/>
  <c r="J1321" i="9"/>
  <c r="K1321" i="9" s="1"/>
  <c r="J1320" i="9"/>
  <c r="K1320" i="9" s="1"/>
  <c r="J1319" i="9"/>
  <c r="K1319" i="9" s="1"/>
  <c r="J1318" i="9"/>
  <c r="K1318" i="9" s="1"/>
  <c r="J1317" i="9"/>
  <c r="K1317" i="9" s="1"/>
  <c r="J1316" i="9"/>
  <c r="K1316" i="9" s="1"/>
  <c r="J1315" i="9"/>
  <c r="K1315" i="9" s="1"/>
  <c r="J1314" i="9"/>
  <c r="K1314" i="9" s="1"/>
  <c r="J1313" i="9"/>
  <c r="K1313" i="9" s="1"/>
  <c r="J1312" i="9"/>
  <c r="K1312" i="9" s="1"/>
  <c r="J1311" i="9"/>
  <c r="K1311" i="9" s="1"/>
  <c r="J1310" i="9"/>
  <c r="K1310" i="9" s="1"/>
  <c r="J1309" i="9"/>
  <c r="K1309" i="9" s="1"/>
  <c r="J1308" i="9"/>
  <c r="K1308" i="9" s="1"/>
  <c r="J1307" i="9"/>
  <c r="K1307" i="9" s="1"/>
  <c r="J1306" i="9"/>
  <c r="K1306" i="9" s="1"/>
  <c r="J1305" i="9"/>
  <c r="K1305" i="9" s="1"/>
  <c r="J1304" i="9"/>
  <c r="K1304" i="9" s="1"/>
  <c r="J1303" i="9"/>
  <c r="K1303" i="9" s="1"/>
  <c r="J1302" i="9"/>
  <c r="K1302" i="9" s="1"/>
  <c r="J1301" i="9"/>
  <c r="K1301" i="9" s="1"/>
  <c r="J1300" i="9"/>
  <c r="K1300" i="9" s="1"/>
  <c r="J1299" i="9"/>
  <c r="K1299" i="9" s="1"/>
  <c r="J1298" i="9"/>
  <c r="K1298" i="9" s="1"/>
  <c r="J1297" i="9"/>
  <c r="K1297" i="9" s="1"/>
  <c r="J1296" i="9"/>
  <c r="K1296" i="9" s="1"/>
  <c r="J1295" i="9"/>
  <c r="K1295" i="9" s="1"/>
  <c r="J1294" i="9"/>
  <c r="K1294" i="9" s="1"/>
  <c r="J1293" i="9"/>
  <c r="K1293" i="9" s="1"/>
  <c r="J1292" i="9"/>
  <c r="K1292" i="9" s="1"/>
  <c r="J1291" i="9"/>
  <c r="K1291" i="9" s="1"/>
  <c r="J1290" i="9"/>
  <c r="K1290" i="9" s="1"/>
  <c r="J1289" i="9"/>
  <c r="K1289" i="9" s="1"/>
  <c r="J1288" i="9"/>
  <c r="K1288" i="9" s="1"/>
  <c r="J1287" i="9"/>
  <c r="K1287" i="9" s="1"/>
  <c r="J1286" i="9"/>
  <c r="K1286" i="9" s="1"/>
  <c r="J1285" i="9"/>
  <c r="K1285" i="9" s="1"/>
  <c r="J1284" i="9"/>
  <c r="K1284" i="9" s="1"/>
  <c r="J1283" i="9"/>
  <c r="K1283" i="9" s="1"/>
  <c r="J1282" i="9"/>
  <c r="K1282" i="9" s="1"/>
  <c r="J1281" i="9"/>
  <c r="K1281" i="9" s="1"/>
  <c r="J1280" i="9"/>
  <c r="K1280" i="9" s="1"/>
  <c r="J1279" i="9"/>
  <c r="K1279" i="9" s="1"/>
  <c r="J1278" i="9"/>
  <c r="K1278" i="9" s="1"/>
  <c r="J1277" i="9"/>
  <c r="K1277" i="9" s="1"/>
  <c r="J1276" i="9"/>
  <c r="K1276" i="9" s="1"/>
  <c r="J1275" i="9"/>
  <c r="K1275" i="9" s="1"/>
  <c r="J1274" i="9"/>
  <c r="K1274" i="9" s="1"/>
  <c r="J1273" i="9"/>
  <c r="K1273" i="9" s="1"/>
  <c r="J1272" i="9"/>
  <c r="K1272" i="9" s="1"/>
  <c r="J1271" i="9"/>
  <c r="K1271" i="9" s="1"/>
  <c r="J1270" i="9"/>
  <c r="K1270" i="9" s="1"/>
  <c r="J1269" i="9"/>
  <c r="K1269" i="9" s="1"/>
  <c r="J1268" i="9"/>
  <c r="K1268" i="9" s="1"/>
  <c r="J1267" i="9"/>
  <c r="K1267" i="9" s="1"/>
  <c r="J1266" i="9"/>
  <c r="K1266" i="9" s="1"/>
  <c r="J1265" i="9"/>
  <c r="K1265" i="9" s="1"/>
  <c r="J1264" i="9"/>
  <c r="K1264" i="9" s="1"/>
  <c r="J1263" i="9"/>
  <c r="K1263" i="9" s="1"/>
  <c r="J1262" i="9"/>
  <c r="K1262" i="9" s="1"/>
  <c r="J1261" i="9"/>
  <c r="K1261" i="9" s="1"/>
  <c r="J1260" i="9"/>
  <c r="K1260" i="9" s="1"/>
  <c r="J1259" i="9"/>
  <c r="K1259" i="9" s="1"/>
  <c r="J1258" i="9"/>
  <c r="K1258" i="9" s="1"/>
  <c r="J1257" i="9"/>
  <c r="K1257" i="9" s="1"/>
  <c r="J1256" i="9"/>
  <c r="K1256" i="9" s="1"/>
  <c r="J1255" i="9"/>
  <c r="K1255" i="9" s="1"/>
  <c r="J1254" i="9"/>
  <c r="K1254" i="9" s="1"/>
  <c r="J1253" i="9"/>
  <c r="K1253" i="9" s="1"/>
  <c r="J1252" i="9"/>
  <c r="K1252" i="9" s="1"/>
  <c r="J1251" i="9"/>
  <c r="K1251" i="9" s="1"/>
  <c r="J1250" i="9"/>
  <c r="K1250" i="9" s="1"/>
  <c r="J1249" i="9"/>
  <c r="K1249" i="9" s="1"/>
  <c r="J1248" i="9"/>
  <c r="K1248" i="9" s="1"/>
  <c r="J1247" i="9"/>
  <c r="K1247" i="9" s="1"/>
  <c r="J1246" i="9"/>
  <c r="K1246" i="9" s="1"/>
  <c r="J1245" i="9"/>
  <c r="K1245" i="9" s="1"/>
  <c r="J1244" i="9"/>
  <c r="K1244" i="9" s="1"/>
  <c r="J1243" i="9"/>
  <c r="K1243" i="9" s="1"/>
  <c r="J1242" i="9"/>
  <c r="K1242" i="9" s="1"/>
  <c r="J1241" i="9"/>
  <c r="K1241" i="9" s="1"/>
  <c r="J1240" i="9"/>
  <c r="K1240" i="9" s="1"/>
  <c r="J1239" i="9"/>
  <c r="K1239" i="9" s="1"/>
  <c r="J1238" i="9"/>
  <c r="K1238" i="9" s="1"/>
  <c r="J1237" i="9"/>
  <c r="K1237" i="9" s="1"/>
  <c r="J1236" i="9"/>
  <c r="K1236" i="9" s="1"/>
  <c r="J1235" i="9"/>
  <c r="K1235" i="9" s="1"/>
  <c r="J1234" i="9"/>
  <c r="K1234" i="9" s="1"/>
  <c r="J1233" i="9"/>
  <c r="K1233" i="9" s="1"/>
  <c r="J1232" i="9"/>
  <c r="K1232" i="9" s="1"/>
  <c r="J1231" i="9"/>
  <c r="K1231" i="9" s="1"/>
  <c r="J1230" i="9"/>
  <c r="K1230" i="9" s="1"/>
  <c r="J1229" i="9"/>
  <c r="K1229" i="9" s="1"/>
  <c r="J1228" i="9"/>
  <c r="K1228" i="9" s="1"/>
  <c r="J1227" i="9"/>
  <c r="K1227" i="9" s="1"/>
  <c r="J1226" i="9"/>
  <c r="K1226" i="9" s="1"/>
  <c r="J1225" i="9"/>
  <c r="K1225" i="9" s="1"/>
  <c r="J1224" i="9"/>
  <c r="K1224" i="9" s="1"/>
  <c r="J1223" i="9"/>
  <c r="K1223" i="9" s="1"/>
  <c r="J1222" i="9"/>
  <c r="K1222" i="9" s="1"/>
  <c r="J1221" i="9"/>
  <c r="K1221" i="9" s="1"/>
  <c r="J1220" i="9"/>
  <c r="K1220" i="9" s="1"/>
  <c r="J1219" i="9"/>
  <c r="K1219" i="9" s="1"/>
  <c r="J1218" i="9"/>
  <c r="K1218" i="9" s="1"/>
  <c r="J1217" i="9"/>
  <c r="K1217" i="9" s="1"/>
  <c r="J1216" i="9"/>
  <c r="K1216" i="9" s="1"/>
  <c r="J1215" i="9"/>
  <c r="K1215" i="9" s="1"/>
  <c r="J1214" i="9"/>
  <c r="K1214" i="9" s="1"/>
  <c r="J1213" i="9"/>
  <c r="K1213" i="9" s="1"/>
  <c r="J1212" i="9"/>
  <c r="K1212" i="9" s="1"/>
  <c r="J1211" i="9"/>
  <c r="K1211" i="9" s="1"/>
  <c r="J1210" i="9"/>
  <c r="K1210" i="9" s="1"/>
  <c r="J1209" i="9"/>
  <c r="K1209" i="9" s="1"/>
  <c r="J1208" i="9"/>
  <c r="K1208" i="9" s="1"/>
  <c r="J1207" i="9"/>
  <c r="K1207" i="9" s="1"/>
  <c r="J1206" i="9"/>
  <c r="K1206" i="9" s="1"/>
  <c r="J1205" i="9"/>
  <c r="K1205" i="9" s="1"/>
  <c r="J1204" i="9"/>
  <c r="K1204" i="9" s="1"/>
  <c r="J1203" i="9"/>
  <c r="K1203" i="9" s="1"/>
  <c r="J1202" i="9"/>
  <c r="K1202" i="9" s="1"/>
  <c r="J1201" i="9"/>
  <c r="K1201" i="9" s="1"/>
  <c r="J1200" i="9"/>
  <c r="K1200" i="9" s="1"/>
  <c r="J1199" i="9"/>
  <c r="K1199" i="9" s="1"/>
  <c r="J1198" i="9"/>
  <c r="K1198" i="9" s="1"/>
  <c r="J1197" i="9"/>
  <c r="K1197" i="9" s="1"/>
  <c r="J1196" i="9"/>
  <c r="K1196" i="9" s="1"/>
  <c r="J1195" i="9"/>
  <c r="K1195" i="9" s="1"/>
  <c r="J1194" i="9"/>
  <c r="K1194" i="9" s="1"/>
  <c r="J1193" i="9"/>
  <c r="K1193" i="9" s="1"/>
  <c r="J1192" i="9"/>
  <c r="K1192" i="9" s="1"/>
  <c r="J1191" i="9"/>
  <c r="K1191" i="9" s="1"/>
  <c r="J1190" i="9"/>
  <c r="K1190" i="9" s="1"/>
  <c r="J1189" i="9"/>
  <c r="K1189" i="9" s="1"/>
  <c r="J1188" i="9"/>
  <c r="K1188" i="9" s="1"/>
  <c r="J1187" i="9"/>
  <c r="K1187" i="9" s="1"/>
  <c r="J1186" i="9"/>
  <c r="K1186" i="9" s="1"/>
  <c r="J1185" i="9"/>
  <c r="K1185" i="9" s="1"/>
  <c r="J1184" i="9"/>
  <c r="K1184" i="9" s="1"/>
  <c r="J1183" i="9"/>
  <c r="K1183" i="9" s="1"/>
  <c r="J1182" i="9"/>
  <c r="K1182" i="9" s="1"/>
  <c r="J1181" i="9"/>
  <c r="K1181" i="9" s="1"/>
  <c r="J1180" i="9"/>
  <c r="K1180" i="9" s="1"/>
  <c r="J1179" i="9"/>
  <c r="K1179" i="9" s="1"/>
  <c r="J1178" i="9"/>
  <c r="K1178" i="9" s="1"/>
  <c r="J1177" i="9"/>
  <c r="K1177" i="9" s="1"/>
  <c r="J1176" i="9"/>
  <c r="K1176" i="9" s="1"/>
  <c r="J1175" i="9"/>
  <c r="K1175" i="9" s="1"/>
  <c r="J1174" i="9"/>
  <c r="K1174" i="9" s="1"/>
  <c r="J1173" i="9"/>
  <c r="K1173" i="9" s="1"/>
  <c r="J1172" i="9"/>
  <c r="K1172" i="9" s="1"/>
  <c r="J1171" i="9"/>
  <c r="K1171" i="9" s="1"/>
  <c r="J1170" i="9"/>
  <c r="K1170" i="9" s="1"/>
  <c r="J1169" i="9"/>
  <c r="K1169" i="9" s="1"/>
  <c r="J1168" i="9"/>
  <c r="K1168" i="9" s="1"/>
  <c r="J1167" i="9"/>
  <c r="K1167" i="9" s="1"/>
  <c r="J1166" i="9"/>
  <c r="K1166" i="9" s="1"/>
  <c r="J1165" i="9"/>
  <c r="K1165" i="9" s="1"/>
  <c r="J1164" i="9"/>
  <c r="K1164" i="9" s="1"/>
  <c r="J1163" i="9"/>
  <c r="K1163" i="9" s="1"/>
  <c r="J1162" i="9"/>
  <c r="K1162" i="9" s="1"/>
  <c r="J1161" i="9"/>
  <c r="K1161" i="9" s="1"/>
  <c r="J1160" i="9"/>
  <c r="K1160" i="9" s="1"/>
  <c r="J1159" i="9"/>
  <c r="K1159" i="9" s="1"/>
  <c r="J1158" i="9"/>
  <c r="K1158" i="9" s="1"/>
  <c r="J1157" i="9"/>
  <c r="K1157" i="9" s="1"/>
  <c r="J1156" i="9"/>
  <c r="K1156" i="9" s="1"/>
  <c r="J1155" i="9"/>
  <c r="K1155" i="9" s="1"/>
  <c r="J1154" i="9"/>
  <c r="K1154" i="9" s="1"/>
  <c r="J1153" i="9"/>
  <c r="K1153" i="9" s="1"/>
  <c r="J1152" i="9"/>
  <c r="K1152" i="9" s="1"/>
  <c r="J1151" i="9"/>
  <c r="K1151" i="9" s="1"/>
  <c r="J1150" i="9"/>
  <c r="K1150" i="9" s="1"/>
  <c r="J1149" i="9"/>
  <c r="K1149" i="9" s="1"/>
  <c r="J1148" i="9"/>
  <c r="K1148" i="9" s="1"/>
  <c r="J1147" i="9"/>
  <c r="K1147" i="9" s="1"/>
  <c r="J1146" i="9"/>
  <c r="K1146" i="9" s="1"/>
  <c r="J1145" i="9"/>
  <c r="K1145" i="9" s="1"/>
  <c r="J1144" i="9"/>
  <c r="K1144" i="9" s="1"/>
  <c r="J1143" i="9"/>
  <c r="K1143" i="9" s="1"/>
  <c r="J1142" i="9"/>
  <c r="K1142" i="9" s="1"/>
  <c r="J1141" i="9"/>
  <c r="K1141" i="9" s="1"/>
  <c r="J1140" i="9"/>
  <c r="K1140" i="9" s="1"/>
  <c r="J1139" i="9"/>
  <c r="K1139" i="9" s="1"/>
  <c r="J1138" i="9"/>
  <c r="K1138" i="9" s="1"/>
  <c r="J1137" i="9"/>
  <c r="K1137" i="9" s="1"/>
  <c r="J1136" i="9"/>
  <c r="K1136" i="9" s="1"/>
  <c r="J1135" i="9"/>
  <c r="K1135" i="9" s="1"/>
  <c r="J1134" i="9"/>
  <c r="K1134" i="9" s="1"/>
  <c r="J1133" i="9"/>
  <c r="K1133" i="9" s="1"/>
  <c r="J1132" i="9"/>
  <c r="K1132" i="9" s="1"/>
  <c r="J1131" i="9"/>
  <c r="K1131" i="9" s="1"/>
  <c r="J1130" i="9"/>
  <c r="K1130" i="9" s="1"/>
  <c r="J1129" i="9"/>
  <c r="K1129" i="9" s="1"/>
  <c r="J1128" i="9"/>
  <c r="K1128" i="9" s="1"/>
  <c r="J1127" i="9"/>
  <c r="K1127" i="9" s="1"/>
  <c r="J1126" i="9"/>
  <c r="K1126" i="9" s="1"/>
  <c r="J1125" i="9"/>
  <c r="K1125" i="9" s="1"/>
  <c r="J1124" i="9"/>
  <c r="K1124" i="9" s="1"/>
  <c r="J1123" i="9"/>
  <c r="K1123" i="9" s="1"/>
  <c r="J1122" i="9"/>
  <c r="K1122" i="9" s="1"/>
  <c r="J1121" i="9"/>
  <c r="K1121" i="9" s="1"/>
  <c r="J1120" i="9"/>
  <c r="K1120" i="9" s="1"/>
  <c r="J1119" i="9"/>
  <c r="K1119" i="9" s="1"/>
  <c r="J1118" i="9"/>
  <c r="K1118" i="9" s="1"/>
  <c r="J1117" i="9"/>
  <c r="K1117" i="9" s="1"/>
  <c r="J1116" i="9"/>
  <c r="K1116" i="9" s="1"/>
  <c r="J1115" i="9"/>
  <c r="K1115" i="9" s="1"/>
  <c r="J1114" i="9"/>
  <c r="K1114" i="9" s="1"/>
  <c r="J1113" i="9"/>
  <c r="K1113" i="9" s="1"/>
  <c r="J1112" i="9"/>
  <c r="K1112" i="9" s="1"/>
  <c r="J1111" i="9"/>
  <c r="K1111" i="9" s="1"/>
  <c r="J1110" i="9"/>
  <c r="K1110" i="9" s="1"/>
  <c r="J1109" i="9"/>
  <c r="K1109" i="9" s="1"/>
  <c r="J1108" i="9"/>
  <c r="K1108" i="9" s="1"/>
  <c r="J1107" i="9"/>
  <c r="K1107" i="9" s="1"/>
  <c r="J1106" i="9"/>
  <c r="K1106" i="9" s="1"/>
  <c r="J1105" i="9"/>
  <c r="K1105" i="9" s="1"/>
  <c r="J1104" i="9"/>
  <c r="K1104" i="9" s="1"/>
  <c r="J1103" i="9"/>
  <c r="K1103" i="9" s="1"/>
  <c r="J1102" i="9"/>
  <c r="K1102" i="9" s="1"/>
  <c r="J1101" i="9"/>
  <c r="K1101" i="9" s="1"/>
  <c r="J1100" i="9"/>
  <c r="K1100" i="9" s="1"/>
  <c r="J1099" i="9"/>
  <c r="K1099" i="9" s="1"/>
  <c r="J1098" i="9"/>
  <c r="K1098" i="9" s="1"/>
  <c r="J1097" i="9"/>
  <c r="K1097" i="9" s="1"/>
  <c r="J1096" i="9"/>
  <c r="K1096" i="9" s="1"/>
  <c r="J1095" i="9"/>
  <c r="K1095" i="9" s="1"/>
  <c r="J1094" i="9"/>
  <c r="K1094" i="9" s="1"/>
  <c r="J1093" i="9"/>
  <c r="K1093" i="9" s="1"/>
  <c r="J1092" i="9"/>
  <c r="K1092" i="9" s="1"/>
  <c r="J1091" i="9"/>
  <c r="K1091" i="9" s="1"/>
  <c r="J1090" i="9"/>
  <c r="K1090" i="9" s="1"/>
  <c r="J1089" i="9"/>
  <c r="K1089" i="9" s="1"/>
  <c r="J1088" i="9"/>
  <c r="K1088" i="9" s="1"/>
  <c r="J1087" i="9"/>
  <c r="K1087" i="9" s="1"/>
  <c r="J1086" i="9"/>
  <c r="K1086" i="9" s="1"/>
  <c r="J1085" i="9"/>
  <c r="K1085" i="9" s="1"/>
  <c r="J1084" i="9"/>
  <c r="K1084" i="9" s="1"/>
  <c r="J1083" i="9"/>
  <c r="K1083" i="9" s="1"/>
  <c r="J1082" i="9"/>
  <c r="K1082" i="9" s="1"/>
  <c r="J1081" i="9"/>
  <c r="K1081" i="9" s="1"/>
  <c r="J1080" i="9"/>
  <c r="K1080" i="9" s="1"/>
  <c r="J1079" i="9"/>
  <c r="K1079" i="9" s="1"/>
  <c r="J1078" i="9"/>
  <c r="K1078" i="9" s="1"/>
  <c r="J1077" i="9"/>
  <c r="K1077" i="9" s="1"/>
  <c r="J1076" i="9"/>
  <c r="K1076" i="9" s="1"/>
  <c r="J1075" i="9"/>
  <c r="K1075" i="9" s="1"/>
  <c r="J1074" i="9"/>
  <c r="K1074" i="9" s="1"/>
  <c r="J1073" i="9"/>
  <c r="K1073" i="9" s="1"/>
  <c r="J1072" i="9"/>
  <c r="K1072" i="9" s="1"/>
  <c r="J1071" i="9"/>
  <c r="K1071" i="9" s="1"/>
  <c r="J1070" i="9"/>
  <c r="K1070" i="9" s="1"/>
  <c r="J1069" i="9"/>
  <c r="K1069" i="9" s="1"/>
  <c r="J1068" i="9"/>
  <c r="K1068" i="9" s="1"/>
  <c r="J1067" i="9"/>
  <c r="K1067" i="9" s="1"/>
  <c r="J1066" i="9"/>
  <c r="K1066" i="9" s="1"/>
  <c r="J1065" i="9"/>
  <c r="K1065" i="9" s="1"/>
  <c r="J1064" i="9"/>
  <c r="K1064" i="9" s="1"/>
  <c r="J1063" i="9"/>
  <c r="K1063" i="9" s="1"/>
  <c r="J1062" i="9"/>
  <c r="K1062" i="9" s="1"/>
  <c r="J1061" i="9"/>
  <c r="K1061" i="9" s="1"/>
  <c r="J1060" i="9"/>
  <c r="K1060" i="9" s="1"/>
  <c r="J1059" i="9"/>
  <c r="K1059" i="9" s="1"/>
  <c r="J1058" i="9"/>
  <c r="K1058" i="9" s="1"/>
  <c r="J1057" i="9"/>
  <c r="K1057" i="9" s="1"/>
  <c r="J1056" i="9"/>
  <c r="K1056" i="9" s="1"/>
  <c r="J1055" i="9"/>
  <c r="K1055" i="9" s="1"/>
  <c r="J1054" i="9"/>
  <c r="K1054" i="9" s="1"/>
  <c r="J1053" i="9"/>
  <c r="K1053" i="9" s="1"/>
  <c r="J1052" i="9"/>
  <c r="K1052" i="9" s="1"/>
  <c r="J1051" i="9"/>
  <c r="K1051" i="9" s="1"/>
  <c r="J1050" i="9"/>
  <c r="K1050" i="9" s="1"/>
  <c r="J1049" i="9"/>
  <c r="K1049" i="9" s="1"/>
  <c r="J1048" i="9"/>
  <c r="K1048" i="9" s="1"/>
  <c r="J1047" i="9"/>
  <c r="K1047" i="9" s="1"/>
  <c r="J1046" i="9"/>
  <c r="K1046" i="9" s="1"/>
  <c r="J1045" i="9"/>
  <c r="K1045" i="9" s="1"/>
  <c r="J1044" i="9"/>
  <c r="K1044" i="9" s="1"/>
  <c r="J1043" i="9"/>
  <c r="K1043" i="9" s="1"/>
  <c r="J1042" i="9"/>
  <c r="K1042" i="9" s="1"/>
  <c r="J1041" i="9"/>
  <c r="K1041" i="9" s="1"/>
  <c r="J1040" i="9"/>
  <c r="K1040" i="9" s="1"/>
  <c r="J1039" i="9"/>
  <c r="K1039" i="9" s="1"/>
  <c r="J1038" i="9"/>
  <c r="K1038" i="9" s="1"/>
  <c r="J1037" i="9"/>
  <c r="K1037" i="9" s="1"/>
  <c r="J1036" i="9"/>
  <c r="K1036" i="9" s="1"/>
  <c r="J1035" i="9"/>
  <c r="K1035" i="9" s="1"/>
  <c r="J1034" i="9"/>
  <c r="K1034" i="9" s="1"/>
  <c r="J1033" i="9"/>
  <c r="K1033" i="9" s="1"/>
  <c r="J1032" i="9"/>
  <c r="K1032" i="9" s="1"/>
  <c r="J1031" i="9"/>
  <c r="K1031" i="9" s="1"/>
  <c r="J1030" i="9"/>
  <c r="K1030" i="9" s="1"/>
  <c r="J1029" i="9"/>
  <c r="K1029" i="9" s="1"/>
  <c r="J1028" i="9"/>
  <c r="K1028" i="9" s="1"/>
  <c r="J1027" i="9"/>
  <c r="K1027" i="9" s="1"/>
  <c r="J1026" i="9"/>
  <c r="K1026" i="9" s="1"/>
  <c r="J1025" i="9"/>
  <c r="K1025" i="9" s="1"/>
  <c r="J1024" i="9"/>
  <c r="K1024" i="9" s="1"/>
  <c r="J1023" i="9"/>
  <c r="K1023" i="9" s="1"/>
  <c r="J1022" i="9"/>
  <c r="K1022" i="9" s="1"/>
  <c r="J1021" i="9"/>
  <c r="K1021" i="9" s="1"/>
  <c r="J1020" i="9"/>
  <c r="K1020" i="9" s="1"/>
  <c r="J1019" i="9"/>
  <c r="K1019" i="9" s="1"/>
  <c r="J1018" i="9"/>
  <c r="K1018" i="9" s="1"/>
  <c r="J1017" i="9"/>
  <c r="K1017" i="9" s="1"/>
  <c r="J1016" i="9"/>
  <c r="K1016" i="9" s="1"/>
  <c r="J1015" i="9"/>
  <c r="K1015" i="9" s="1"/>
  <c r="J1014" i="9"/>
  <c r="K1014" i="9" s="1"/>
  <c r="J1013" i="9"/>
  <c r="K1013" i="9" s="1"/>
  <c r="J1012" i="9"/>
  <c r="K1012" i="9" s="1"/>
  <c r="J1011" i="9"/>
  <c r="K1011" i="9" s="1"/>
  <c r="J1010" i="9"/>
  <c r="K1010" i="9" s="1"/>
  <c r="J1009" i="9"/>
  <c r="K1009" i="9" s="1"/>
  <c r="J1008" i="9"/>
  <c r="K1008" i="9" s="1"/>
  <c r="J1007" i="9"/>
  <c r="K1007" i="9" s="1"/>
  <c r="J1006" i="9"/>
  <c r="K1006" i="9" s="1"/>
  <c r="J1005" i="9"/>
  <c r="K1005" i="9" s="1"/>
  <c r="J1004" i="9"/>
  <c r="K1004" i="9" s="1"/>
  <c r="J1003" i="9"/>
  <c r="K1003" i="9" s="1"/>
  <c r="J1002" i="9"/>
  <c r="K1002" i="9" s="1"/>
  <c r="J1001" i="9"/>
  <c r="K1001" i="9" s="1"/>
  <c r="J1000" i="9"/>
  <c r="K1000" i="9" s="1"/>
  <c r="J999" i="9"/>
  <c r="K999" i="9" s="1"/>
  <c r="J998" i="9"/>
  <c r="K998" i="9" s="1"/>
  <c r="J997" i="9"/>
  <c r="K997" i="9" s="1"/>
  <c r="J996" i="9"/>
  <c r="K996" i="9" s="1"/>
  <c r="J995" i="9"/>
  <c r="K995" i="9" s="1"/>
  <c r="J994" i="9"/>
  <c r="K994" i="9" s="1"/>
  <c r="J993" i="9"/>
  <c r="K993" i="9" s="1"/>
  <c r="J992" i="9"/>
  <c r="K992" i="9" s="1"/>
  <c r="J991" i="9"/>
  <c r="K991" i="9" s="1"/>
  <c r="J990" i="9"/>
  <c r="K990" i="9" s="1"/>
  <c r="J989" i="9"/>
  <c r="K989" i="9" s="1"/>
  <c r="J988" i="9"/>
  <c r="K988" i="9" s="1"/>
  <c r="J987" i="9"/>
  <c r="K987" i="9" s="1"/>
  <c r="J986" i="9"/>
  <c r="K986" i="9" s="1"/>
  <c r="J985" i="9"/>
  <c r="K985" i="9" s="1"/>
  <c r="J984" i="9"/>
  <c r="K984" i="9" s="1"/>
  <c r="J983" i="9"/>
  <c r="K983" i="9" s="1"/>
  <c r="J982" i="9"/>
  <c r="K982" i="9" s="1"/>
  <c r="J981" i="9"/>
  <c r="K981" i="9" s="1"/>
  <c r="J980" i="9"/>
  <c r="K980" i="9" s="1"/>
  <c r="J979" i="9"/>
  <c r="K979" i="9" s="1"/>
  <c r="J978" i="9"/>
  <c r="K978" i="9" s="1"/>
  <c r="J977" i="9"/>
  <c r="K977" i="9" s="1"/>
  <c r="J976" i="9"/>
  <c r="K976" i="9" s="1"/>
  <c r="J975" i="9"/>
  <c r="K975" i="9" s="1"/>
  <c r="J974" i="9"/>
  <c r="K974" i="9" s="1"/>
  <c r="J973" i="9"/>
  <c r="K973" i="9" s="1"/>
  <c r="J972" i="9"/>
  <c r="K972" i="9" s="1"/>
  <c r="J971" i="9"/>
  <c r="K971" i="9" s="1"/>
  <c r="J970" i="9"/>
  <c r="K970" i="9" s="1"/>
  <c r="J969" i="9"/>
  <c r="K969" i="9" s="1"/>
  <c r="J968" i="9"/>
  <c r="K968" i="9" s="1"/>
  <c r="J967" i="9"/>
  <c r="K967" i="9" s="1"/>
  <c r="J966" i="9"/>
  <c r="K966" i="9" s="1"/>
  <c r="J965" i="9"/>
  <c r="K965" i="9" s="1"/>
  <c r="J964" i="9"/>
  <c r="K964" i="9" s="1"/>
  <c r="J963" i="9"/>
  <c r="K963" i="9" s="1"/>
  <c r="J962" i="9"/>
  <c r="K962" i="9" s="1"/>
  <c r="J961" i="9"/>
  <c r="K961" i="9" s="1"/>
  <c r="J960" i="9"/>
  <c r="K960" i="9" s="1"/>
  <c r="J959" i="9"/>
  <c r="K959" i="9" s="1"/>
  <c r="J958" i="9"/>
  <c r="K958" i="9" s="1"/>
  <c r="J957" i="9"/>
  <c r="K957" i="9" s="1"/>
  <c r="J956" i="9"/>
  <c r="K956" i="9" s="1"/>
  <c r="J955" i="9"/>
  <c r="K955" i="9" s="1"/>
  <c r="J954" i="9"/>
  <c r="K954" i="9" s="1"/>
  <c r="J953" i="9"/>
  <c r="K953" i="9" s="1"/>
  <c r="J952" i="9"/>
  <c r="K952" i="9" s="1"/>
  <c r="J951" i="9"/>
  <c r="K951" i="9" s="1"/>
  <c r="J950" i="9"/>
  <c r="K950" i="9" s="1"/>
  <c r="J949" i="9"/>
  <c r="K949" i="9" s="1"/>
  <c r="J948" i="9"/>
  <c r="K948" i="9" s="1"/>
  <c r="J947" i="9"/>
  <c r="K947" i="9" s="1"/>
  <c r="J946" i="9"/>
  <c r="K946" i="9" s="1"/>
  <c r="J945" i="9"/>
  <c r="K945" i="9" s="1"/>
  <c r="J944" i="9"/>
  <c r="K944" i="9" s="1"/>
  <c r="J943" i="9"/>
  <c r="K943" i="9" s="1"/>
  <c r="J942" i="9"/>
  <c r="K942" i="9" s="1"/>
  <c r="J941" i="9"/>
  <c r="K941" i="9" s="1"/>
  <c r="J940" i="9"/>
  <c r="K940" i="9" s="1"/>
  <c r="J939" i="9"/>
  <c r="K939" i="9" s="1"/>
  <c r="J938" i="9"/>
  <c r="K938" i="9" s="1"/>
  <c r="J937" i="9"/>
  <c r="K937" i="9" s="1"/>
  <c r="J936" i="9"/>
  <c r="K936" i="9" s="1"/>
  <c r="J935" i="9"/>
  <c r="K935" i="9" s="1"/>
  <c r="J934" i="9"/>
  <c r="K934" i="9" s="1"/>
  <c r="J933" i="9"/>
  <c r="K933" i="9" s="1"/>
  <c r="J932" i="9"/>
  <c r="K932" i="9" s="1"/>
  <c r="J931" i="9"/>
  <c r="K931" i="9" s="1"/>
  <c r="J930" i="9"/>
  <c r="K930" i="9" s="1"/>
  <c r="J929" i="9"/>
  <c r="K929" i="9" s="1"/>
  <c r="J928" i="9"/>
  <c r="K928" i="9" s="1"/>
  <c r="J927" i="9"/>
  <c r="K927" i="9" s="1"/>
  <c r="J926" i="9"/>
  <c r="K926" i="9" s="1"/>
  <c r="J925" i="9"/>
  <c r="K925" i="9" s="1"/>
  <c r="J924" i="9"/>
  <c r="K924" i="9" s="1"/>
  <c r="J923" i="9"/>
  <c r="K923" i="9" s="1"/>
  <c r="J922" i="9"/>
  <c r="K922" i="9" s="1"/>
  <c r="J921" i="9"/>
  <c r="K921" i="9" s="1"/>
  <c r="J920" i="9"/>
  <c r="K920" i="9" s="1"/>
  <c r="J919" i="9"/>
  <c r="K919" i="9" s="1"/>
  <c r="J918" i="9"/>
  <c r="K918" i="9" s="1"/>
  <c r="J917" i="9"/>
  <c r="K917" i="9" s="1"/>
  <c r="J916" i="9"/>
  <c r="K916" i="9" s="1"/>
  <c r="J915" i="9"/>
  <c r="K915" i="9" s="1"/>
  <c r="J914" i="9"/>
  <c r="K914" i="9" s="1"/>
  <c r="J913" i="9"/>
  <c r="K913" i="9" s="1"/>
  <c r="J912" i="9"/>
  <c r="K912" i="9" s="1"/>
  <c r="J911" i="9"/>
  <c r="K911" i="9" s="1"/>
  <c r="J910" i="9"/>
  <c r="K910" i="9" s="1"/>
  <c r="J909" i="9"/>
  <c r="K909" i="9" s="1"/>
  <c r="J908" i="9"/>
  <c r="K908" i="9" s="1"/>
  <c r="J907" i="9"/>
  <c r="K907" i="9" s="1"/>
  <c r="J906" i="9"/>
  <c r="K906" i="9" s="1"/>
  <c r="J905" i="9"/>
  <c r="K905" i="9" s="1"/>
  <c r="J904" i="9"/>
  <c r="K904" i="9" s="1"/>
  <c r="J903" i="9"/>
  <c r="K903" i="9" s="1"/>
  <c r="J902" i="9"/>
  <c r="K902" i="9" s="1"/>
  <c r="J901" i="9"/>
  <c r="K901" i="9" s="1"/>
  <c r="J900" i="9"/>
  <c r="K900" i="9" s="1"/>
  <c r="J899" i="9"/>
  <c r="K899" i="9" s="1"/>
  <c r="J898" i="9"/>
  <c r="K898" i="9" s="1"/>
  <c r="J897" i="9"/>
  <c r="K897" i="9" s="1"/>
  <c r="J896" i="9"/>
  <c r="K896" i="9" s="1"/>
  <c r="J895" i="9"/>
  <c r="K895" i="9" s="1"/>
  <c r="J894" i="9"/>
  <c r="K894" i="9" s="1"/>
  <c r="J893" i="9"/>
  <c r="K893" i="9" s="1"/>
  <c r="J892" i="9"/>
  <c r="K892" i="9" s="1"/>
  <c r="J891" i="9"/>
  <c r="K891" i="9" s="1"/>
  <c r="J890" i="9"/>
  <c r="K890" i="9" s="1"/>
  <c r="J889" i="9"/>
  <c r="K889" i="9" s="1"/>
  <c r="J888" i="9"/>
  <c r="K888" i="9" s="1"/>
  <c r="J887" i="9"/>
  <c r="K887" i="9" s="1"/>
  <c r="J886" i="9"/>
  <c r="K886" i="9" s="1"/>
  <c r="J885" i="9"/>
  <c r="K885" i="9" s="1"/>
  <c r="J884" i="9"/>
  <c r="K884" i="9" s="1"/>
  <c r="J883" i="9"/>
  <c r="K883" i="9" s="1"/>
  <c r="J882" i="9"/>
  <c r="K882" i="9" s="1"/>
  <c r="J881" i="9"/>
  <c r="K881" i="9" s="1"/>
  <c r="J880" i="9"/>
  <c r="K880" i="9" s="1"/>
  <c r="J879" i="9"/>
  <c r="K879" i="9" s="1"/>
  <c r="J878" i="9"/>
  <c r="K878" i="9" s="1"/>
  <c r="J877" i="9"/>
  <c r="K877" i="9" s="1"/>
  <c r="J876" i="9"/>
  <c r="K876" i="9" s="1"/>
  <c r="J875" i="9"/>
  <c r="K875" i="9" s="1"/>
  <c r="J874" i="9"/>
  <c r="K874" i="9" s="1"/>
  <c r="J873" i="9"/>
  <c r="K873" i="9" s="1"/>
  <c r="J872" i="9"/>
  <c r="K872" i="9" s="1"/>
  <c r="J871" i="9"/>
  <c r="K871" i="9" s="1"/>
  <c r="J870" i="9"/>
  <c r="K870" i="9" s="1"/>
  <c r="J869" i="9"/>
  <c r="K869" i="9" s="1"/>
  <c r="J868" i="9"/>
  <c r="K868" i="9" s="1"/>
  <c r="J867" i="9"/>
  <c r="K867" i="9" s="1"/>
  <c r="J866" i="9"/>
  <c r="K866" i="9" s="1"/>
  <c r="J865" i="9"/>
  <c r="K865" i="9" s="1"/>
  <c r="J864" i="9"/>
  <c r="K864" i="9" s="1"/>
  <c r="J863" i="9"/>
  <c r="K863" i="9" s="1"/>
  <c r="J862" i="9"/>
  <c r="K862" i="9" s="1"/>
  <c r="J861" i="9"/>
  <c r="K861" i="9" s="1"/>
  <c r="J860" i="9"/>
  <c r="K860" i="9" s="1"/>
  <c r="J859" i="9"/>
  <c r="K859" i="9" s="1"/>
  <c r="J858" i="9"/>
  <c r="K858" i="9" s="1"/>
  <c r="J857" i="9"/>
  <c r="K857" i="9" s="1"/>
  <c r="J856" i="9"/>
  <c r="K856" i="9" s="1"/>
  <c r="J855" i="9"/>
  <c r="K855" i="9" s="1"/>
  <c r="J854" i="9"/>
  <c r="K854" i="9" s="1"/>
  <c r="J853" i="9"/>
  <c r="K853" i="9" s="1"/>
  <c r="J852" i="9"/>
  <c r="K852" i="9" s="1"/>
  <c r="J851" i="9"/>
  <c r="K851" i="9" s="1"/>
  <c r="J850" i="9"/>
  <c r="K850" i="9" s="1"/>
  <c r="J849" i="9"/>
  <c r="K849" i="9" s="1"/>
  <c r="J848" i="9"/>
  <c r="K848" i="9" s="1"/>
  <c r="J847" i="9"/>
  <c r="K847" i="9" s="1"/>
  <c r="J846" i="9"/>
  <c r="K846" i="9" s="1"/>
  <c r="J845" i="9"/>
  <c r="K845" i="9" s="1"/>
  <c r="J844" i="9"/>
  <c r="K844" i="9" s="1"/>
  <c r="J843" i="9"/>
  <c r="K843" i="9" s="1"/>
  <c r="J842" i="9"/>
  <c r="K842" i="9" s="1"/>
  <c r="J841" i="9"/>
  <c r="K841" i="9" s="1"/>
  <c r="J840" i="9"/>
  <c r="K840" i="9" s="1"/>
  <c r="J839" i="9"/>
  <c r="K839" i="9" s="1"/>
  <c r="J838" i="9"/>
  <c r="K838" i="9" s="1"/>
  <c r="J837" i="9"/>
  <c r="K837" i="9" s="1"/>
  <c r="J836" i="9"/>
  <c r="K836" i="9" s="1"/>
  <c r="J835" i="9"/>
  <c r="K835" i="9" s="1"/>
  <c r="J834" i="9"/>
  <c r="K834" i="9" s="1"/>
  <c r="J833" i="9"/>
  <c r="K833" i="9" s="1"/>
  <c r="J832" i="9"/>
  <c r="K832" i="9" s="1"/>
  <c r="J831" i="9"/>
  <c r="K831" i="9" s="1"/>
  <c r="J830" i="9"/>
  <c r="K830" i="9" s="1"/>
  <c r="J829" i="9"/>
  <c r="K829" i="9" s="1"/>
  <c r="J828" i="9"/>
  <c r="K828" i="9" s="1"/>
  <c r="J827" i="9"/>
  <c r="K827" i="9" s="1"/>
  <c r="J826" i="9"/>
  <c r="K826" i="9" s="1"/>
  <c r="J825" i="9"/>
  <c r="K825" i="9" s="1"/>
  <c r="J824" i="9"/>
  <c r="K824" i="9" s="1"/>
  <c r="J823" i="9"/>
  <c r="K823" i="9" s="1"/>
  <c r="J822" i="9"/>
  <c r="K822" i="9" s="1"/>
  <c r="J821" i="9"/>
  <c r="K821" i="9" s="1"/>
  <c r="J820" i="9"/>
  <c r="K820" i="9" s="1"/>
  <c r="J819" i="9"/>
  <c r="K819" i="9" s="1"/>
  <c r="J818" i="9"/>
  <c r="K818" i="9" s="1"/>
  <c r="J817" i="9"/>
  <c r="K817" i="9" s="1"/>
  <c r="J816" i="9"/>
  <c r="K816" i="9" s="1"/>
  <c r="J815" i="9"/>
  <c r="K815" i="9" s="1"/>
  <c r="J814" i="9"/>
  <c r="K814" i="9" s="1"/>
  <c r="J813" i="9"/>
  <c r="K813" i="9" s="1"/>
  <c r="J812" i="9"/>
  <c r="K812" i="9" s="1"/>
  <c r="J811" i="9"/>
  <c r="K811" i="9" s="1"/>
  <c r="J810" i="9"/>
  <c r="K810" i="9" s="1"/>
  <c r="J809" i="9"/>
  <c r="K809" i="9" s="1"/>
  <c r="J808" i="9"/>
  <c r="K808" i="9" s="1"/>
  <c r="J807" i="9"/>
  <c r="K807" i="9" s="1"/>
  <c r="J806" i="9"/>
  <c r="K806" i="9" s="1"/>
  <c r="J805" i="9"/>
  <c r="K805" i="9" s="1"/>
  <c r="J804" i="9"/>
  <c r="K804" i="9" s="1"/>
  <c r="J803" i="9"/>
  <c r="K803" i="9" s="1"/>
  <c r="J802" i="9"/>
  <c r="K802" i="9" s="1"/>
  <c r="J801" i="9"/>
  <c r="K801" i="9" s="1"/>
  <c r="J800" i="9"/>
  <c r="K800" i="9" s="1"/>
  <c r="J799" i="9"/>
  <c r="K799" i="9" s="1"/>
  <c r="J798" i="9"/>
  <c r="K798" i="9" s="1"/>
  <c r="J797" i="9"/>
  <c r="K797" i="9" s="1"/>
  <c r="J796" i="9"/>
  <c r="K796" i="9" s="1"/>
  <c r="J795" i="9"/>
  <c r="K795" i="9" s="1"/>
  <c r="J794" i="9"/>
  <c r="K794" i="9" s="1"/>
  <c r="J793" i="9"/>
  <c r="K793" i="9" s="1"/>
  <c r="J792" i="9"/>
  <c r="K792" i="9" s="1"/>
  <c r="J791" i="9"/>
  <c r="K791" i="9" s="1"/>
  <c r="J790" i="9"/>
  <c r="K790" i="9" s="1"/>
  <c r="J789" i="9"/>
  <c r="K789" i="9" s="1"/>
  <c r="J788" i="9"/>
  <c r="K788" i="9" s="1"/>
  <c r="J787" i="9"/>
  <c r="K787" i="9" s="1"/>
  <c r="J786" i="9"/>
  <c r="K786" i="9" s="1"/>
  <c r="J785" i="9"/>
  <c r="K785" i="9" s="1"/>
  <c r="J784" i="9"/>
  <c r="K784" i="9" s="1"/>
  <c r="J783" i="9"/>
  <c r="K783" i="9" s="1"/>
  <c r="J782" i="9"/>
  <c r="K782" i="9" s="1"/>
  <c r="J781" i="9"/>
  <c r="K781" i="9" s="1"/>
  <c r="J780" i="9"/>
  <c r="K780" i="9" s="1"/>
  <c r="J779" i="9"/>
  <c r="K779" i="9" s="1"/>
  <c r="J778" i="9"/>
  <c r="K778" i="9" s="1"/>
  <c r="J777" i="9"/>
  <c r="K777" i="9" s="1"/>
  <c r="J776" i="9"/>
  <c r="K776" i="9" s="1"/>
  <c r="J775" i="9"/>
  <c r="K775" i="9" s="1"/>
  <c r="J774" i="9"/>
  <c r="K774" i="9" s="1"/>
  <c r="J773" i="9"/>
  <c r="K773" i="9" s="1"/>
  <c r="J772" i="9"/>
  <c r="K772" i="9" s="1"/>
  <c r="J771" i="9"/>
  <c r="K771" i="9" s="1"/>
  <c r="J770" i="9"/>
  <c r="K770" i="9" s="1"/>
  <c r="J769" i="9"/>
  <c r="K769" i="9" s="1"/>
  <c r="J768" i="9"/>
  <c r="K768" i="9" s="1"/>
  <c r="J767" i="9"/>
  <c r="K767" i="9" s="1"/>
  <c r="J766" i="9"/>
  <c r="K766" i="9" s="1"/>
  <c r="J765" i="9"/>
  <c r="K765" i="9" s="1"/>
  <c r="J764" i="9"/>
  <c r="K764" i="9" s="1"/>
  <c r="J763" i="9"/>
  <c r="K763" i="9" s="1"/>
  <c r="J762" i="9"/>
  <c r="K762" i="9" s="1"/>
  <c r="J761" i="9"/>
  <c r="K761" i="9" s="1"/>
  <c r="J760" i="9"/>
  <c r="K760" i="9" s="1"/>
  <c r="J759" i="9"/>
  <c r="K759" i="9" s="1"/>
  <c r="J758" i="9"/>
  <c r="K758" i="9" s="1"/>
  <c r="J757" i="9"/>
  <c r="K757" i="9" s="1"/>
  <c r="J756" i="9"/>
  <c r="K756" i="9" s="1"/>
  <c r="J755" i="9"/>
  <c r="K755" i="9" s="1"/>
  <c r="J754" i="9"/>
  <c r="K754" i="9" s="1"/>
  <c r="J753" i="9"/>
  <c r="K753" i="9" s="1"/>
  <c r="J752" i="9"/>
  <c r="K752" i="9" s="1"/>
  <c r="J751" i="9"/>
  <c r="K751" i="9" s="1"/>
  <c r="J750" i="9"/>
  <c r="K750" i="9" s="1"/>
  <c r="J749" i="9"/>
  <c r="K749" i="9" s="1"/>
  <c r="J748" i="9"/>
  <c r="K748" i="9" s="1"/>
  <c r="J747" i="9"/>
  <c r="K747" i="9" s="1"/>
  <c r="J746" i="9"/>
  <c r="K746" i="9" s="1"/>
  <c r="J745" i="9"/>
  <c r="K745" i="9" s="1"/>
  <c r="J744" i="9"/>
  <c r="K744" i="9" s="1"/>
  <c r="J743" i="9"/>
  <c r="K743" i="9" s="1"/>
  <c r="J742" i="9"/>
  <c r="K742" i="9" s="1"/>
  <c r="J741" i="9"/>
  <c r="K741" i="9" s="1"/>
  <c r="J740" i="9"/>
  <c r="K740" i="9" s="1"/>
  <c r="J739" i="9"/>
  <c r="K739" i="9" s="1"/>
  <c r="J738" i="9"/>
  <c r="K738" i="9" s="1"/>
  <c r="J737" i="9"/>
  <c r="K737" i="9" s="1"/>
  <c r="J736" i="9"/>
  <c r="K736" i="9" s="1"/>
  <c r="J735" i="9"/>
  <c r="K735" i="9" s="1"/>
  <c r="J734" i="9"/>
  <c r="K734" i="9" s="1"/>
  <c r="J733" i="9"/>
  <c r="K733" i="9" s="1"/>
  <c r="J732" i="9"/>
  <c r="K732" i="9" s="1"/>
  <c r="J731" i="9"/>
  <c r="K731" i="9" s="1"/>
  <c r="J730" i="9"/>
  <c r="K730" i="9" s="1"/>
  <c r="J729" i="9"/>
  <c r="K729" i="9" s="1"/>
  <c r="J728" i="9"/>
  <c r="K728" i="9" s="1"/>
  <c r="J727" i="9"/>
  <c r="K727" i="9" s="1"/>
  <c r="J726" i="9"/>
  <c r="K726" i="9" s="1"/>
  <c r="J725" i="9"/>
  <c r="K725" i="9" s="1"/>
  <c r="J724" i="9"/>
  <c r="K724" i="9" s="1"/>
  <c r="J723" i="9"/>
  <c r="K723" i="9" s="1"/>
  <c r="J722" i="9"/>
  <c r="K722" i="9" s="1"/>
  <c r="J721" i="9"/>
  <c r="K721" i="9" s="1"/>
  <c r="J720" i="9"/>
  <c r="K720" i="9" s="1"/>
  <c r="J719" i="9"/>
  <c r="K719" i="9" s="1"/>
  <c r="J718" i="9"/>
  <c r="K718" i="9" s="1"/>
  <c r="J717" i="9"/>
  <c r="K717" i="9" s="1"/>
  <c r="J716" i="9"/>
  <c r="K716" i="9" s="1"/>
  <c r="J715" i="9"/>
  <c r="K715" i="9" s="1"/>
  <c r="J714" i="9"/>
  <c r="K714" i="9" s="1"/>
  <c r="J713" i="9"/>
  <c r="K713" i="9" s="1"/>
  <c r="J712" i="9"/>
  <c r="K712" i="9" s="1"/>
  <c r="J711" i="9"/>
  <c r="K711" i="9" s="1"/>
  <c r="J710" i="9"/>
  <c r="K710" i="9" s="1"/>
  <c r="J709" i="9"/>
  <c r="K709" i="9" s="1"/>
  <c r="J708" i="9"/>
  <c r="K708" i="9" s="1"/>
  <c r="J707" i="9"/>
  <c r="K707" i="9" s="1"/>
  <c r="J706" i="9"/>
  <c r="K706" i="9" s="1"/>
  <c r="J705" i="9"/>
  <c r="K705" i="9" s="1"/>
  <c r="J704" i="9"/>
  <c r="K704" i="9" s="1"/>
  <c r="J703" i="9"/>
  <c r="K703" i="9" s="1"/>
  <c r="J702" i="9"/>
  <c r="K702" i="9" s="1"/>
  <c r="J701" i="9"/>
  <c r="K701" i="9" s="1"/>
  <c r="J700" i="9"/>
  <c r="K700" i="9" s="1"/>
  <c r="J699" i="9"/>
  <c r="K699" i="9" s="1"/>
  <c r="J698" i="9"/>
  <c r="K698" i="9" s="1"/>
  <c r="J697" i="9"/>
  <c r="K697" i="9" s="1"/>
  <c r="J696" i="9"/>
  <c r="K696" i="9" s="1"/>
  <c r="J695" i="9"/>
  <c r="K695" i="9" s="1"/>
  <c r="J694" i="9"/>
  <c r="K694" i="9" s="1"/>
  <c r="J693" i="9"/>
  <c r="K693" i="9" s="1"/>
  <c r="J692" i="9"/>
  <c r="K692" i="9" s="1"/>
  <c r="J691" i="9"/>
  <c r="K691" i="9" s="1"/>
  <c r="J690" i="9"/>
  <c r="K690" i="9" s="1"/>
  <c r="J689" i="9"/>
  <c r="K689" i="9" s="1"/>
  <c r="J688" i="9"/>
  <c r="K688" i="9" s="1"/>
  <c r="J687" i="9"/>
  <c r="K687" i="9" s="1"/>
  <c r="J686" i="9"/>
  <c r="K686" i="9" s="1"/>
  <c r="J685" i="9"/>
  <c r="K685" i="9" s="1"/>
  <c r="J684" i="9"/>
  <c r="K684" i="9" s="1"/>
  <c r="J683" i="9"/>
  <c r="K683" i="9" s="1"/>
  <c r="J682" i="9"/>
  <c r="K682" i="9" s="1"/>
  <c r="J681" i="9"/>
  <c r="K681" i="9" s="1"/>
  <c r="J680" i="9"/>
  <c r="K680" i="9" s="1"/>
  <c r="J679" i="9"/>
  <c r="K679" i="9" s="1"/>
  <c r="J678" i="9"/>
  <c r="K678" i="9" s="1"/>
  <c r="J677" i="9"/>
  <c r="K677" i="9" s="1"/>
  <c r="J676" i="9"/>
  <c r="K676" i="9" s="1"/>
  <c r="J675" i="9"/>
  <c r="K675" i="9" s="1"/>
  <c r="J674" i="9"/>
  <c r="K674" i="9" s="1"/>
  <c r="J673" i="9"/>
  <c r="K673" i="9" s="1"/>
  <c r="J672" i="9"/>
  <c r="K672" i="9" s="1"/>
  <c r="J671" i="9"/>
  <c r="K671" i="9" s="1"/>
  <c r="J670" i="9"/>
  <c r="K670" i="9" s="1"/>
  <c r="J669" i="9"/>
  <c r="K669" i="9" s="1"/>
  <c r="J668" i="9"/>
  <c r="K668" i="9" s="1"/>
  <c r="J667" i="9"/>
  <c r="K667" i="9" s="1"/>
  <c r="J666" i="9"/>
  <c r="K666" i="9" s="1"/>
  <c r="J665" i="9"/>
  <c r="K665" i="9" s="1"/>
  <c r="J664" i="9"/>
  <c r="K664" i="9" s="1"/>
  <c r="J663" i="9"/>
  <c r="K663" i="9" s="1"/>
  <c r="J662" i="9"/>
  <c r="K662" i="9" s="1"/>
  <c r="J661" i="9"/>
  <c r="K661" i="9" s="1"/>
  <c r="J660" i="9"/>
  <c r="K660" i="9" s="1"/>
  <c r="J659" i="9"/>
  <c r="K659" i="9" s="1"/>
  <c r="J658" i="9"/>
  <c r="K658" i="9" s="1"/>
  <c r="J657" i="9"/>
  <c r="K657" i="9" s="1"/>
  <c r="J656" i="9"/>
  <c r="K656" i="9" s="1"/>
  <c r="J655" i="9"/>
  <c r="K655" i="9" s="1"/>
  <c r="J654" i="9"/>
  <c r="K654" i="9" s="1"/>
  <c r="J653" i="9"/>
  <c r="K653" i="9" s="1"/>
  <c r="J652" i="9"/>
  <c r="K652" i="9" s="1"/>
  <c r="J651" i="9"/>
  <c r="K651" i="9" s="1"/>
  <c r="J650" i="9"/>
  <c r="K650" i="9" s="1"/>
  <c r="J649" i="9"/>
  <c r="K649" i="9" s="1"/>
  <c r="J648" i="9"/>
  <c r="K648" i="9" s="1"/>
  <c r="J647" i="9"/>
  <c r="K647" i="9" s="1"/>
  <c r="J646" i="9"/>
  <c r="K646" i="9" s="1"/>
  <c r="J645" i="9"/>
  <c r="K645" i="9" s="1"/>
  <c r="J644" i="9"/>
  <c r="K644" i="9" s="1"/>
  <c r="J643" i="9"/>
  <c r="K643" i="9" s="1"/>
  <c r="J642" i="9"/>
  <c r="K642" i="9" s="1"/>
  <c r="J641" i="9"/>
  <c r="K641" i="9" s="1"/>
  <c r="J640" i="9"/>
  <c r="K640" i="9" s="1"/>
  <c r="J639" i="9"/>
  <c r="K639" i="9" s="1"/>
  <c r="J638" i="9"/>
  <c r="K638" i="9" s="1"/>
  <c r="J637" i="9"/>
  <c r="K637" i="9" s="1"/>
  <c r="J636" i="9"/>
  <c r="K636" i="9" s="1"/>
  <c r="J635" i="9"/>
  <c r="K635" i="9" s="1"/>
  <c r="J634" i="9"/>
  <c r="K634" i="9" s="1"/>
  <c r="J633" i="9"/>
  <c r="K633" i="9" s="1"/>
  <c r="J632" i="9"/>
  <c r="K632" i="9" s="1"/>
  <c r="J631" i="9"/>
  <c r="K631" i="9" s="1"/>
  <c r="J630" i="9"/>
  <c r="K630" i="9" s="1"/>
  <c r="J629" i="9"/>
  <c r="K629" i="9" s="1"/>
  <c r="J628" i="9"/>
  <c r="K628" i="9" s="1"/>
  <c r="J627" i="9"/>
  <c r="K627" i="9" s="1"/>
  <c r="J626" i="9"/>
  <c r="K626" i="9" s="1"/>
  <c r="J625" i="9"/>
  <c r="K625" i="9" s="1"/>
  <c r="J624" i="9"/>
  <c r="K624" i="9" s="1"/>
  <c r="J623" i="9"/>
  <c r="K623" i="9" s="1"/>
  <c r="J622" i="9"/>
  <c r="K622" i="9" s="1"/>
  <c r="J621" i="9"/>
  <c r="K621" i="9" s="1"/>
  <c r="J620" i="9"/>
  <c r="K620" i="9" s="1"/>
  <c r="J619" i="9"/>
  <c r="K619" i="9" s="1"/>
  <c r="J618" i="9"/>
  <c r="K618" i="9" s="1"/>
  <c r="J617" i="9"/>
  <c r="K617" i="9" s="1"/>
  <c r="J616" i="9"/>
  <c r="K616" i="9" s="1"/>
  <c r="J615" i="9"/>
  <c r="K615" i="9" s="1"/>
  <c r="J614" i="9"/>
  <c r="K614" i="9" s="1"/>
  <c r="J613" i="9"/>
  <c r="K613" i="9" s="1"/>
  <c r="J612" i="9"/>
  <c r="K612" i="9" s="1"/>
  <c r="J611" i="9"/>
  <c r="K611" i="9" s="1"/>
  <c r="J610" i="9"/>
  <c r="K610" i="9" s="1"/>
  <c r="J609" i="9"/>
  <c r="K609" i="9" s="1"/>
  <c r="J608" i="9"/>
  <c r="K608" i="9" s="1"/>
  <c r="J607" i="9"/>
  <c r="K607" i="9" s="1"/>
  <c r="J606" i="9"/>
  <c r="K606" i="9" s="1"/>
  <c r="J605" i="9"/>
  <c r="K605" i="9" s="1"/>
  <c r="J604" i="9"/>
  <c r="K604" i="9" s="1"/>
  <c r="J603" i="9"/>
  <c r="K603" i="9" s="1"/>
  <c r="J602" i="9"/>
  <c r="K602" i="9" s="1"/>
  <c r="J601" i="9"/>
  <c r="K601" i="9" s="1"/>
  <c r="J600" i="9"/>
  <c r="K600" i="9" s="1"/>
  <c r="J599" i="9"/>
  <c r="K599" i="9" s="1"/>
  <c r="J598" i="9"/>
  <c r="K598" i="9" s="1"/>
  <c r="J597" i="9"/>
  <c r="K597" i="9" s="1"/>
  <c r="J596" i="9"/>
  <c r="K596" i="9" s="1"/>
  <c r="J595" i="9"/>
  <c r="K595" i="9" s="1"/>
  <c r="J594" i="9"/>
  <c r="K594" i="9" s="1"/>
  <c r="J593" i="9"/>
  <c r="K593" i="9" s="1"/>
  <c r="J592" i="9"/>
  <c r="K592" i="9" s="1"/>
  <c r="J591" i="9"/>
  <c r="K591" i="9" s="1"/>
  <c r="J590" i="9"/>
  <c r="K590" i="9" s="1"/>
  <c r="J589" i="9"/>
  <c r="K589" i="9" s="1"/>
  <c r="J588" i="9"/>
  <c r="K588" i="9" s="1"/>
  <c r="J587" i="9"/>
  <c r="K587" i="9" s="1"/>
  <c r="J586" i="9"/>
  <c r="K586" i="9" s="1"/>
  <c r="J585" i="9"/>
  <c r="K585" i="9" s="1"/>
  <c r="J584" i="9"/>
  <c r="K584" i="9" s="1"/>
  <c r="J583" i="9"/>
  <c r="K583" i="9" s="1"/>
  <c r="J582" i="9"/>
  <c r="K582" i="9" s="1"/>
  <c r="J581" i="9"/>
  <c r="K581" i="9" s="1"/>
  <c r="J580" i="9"/>
  <c r="K580" i="9" s="1"/>
  <c r="J579" i="9"/>
  <c r="K579" i="9" s="1"/>
  <c r="J578" i="9"/>
  <c r="K578" i="9" s="1"/>
  <c r="J577" i="9"/>
  <c r="K577" i="9" s="1"/>
  <c r="J576" i="9"/>
  <c r="K576" i="9" s="1"/>
  <c r="J575" i="9"/>
  <c r="K575" i="9" s="1"/>
  <c r="J574" i="9"/>
  <c r="K574" i="9" s="1"/>
  <c r="J573" i="9"/>
  <c r="K573" i="9" s="1"/>
  <c r="J572" i="9"/>
  <c r="K572" i="9" s="1"/>
  <c r="J571" i="9"/>
  <c r="K571" i="9" s="1"/>
  <c r="J570" i="9"/>
  <c r="K570" i="9" s="1"/>
  <c r="J569" i="9"/>
  <c r="K569" i="9" s="1"/>
  <c r="J568" i="9"/>
  <c r="K568" i="9" s="1"/>
  <c r="J567" i="9"/>
  <c r="K567" i="9" s="1"/>
  <c r="J566" i="9"/>
  <c r="K566" i="9" s="1"/>
  <c r="J565" i="9"/>
  <c r="K565" i="9" s="1"/>
  <c r="J564" i="9"/>
  <c r="K564" i="9" s="1"/>
  <c r="J563" i="9"/>
  <c r="K563" i="9" s="1"/>
  <c r="J562" i="9"/>
  <c r="K562" i="9" s="1"/>
  <c r="J561" i="9"/>
  <c r="K561" i="9" s="1"/>
  <c r="J560" i="9"/>
  <c r="K560" i="9" s="1"/>
  <c r="J559" i="9"/>
  <c r="K559" i="9" s="1"/>
  <c r="J558" i="9"/>
  <c r="K558" i="9" s="1"/>
  <c r="J557" i="9"/>
  <c r="K557" i="9" s="1"/>
  <c r="J556" i="9"/>
  <c r="K556" i="9" s="1"/>
  <c r="J555" i="9"/>
  <c r="K555" i="9" s="1"/>
  <c r="J554" i="9"/>
  <c r="K554" i="9" s="1"/>
  <c r="J553" i="9"/>
  <c r="K553" i="9" s="1"/>
  <c r="J552" i="9"/>
  <c r="K552" i="9" s="1"/>
  <c r="J551" i="9"/>
  <c r="K551" i="9" s="1"/>
  <c r="J550" i="9"/>
  <c r="K550" i="9" s="1"/>
  <c r="J549" i="9"/>
  <c r="K549" i="9" s="1"/>
  <c r="J548" i="9"/>
  <c r="K548" i="9" s="1"/>
  <c r="J547" i="9"/>
  <c r="K547" i="9" s="1"/>
  <c r="J546" i="9"/>
  <c r="K546" i="9" s="1"/>
  <c r="J545" i="9"/>
  <c r="K545" i="9" s="1"/>
  <c r="J544" i="9"/>
  <c r="K544" i="9" s="1"/>
  <c r="J543" i="9"/>
  <c r="K543" i="9" s="1"/>
  <c r="J542" i="9"/>
  <c r="K542" i="9" s="1"/>
  <c r="J541" i="9"/>
  <c r="K541" i="9" s="1"/>
  <c r="J540" i="9"/>
  <c r="K540" i="9" s="1"/>
  <c r="J539" i="9"/>
  <c r="K539" i="9" s="1"/>
  <c r="J538" i="9"/>
  <c r="K538" i="9" s="1"/>
  <c r="J537" i="9"/>
  <c r="K537" i="9" s="1"/>
  <c r="J536" i="9"/>
  <c r="K536" i="9" s="1"/>
  <c r="J535" i="9"/>
  <c r="K535" i="9" s="1"/>
  <c r="J534" i="9"/>
  <c r="K534" i="9" s="1"/>
  <c r="J533" i="9"/>
  <c r="K533" i="9" s="1"/>
  <c r="J532" i="9"/>
  <c r="K532" i="9" s="1"/>
  <c r="J531" i="9"/>
  <c r="K531" i="9" s="1"/>
  <c r="J530" i="9"/>
  <c r="K530" i="9" s="1"/>
  <c r="J529" i="9"/>
  <c r="K529" i="9" s="1"/>
  <c r="J528" i="9"/>
  <c r="K528" i="9" s="1"/>
  <c r="J527" i="9"/>
  <c r="K527" i="9" s="1"/>
  <c r="J526" i="9"/>
  <c r="K526" i="9" s="1"/>
  <c r="J525" i="9"/>
  <c r="K525" i="9" s="1"/>
  <c r="J524" i="9"/>
  <c r="K524" i="9" s="1"/>
  <c r="J523" i="9"/>
  <c r="K523" i="9" s="1"/>
  <c r="J522" i="9"/>
  <c r="K522" i="9" s="1"/>
  <c r="J521" i="9"/>
  <c r="K521" i="9" s="1"/>
  <c r="J520" i="9"/>
  <c r="K520" i="9" s="1"/>
  <c r="J519" i="9"/>
  <c r="K519" i="9" s="1"/>
  <c r="J518" i="9"/>
  <c r="K518" i="9" s="1"/>
  <c r="J517" i="9"/>
  <c r="K517" i="9" s="1"/>
  <c r="J516" i="9"/>
  <c r="K516" i="9" s="1"/>
  <c r="J515" i="9"/>
  <c r="K515" i="9" s="1"/>
  <c r="J514" i="9"/>
  <c r="K514" i="9" s="1"/>
  <c r="J513" i="9"/>
  <c r="K513" i="9" s="1"/>
  <c r="J512" i="9"/>
  <c r="K512" i="9" s="1"/>
  <c r="J511" i="9"/>
  <c r="K511" i="9" s="1"/>
  <c r="J510" i="9"/>
  <c r="K510" i="9" s="1"/>
  <c r="J509" i="9"/>
  <c r="K509" i="9" s="1"/>
  <c r="J508" i="9"/>
  <c r="K508" i="9" s="1"/>
  <c r="J507" i="9"/>
  <c r="K507" i="9" s="1"/>
  <c r="J506" i="9"/>
  <c r="K506" i="9" s="1"/>
  <c r="J505" i="9"/>
  <c r="K505" i="9" s="1"/>
  <c r="J504" i="9"/>
  <c r="K504" i="9" s="1"/>
  <c r="J503" i="9"/>
  <c r="K503" i="9" s="1"/>
  <c r="J502" i="9"/>
  <c r="K502" i="9" s="1"/>
  <c r="J501" i="9"/>
  <c r="K501" i="9" s="1"/>
  <c r="J500" i="9"/>
  <c r="K500" i="9" s="1"/>
  <c r="J499" i="9"/>
  <c r="K499" i="9" s="1"/>
  <c r="J498" i="9"/>
  <c r="K498" i="9" s="1"/>
  <c r="J497" i="9"/>
  <c r="K497" i="9" s="1"/>
  <c r="J496" i="9"/>
  <c r="K496" i="9" s="1"/>
  <c r="J495" i="9"/>
  <c r="K495" i="9" s="1"/>
  <c r="J494" i="9"/>
  <c r="K494" i="9" s="1"/>
  <c r="J493" i="9"/>
  <c r="K493" i="9" s="1"/>
  <c r="J492" i="9"/>
  <c r="K492" i="9" s="1"/>
  <c r="J491" i="9"/>
  <c r="K491" i="9" s="1"/>
  <c r="J490" i="9"/>
  <c r="K490" i="9" s="1"/>
  <c r="J489" i="9"/>
  <c r="K489" i="9" s="1"/>
  <c r="J488" i="9"/>
  <c r="K488" i="9" s="1"/>
  <c r="J487" i="9"/>
  <c r="K487" i="9" s="1"/>
  <c r="J486" i="9"/>
  <c r="K486" i="9" s="1"/>
  <c r="J485" i="9"/>
  <c r="K485" i="9" s="1"/>
  <c r="J484" i="9"/>
  <c r="K484" i="9" s="1"/>
  <c r="J483" i="9"/>
  <c r="K483" i="9" s="1"/>
  <c r="J482" i="9"/>
  <c r="K482" i="9" s="1"/>
  <c r="J481" i="9"/>
  <c r="K481" i="9" s="1"/>
  <c r="J480" i="9"/>
  <c r="K480" i="9" s="1"/>
  <c r="J479" i="9"/>
  <c r="K479" i="9" s="1"/>
  <c r="J478" i="9"/>
  <c r="K478" i="9" s="1"/>
  <c r="J477" i="9"/>
  <c r="K477" i="9" s="1"/>
  <c r="J476" i="9"/>
  <c r="K476" i="9" s="1"/>
  <c r="J475" i="9"/>
  <c r="K475" i="9" s="1"/>
  <c r="J474" i="9"/>
  <c r="K474" i="9" s="1"/>
  <c r="J473" i="9"/>
  <c r="K473" i="9" s="1"/>
  <c r="J472" i="9"/>
  <c r="K472" i="9" s="1"/>
  <c r="J471" i="9"/>
  <c r="K471" i="9" s="1"/>
  <c r="J470" i="9"/>
  <c r="K470" i="9" s="1"/>
  <c r="J469" i="9"/>
  <c r="K469" i="9" s="1"/>
  <c r="J468" i="9"/>
  <c r="K468" i="9" s="1"/>
  <c r="J467" i="9"/>
  <c r="K467" i="9" s="1"/>
  <c r="J466" i="9"/>
  <c r="K466" i="9" s="1"/>
  <c r="J465" i="9"/>
  <c r="K465" i="9" s="1"/>
  <c r="J464" i="9"/>
  <c r="K464" i="9" s="1"/>
  <c r="J463" i="9"/>
  <c r="K463" i="9" s="1"/>
  <c r="J462" i="9"/>
  <c r="K462" i="9" s="1"/>
  <c r="J461" i="9"/>
  <c r="K461" i="9" s="1"/>
  <c r="J460" i="9"/>
  <c r="K460" i="9" s="1"/>
  <c r="J459" i="9"/>
  <c r="K459" i="9" s="1"/>
  <c r="J458" i="9"/>
  <c r="K458" i="9" s="1"/>
  <c r="J457" i="9"/>
  <c r="K457" i="9" s="1"/>
  <c r="J456" i="9"/>
  <c r="K456" i="9" s="1"/>
  <c r="J455" i="9"/>
  <c r="K455" i="9" s="1"/>
  <c r="J454" i="9"/>
  <c r="K454" i="9" s="1"/>
  <c r="J453" i="9"/>
  <c r="K453" i="9" s="1"/>
  <c r="J452" i="9"/>
  <c r="K452" i="9" s="1"/>
  <c r="J451" i="9"/>
  <c r="K451" i="9" s="1"/>
  <c r="J450" i="9"/>
  <c r="K450" i="9" s="1"/>
  <c r="J449" i="9"/>
  <c r="K449" i="9" s="1"/>
  <c r="J448" i="9"/>
  <c r="K448" i="9" s="1"/>
  <c r="J447" i="9"/>
  <c r="K447" i="9" s="1"/>
  <c r="J446" i="9"/>
  <c r="K446" i="9" s="1"/>
  <c r="J445" i="9"/>
  <c r="K445" i="9" s="1"/>
  <c r="J444" i="9"/>
  <c r="K444" i="9" s="1"/>
  <c r="J443" i="9"/>
  <c r="K443" i="9" s="1"/>
  <c r="J442" i="9"/>
  <c r="K442" i="9" s="1"/>
  <c r="J441" i="9"/>
  <c r="K441" i="9" s="1"/>
  <c r="J440" i="9"/>
  <c r="K440" i="9" s="1"/>
  <c r="J439" i="9"/>
  <c r="K439" i="9" s="1"/>
  <c r="J438" i="9"/>
  <c r="K438" i="9" s="1"/>
  <c r="J437" i="9"/>
  <c r="K437" i="9" s="1"/>
  <c r="J436" i="9"/>
  <c r="K436" i="9" s="1"/>
  <c r="J435" i="9"/>
  <c r="K435" i="9" s="1"/>
  <c r="J434" i="9"/>
  <c r="K434" i="9" s="1"/>
  <c r="J433" i="9"/>
  <c r="K433" i="9" s="1"/>
  <c r="J432" i="9"/>
  <c r="K432" i="9" s="1"/>
  <c r="J431" i="9"/>
  <c r="K431" i="9" s="1"/>
  <c r="J430" i="9"/>
  <c r="K430" i="9" s="1"/>
  <c r="J429" i="9"/>
  <c r="K429" i="9" s="1"/>
  <c r="J428" i="9"/>
  <c r="K428" i="9" s="1"/>
  <c r="J427" i="9"/>
  <c r="K427" i="9" s="1"/>
  <c r="J426" i="9"/>
  <c r="K426" i="9" s="1"/>
  <c r="J425" i="9"/>
  <c r="K425" i="9" s="1"/>
  <c r="J424" i="9"/>
  <c r="K424" i="9" s="1"/>
  <c r="J423" i="9"/>
  <c r="K423" i="9" s="1"/>
  <c r="J422" i="9"/>
  <c r="K422" i="9" s="1"/>
  <c r="J421" i="9"/>
  <c r="K421" i="9" s="1"/>
  <c r="J420" i="9"/>
  <c r="K420" i="9" s="1"/>
  <c r="J419" i="9"/>
  <c r="K419" i="9" s="1"/>
  <c r="J418" i="9"/>
  <c r="K418" i="9" s="1"/>
  <c r="J417" i="9"/>
  <c r="K417" i="9" s="1"/>
  <c r="J416" i="9"/>
  <c r="K416" i="9" s="1"/>
  <c r="J415" i="9"/>
  <c r="K415" i="9" s="1"/>
  <c r="J414" i="9"/>
  <c r="K414" i="9" s="1"/>
  <c r="J413" i="9"/>
  <c r="K413" i="9" s="1"/>
  <c r="J412" i="9"/>
  <c r="K412" i="9" s="1"/>
  <c r="J411" i="9"/>
  <c r="K411" i="9" s="1"/>
  <c r="J410" i="9"/>
  <c r="K410" i="9" s="1"/>
  <c r="J409" i="9"/>
  <c r="K409" i="9" s="1"/>
  <c r="J408" i="9"/>
  <c r="K408" i="9" s="1"/>
  <c r="J407" i="9"/>
  <c r="K407" i="9" s="1"/>
  <c r="J406" i="9"/>
  <c r="K406" i="9" s="1"/>
  <c r="J405" i="9"/>
  <c r="K405" i="9" s="1"/>
  <c r="J404" i="9"/>
  <c r="K404" i="9" s="1"/>
  <c r="J403" i="9"/>
  <c r="K403" i="9" s="1"/>
  <c r="J402" i="9"/>
  <c r="K402" i="9" s="1"/>
  <c r="J401" i="9"/>
  <c r="K401" i="9" s="1"/>
  <c r="J400" i="9"/>
  <c r="K400" i="9" s="1"/>
  <c r="J399" i="9"/>
  <c r="K399" i="9" s="1"/>
  <c r="J398" i="9"/>
  <c r="K398" i="9" s="1"/>
  <c r="J397" i="9"/>
  <c r="K397" i="9" s="1"/>
  <c r="J396" i="9"/>
  <c r="K396" i="9" s="1"/>
  <c r="J395" i="9"/>
  <c r="K395" i="9" s="1"/>
  <c r="J394" i="9"/>
  <c r="K394" i="9" s="1"/>
  <c r="J393" i="9"/>
  <c r="K393" i="9" s="1"/>
  <c r="J392" i="9"/>
  <c r="K392" i="9" s="1"/>
  <c r="J391" i="9"/>
  <c r="K391" i="9" s="1"/>
  <c r="J390" i="9"/>
  <c r="K390" i="9" s="1"/>
  <c r="J389" i="9"/>
  <c r="K389" i="9" s="1"/>
  <c r="J388" i="9"/>
  <c r="K388" i="9" s="1"/>
  <c r="J387" i="9"/>
  <c r="K387" i="9" s="1"/>
  <c r="J386" i="9"/>
  <c r="K386" i="9" s="1"/>
  <c r="J385" i="9"/>
  <c r="K385" i="9" s="1"/>
  <c r="J384" i="9"/>
  <c r="K384" i="9" s="1"/>
  <c r="J383" i="9"/>
  <c r="K383" i="9" s="1"/>
  <c r="J382" i="9"/>
  <c r="K382" i="9" s="1"/>
  <c r="J381" i="9"/>
  <c r="K381" i="9" s="1"/>
  <c r="J380" i="9"/>
  <c r="K380" i="9" s="1"/>
  <c r="J379" i="9"/>
  <c r="K379" i="9" s="1"/>
  <c r="J378" i="9"/>
  <c r="K378" i="9" s="1"/>
  <c r="J377" i="9"/>
  <c r="K377" i="9" s="1"/>
  <c r="J376" i="9"/>
  <c r="K376" i="9" s="1"/>
  <c r="J375" i="9"/>
  <c r="K375" i="9" s="1"/>
  <c r="J374" i="9"/>
  <c r="K374" i="9" s="1"/>
  <c r="J373" i="9"/>
  <c r="K373" i="9" s="1"/>
  <c r="J372" i="9"/>
  <c r="K372" i="9" s="1"/>
  <c r="J371" i="9"/>
  <c r="K371" i="9" s="1"/>
  <c r="J370" i="9"/>
  <c r="K370" i="9" s="1"/>
  <c r="J369" i="9"/>
  <c r="K369" i="9" s="1"/>
  <c r="J368" i="9"/>
  <c r="K368" i="9" s="1"/>
  <c r="J367" i="9"/>
  <c r="K367" i="9" s="1"/>
  <c r="J366" i="9"/>
  <c r="K366" i="9" s="1"/>
  <c r="J365" i="9"/>
  <c r="K365" i="9" s="1"/>
  <c r="J364" i="9"/>
  <c r="K364" i="9" s="1"/>
  <c r="J363" i="9"/>
  <c r="K363" i="9" s="1"/>
  <c r="J362" i="9"/>
  <c r="K362" i="9" s="1"/>
  <c r="J361" i="9"/>
  <c r="K361" i="9" s="1"/>
  <c r="J360" i="9"/>
  <c r="K360" i="9" s="1"/>
  <c r="J359" i="9"/>
  <c r="K359" i="9" s="1"/>
  <c r="J358" i="9"/>
  <c r="K358" i="9" s="1"/>
  <c r="J357" i="9"/>
  <c r="K357" i="9" s="1"/>
  <c r="J356" i="9"/>
  <c r="K356" i="9" s="1"/>
  <c r="J355" i="9"/>
  <c r="K355" i="9" s="1"/>
  <c r="J354" i="9"/>
  <c r="K354" i="9" s="1"/>
  <c r="J353" i="9"/>
  <c r="K353" i="9" s="1"/>
  <c r="J352" i="9"/>
  <c r="K352" i="9" s="1"/>
  <c r="J351" i="9"/>
  <c r="K351" i="9" s="1"/>
  <c r="J350" i="9"/>
  <c r="K350" i="9" s="1"/>
  <c r="J349" i="9"/>
  <c r="K349" i="9" s="1"/>
  <c r="J348" i="9"/>
  <c r="K348" i="9" s="1"/>
  <c r="J347" i="9"/>
  <c r="K347" i="9" s="1"/>
  <c r="J346" i="9"/>
  <c r="K346" i="9" s="1"/>
  <c r="J345" i="9"/>
  <c r="K345" i="9" s="1"/>
  <c r="J344" i="9"/>
  <c r="K344" i="9" s="1"/>
  <c r="J343" i="9"/>
  <c r="K343" i="9" s="1"/>
  <c r="J342" i="9"/>
  <c r="K342" i="9" s="1"/>
  <c r="J341" i="9"/>
  <c r="K341" i="9" s="1"/>
  <c r="J340" i="9"/>
  <c r="K340" i="9" s="1"/>
  <c r="J339" i="9"/>
  <c r="K339" i="9" s="1"/>
  <c r="J338" i="9"/>
  <c r="K338" i="9" s="1"/>
  <c r="J337" i="9"/>
  <c r="K337" i="9" s="1"/>
  <c r="J336" i="9"/>
  <c r="K336" i="9" s="1"/>
  <c r="J335" i="9"/>
  <c r="K335" i="9" s="1"/>
  <c r="J334" i="9"/>
  <c r="K334" i="9" s="1"/>
  <c r="J333" i="9"/>
  <c r="K333" i="9" s="1"/>
  <c r="J332" i="9"/>
  <c r="K332" i="9" s="1"/>
  <c r="J331" i="9"/>
  <c r="K331" i="9" s="1"/>
  <c r="J330" i="9"/>
  <c r="K330" i="9" s="1"/>
  <c r="J329" i="9"/>
  <c r="K329" i="9" s="1"/>
  <c r="J328" i="9"/>
  <c r="K328" i="9" s="1"/>
  <c r="J327" i="9"/>
  <c r="K327" i="9" s="1"/>
  <c r="J326" i="9"/>
  <c r="K326" i="9" s="1"/>
  <c r="J325" i="9"/>
  <c r="K325" i="9" s="1"/>
  <c r="J324" i="9"/>
  <c r="K324" i="9" s="1"/>
  <c r="J323" i="9"/>
  <c r="K323" i="9" s="1"/>
  <c r="J322" i="9"/>
  <c r="K322" i="9" s="1"/>
  <c r="J321" i="9"/>
  <c r="K321" i="9" s="1"/>
  <c r="J320" i="9"/>
  <c r="K320" i="9" s="1"/>
  <c r="J319" i="9"/>
  <c r="K319" i="9" s="1"/>
  <c r="J318" i="9"/>
  <c r="K318" i="9" s="1"/>
  <c r="J317" i="9"/>
  <c r="K317" i="9" s="1"/>
  <c r="J316" i="9"/>
  <c r="K316" i="9" s="1"/>
  <c r="J315" i="9"/>
  <c r="K315" i="9" s="1"/>
  <c r="J314" i="9"/>
  <c r="K314" i="9" s="1"/>
  <c r="J313" i="9"/>
  <c r="K313" i="9" s="1"/>
  <c r="J312" i="9"/>
  <c r="K312" i="9" s="1"/>
  <c r="J311" i="9"/>
  <c r="K311" i="9" s="1"/>
  <c r="J310" i="9"/>
  <c r="K310" i="9" s="1"/>
  <c r="J309" i="9"/>
  <c r="K309" i="9" s="1"/>
  <c r="J308" i="9"/>
  <c r="K308" i="9" s="1"/>
  <c r="J307" i="9"/>
  <c r="K307" i="9" s="1"/>
  <c r="J306" i="9"/>
  <c r="K306" i="9" s="1"/>
  <c r="J305" i="9"/>
  <c r="K305" i="9" s="1"/>
  <c r="J304" i="9"/>
  <c r="K304" i="9" s="1"/>
  <c r="J303" i="9"/>
  <c r="K303" i="9" s="1"/>
  <c r="J302" i="9"/>
  <c r="K302" i="9" s="1"/>
  <c r="J301" i="9"/>
  <c r="K301" i="9" s="1"/>
  <c r="J300" i="9"/>
  <c r="K300" i="9" s="1"/>
  <c r="J299" i="9"/>
  <c r="K299" i="9" s="1"/>
  <c r="J298" i="9"/>
  <c r="K298" i="9" s="1"/>
  <c r="J297" i="9"/>
  <c r="K297" i="9" s="1"/>
  <c r="J296" i="9"/>
  <c r="K296" i="9" s="1"/>
  <c r="J295" i="9"/>
  <c r="K295" i="9" s="1"/>
  <c r="J294" i="9"/>
  <c r="K294" i="9" s="1"/>
  <c r="J293" i="9"/>
  <c r="K293" i="9" s="1"/>
  <c r="J292" i="9"/>
  <c r="K292" i="9" s="1"/>
  <c r="J291" i="9"/>
  <c r="K291" i="9" s="1"/>
  <c r="J290" i="9"/>
  <c r="K290" i="9" s="1"/>
  <c r="J289" i="9"/>
  <c r="K289" i="9" s="1"/>
  <c r="J288" i="9"/>
  <c r="K288" i="9" s="1"/>
  <c r="J287" i="9"/>
  <c r="K287" i="9" s="1"/>
  <c r="J286" i="9"/>
  <c r="K286" i="9" s="1"/>
  <c r="J285" i="9"/>
  <c r="K285" i="9" s="1"/>
  <c r="J284" i="9"/>
  <c r="K284" i="9" s="1"/>
  <c r="J283" i="9"/>
  <c r="K283" i="9" s="1"/>
  <c r="J282" i="9"/>
  <c r="K282" i="9" s="1"/>
  <c r="J281" i="9"/>
  <c r="K281" i="9" s="1"/>
  <c r="J280" i="9"/>
  <c r="K280" i="9" s="1"/>
  <c r="J279" i="9"/>
  <c r="K279" i="9" s="1"/>
  <c r="J278" i="9"/>
  <c r="K278" i="9" s="1"/>
  <c r="J277" i="9"/>
  <c r="K277" i="9" s="1"/>
  <c r="J276" i="9"/>
  <c r="K276" i="9" s="1"/>
  <c r="J275" i="9"/>
  <c r="K275" i="9" s="1"/>
  <c r="J274" i="9"/>
  <c r="K274" i="9" s="1"/>
  <c r="J273" i="9"/>
  <c r="K273" i="9" s="1"/>
  <c r="J272" i="9"/>
  <c r="K272" i="9" s="1"/>
  <c r="J271" i="9"/>
  <c r="K271" i="9" s="1"/>
  <c r="J270" i="9"/>
  <c r="K270" i="9" s="1"/>
  <c r="J269" i="9"/>
  <c r="K269" i="9" s="1"/>
  <c r="J268" i="9"/>
  <c r="K268" i="9" s="1"/>
  <c r="J267" i="9"/>
  <c r="K267" i="9" s="1"/>
  <c r="J266" i="9"/>
  <c r="K266" i="9" s="1"/>
  <c r="J265" i="9"/>
  <c r="K265" i="9" s="1"/>
  <c r="J264" i="9"/>
  <c r="K264" i="9" s="1"/>
  <c r="J263" i="9"/>
  <c r="K263" i="9" s="1"/>
  <c r="J262" i="9"/>
  <c r="K262" i="9" s="1"/>
  <c r="J261" i="9"/>
  <c r="K261" i="9" s="1"/>
  <c r="J260" i="9"/>
  <c r="K260" i="9" s="1"/>
  <c r="J259" i="9"/>
  <c r="K259" i="9" s="1"/>
  <c r="J258" i="9"/>
  <c r="K258" i="9" s="1"/>
  <c r="J257" i="9"/>
  <c r="K257" i="9" s="1"/>
  <c r="J256" i="9"/>
  <c r="K256" i="9" s="1"/>
  <c r="J255" i="9"/>
  <c r="K255" i="9" s="1"/>
  <c r="J254" i="9"/>
  <c r="K254" i="9" s="1"/>
  <c r="J253" i="9"/>
  <c r="K253" i="9" s="1"/>
  <c r="J252" i="9"/>
  <c r="K252" i="9" s="1"/>
  <c r="J251" i="9"/>
  <c r="K251" i="9" s="1"/>
  <c r="J250" i="9"/>
  <c r="K250" i="9" s="1"/>
  <c r="J249" i="9"/>
  <c r="K249" i="9" s="1"/>
  <c r="J248" i="9"/>
  <c r="K248" i="9" s="1"/>
  <c r="J247" i="9"/>
  <c r="K247" i="9" s="1"/>
  <c r="J246" i="9"/>
  <c r="K246" i="9" s="1"/>
  <c r="J245" i="9"/>
  <c r="K245" i="9" s="1"/>
  <c r="J244" i="9"/>
  <c r="K244" i="9" s="1"/>
  <c r="J243" i="9"/>
  <c r="K243" i="9" s="1"/>
  <c r="J242" i="9"/>
  <c r="K242" i="9" s="1"/>
  <c r="J241" i="9"/>
  <c r="K241" i="9" s="1"/>
  <c r="J240" i="9"/>
  <c r="K240" i="9" s="1"/>
  <c r="J239" i="9"/>
  <c r="K239" i="9" s="1"/>
  <c r="J238" i="9"/>
  <c r="K238" i="9" s="1"/>
  <c r="J237" i="9"/>
  <c r="K237" i="9" s="1"/>
  <c r="J236" i="9"/>
  <c r="K236" i="9" s="1"/>
  <c r="J235" i="9"/>
  <c r="K235" i="9" s="1"/>
  <c r="J234" i="9"/>
  <c r="K234" i="9" s="1"/>
  <c r="J233" i="9"/>
  <c r="K233" i="9" s="1"/>
  <c r="J232" i="9"/>
  <c r="K232" i="9" s="1"/>
  <c r="J231" i="9"/>
  <c r="K231" i="9" s="1"/>
  <c r="J230" i="9"/>
  <c r="K230" i="9" s="1"/>
  <c r="J229" i="9"/>
  <c r="K229" i="9" s="1"/>
  <c r="J228" i="9"/>
  <c r="K228" i="9" s="1"/>
  <c r="J227" i="9"/>
  <c r="K227" i="9" s="1"/>
  <c r="J226" i="9"/>
  <c r="K226" i="9" s="1"/>
  <c r="J225" i="9"/>
  <c r="K225" i="9" s="1"/>
  <c r="J224" i="9"/>
  <c r="K224" i="9" s="1"/>
  <c r="J223" i="9"/>
  <c r="K223" i="9" s="1"/>
  <c r="J222" i="9"/>
  <c r="K222" i="9" s="1"/>
  <c r="J221" i="9"/>
  <c r="K221" i="9" s="1"/>
  <c r="J220" i="9"/>
  <c r="K220" i="9" s="1"/>
  <c r="J219" i="9"/>
  <c r="K219" i="9" s="1"/>
  <c r="J218" i="9"/>
  <c r="K218" i="9" s="1"/>
  <c r="J217" i="9"/>
  <c r="K217" i="9" s="1"/>
  <c r="J216" i="9"/>
  <c r="K216" i="9" s="1"/>
  <c r="J215" i="9"/>
  <c r="K215" i="9" s="1"/>
  <c r="J214" i="9"/>
  <c r="K214" i="9" s="1"/>
  <c r="J213" i="9"/>
  <c r="K213" i="9" s="1"/>
  <c r="J212" i="9"/>
  <c r="K212" i="9" s="1"/>
  <c r="J211" i="9"/>
  <c r="K211" i="9" s="1"/>
  <c r="J210" i="9"/>
  <c r="K210" i="9" s="1"/>
  <c r="J209" i="9"/>
  <c r="K209" i="9" s="1"/>
  <c r="J208" i="9"/>
  <c r="K208" i="9" s="1"/>
  <c r="J207" i="9"/>
  <c r="K207" i="9" s="1"/>
  <c r="J206" i="9"/>
  <c r="K206" i="9" s="1"/>
  <c r="J205" i="9"/>
  <c r="K205" i="9" s="1"/>
  <c r="J204" i="9"/>
  <c r="K204" i="9" s="1"/>
  <c r="J203" i="9"/>
  <c r="K203" i="9" s="1"/>
  <c r="J202" i="9"/>
  <c r="K202" i="9" s="1"/>
  <c r="J201" i="9"/>
  <c r="K201" i="9" s="1"/>
  <c r="J200" i="9"/>
  <c r="K200" i="9" s="1"/>
  <c r="J199" i="9"/>
  <c r="K199" i="9" s="1"/>
  <c r="J198" i="9"/>
  <c r="K198" i="9" s="1"/>
  <c r="J197" i="9"/>
  <c r="K197" i="9" s="1"/>
  <c r="J196" i="9"/>
  <c r="K196" i="9" s="1"/>
  <c r="J195" i="9"/>
  <c r="K195" i="9" s="1"/>
  <c r="J194" i="9"/>
  <c r="K194" i="9" s="1"/>
  <c r="J193" i="9"/>
  <c r="K193" i="9" s="1"/>
  <c r="J192" i="9"/>
  <c r="K192" i="9" s="1"/>
  <c r="J191" i="9"/>
  <c r="K191" i="9" s="1"/>
  <c r="J190" i="9"/>
  <c r="K190" i="9" s="1"/>
  <c r="J189" i="9"/>
  <c r="K189" i="9" s="1"/>
  <c r="J188" i="9"/>
  <c r="K188" i="9" s="1"/>
  <c r="J187" i="9"/>
  <c r="K187" i="9" s="1"/>
  <c r="J186" i="9"/>
  <c r="K186" i="9" s="1"/>
  <c r="J185" i="9"/>
  <c r="K185" i="9" s="1"/>
  <c r="J184" i="9"/>
  <c r="K184" i="9" s="1"/>
  <c r="J183" i="9"/>
  <c r="K183" i="9" s="1"/>
  <c r="J182" i="9"/>
  <c r="K182" i="9" s="1"/>
  <c r="J181" i="9"/>
  <c r="K181" i="9" s="1"/>
  <c r="J180" i="9"/>
  <c r="K180" i="9" s="1"/>
  <c r="J179" i="9"/>
  <c r="K179" i="9" s="1"/>
  <c r="J178" i="9"/>
  <c r="K178" i="9" s="1"/>
  <c r="J177" i="9"/>
  <c r="K177" i="9" s="1"/>
  <c r="J176" i="9"/>
  <c r="K176" i="9" s="1"/>
  <c r="J175" i="9"/>
  <c r="K175" i="9" s="1"/>
  <c r="J174" i="9"/>
  <c r="K174" i="9" s="1"/>
  <c r="J173" i="9"/>
  <c r="K173" i="9" s="1"/>
  <c r="J172" i="9"/>
  <c r="K172" i="9" s="1"/>
  <c r="J171" i="9"/>
  <c r="K171" i="9" s="1"/>
  <c r="J170" i="9"/>
  <c r="K170" i="9" s="1"/>
  <c r="J169" i="9"/>
  <c r="K169" i="9" s="1"/>
  <c r="J168" i="9"/>
  <c r="K168" i="9" s="1"/>
  <c r="J167" i="9"/>
  <c r="K167" i="9" s="1"/>
  <c r="J166" i="9"/>
  <c r="K166" i="9" s="1"/>
  <c r="J165" i="9"/>
  <c r="K165" i="9" s="1"/>
  <c r="J164" i="9"/>
  <c r="K164" i="9" s="1"/>
  <c r="J163" i="9"/>
  <c r="K163" i="9" s="1"/>
  <c r="J162" i="9"/>
  <c r="K162" i="9" s="1"/>
  <c r="J161" i="9"/>
  <c r="K161" i="9" s="1"/>
  <c r="J160" i="9"/>
  <c r="K160" i="9" s="1"/>
  <c r="J159" i="9"/>
  <c r="K159" i="9" s="1"/>
  <c r="J158" i="9"/>
  <c r="K158" i="9" s="1"/>
  <c r="J157" i="9"/>
  <c r="K157" i="9" s="1"/>
  <c r="J156" i="9"/>
  <c r="K156" i="9" s="1"/>
  <c r="J155" i="9"/>
  <c r="K155" i="9" s="1"/>
  <c r="J154" i="9"/>
  <c r="K154" i="9" s="1"/>
  <c r="J153" i="9"/>
  <c r="K153" i="9" s="1"/>
  <c r="J152" i="9"/>
  <c r="K152" i="9" s="1"/>
  <c r="J151" i="9"/>
  <c r="K151" i="9" s="1"/>
  <c r="J150" i="9"/>
  <c r="K150" i="9" s="1"/>
  <c r="J149" i="9"/>
  <c r="K149" i="9" s="1"/>
  <c r="J148" i="9"/>
  <c r="K148" i="9" s="1"/>
  <c r="J147" i="9"/>
  <c r="K147" i="9" s="1"/>
  <c r="J146" i="9"/>
  <c r="K146" i="9" s="1"/>
  <c r="J145" i="9"/>
  <c r="K145" i="9" s="1"/>
  <c r="J144" i="9"/>
  <c r="K144" i="9" s="1"/>
  <c r="J143" i="9"/>
  <c r="K143" i="9" s="1"/>
  <c r="J142" i="9"/>
  <c r="K142" i="9" s="1"/>
  <c r="J141" i="9"/>
  <c r="K141" i="9" s="1"/>
  <c r="J140" i="9"/>
  <c r="K140" i="9" s="1"/>
  <c r="J139" i="9"/>
  <c r="K139" i="9" s="1"/>
  <c r="J138" i="9"/>
  <c r="K138" i="9" s="1"/>
  <c r="J137" i="9"/>
  <c r="K137" i="9" s="1"/>
  <c r="J136" i="9"/>
  <c r="K136" i="9" s="1"/>
  <c r="J135" i="9"/>
  <c r="K135" i="9" s="1"/>
  <c r="J134" i="9"/>
  <c r="K134" i="9" s="1"/>
  <c r="J133" i="9"/>
  <c r="K133" i="9" s="1"/>
  <c r="J132" i="9"/>
  <c r="K132" i="9" s="1"/>
  <c r="J131" i="9"/>
  <c r="K131" i="9" s="1"/>
  <c r="J130" i="9"/>
  <c r="K130" i="9" s="1"/>
  <c r="J129" i="9"/>
  <c r="K129" i="9" s="1"/>
  <c r="J128" i="9"/>
  <c r="K128" i="9" s="1"/>
  <c r="J127" i="9"/>
  <c r="K127" i="9" s="1"/>
  <c r="J126" i="9"/>
  <c r="K126" i="9" s="1"/>
  <c r="J125" i="9"/>
  <c r="K125" i="9" s="1"/>
  <c r="J124" i="9"/>
  <c r="K124" i="9" s="1"/>
  <c r="J123" i="9"/>
  <c r="K123" i="9" s="1"/>
  <c r="J122" i="9"/>
  <c r="K122" i="9" s="1"/>
  <c r="J121" i="9"/>
  <c r="K121" i="9" s="1"/>
  <c r="J120" i="9"/>
  <c r="K120" i="9" s="1"/>
  <c r="J119" i="9"/>
  <c r="K119" i="9" s="1"/>
  <c r="J118" i="9"/>
  <c r="K118" i="9" s="1"/>
  <c r="J117" i="9"/>
  <c r="K117" i="9" s="1"/>
  <c r="J116" i="9"/>
  <c r="K116" i="9" s="1"/>
  <c r="J115" i="9"/>
  <c r="K115" i="9" s="1"/>
  <c r="J114" i="9"/>
  <c r="K114" i="9" s="1"/>
  <c r="J113" i="9"/>
  <c r="K113" i="9" s="1"/>
  <c r="J112" i="9"/>
  <c r="K112" i="9" s="1"/>
  <c r="J111" i="9"/>
  <c r="K111" i="9" s="1"/>
  <c r="J110" i="9"/>
  <c r="K110" i="9" s="1"/>
  <c r="J109" i="9"/>
  <c r="K109" i="9" s="1"/>
  <c r="J108" i="9"/>
  <c r="K108" i="9" s="1"/>
  <c r="J107" i="9"/>
  <c r="K107" i="9" s="1"/>
  <c r="J106" i="9"/>
  <c r="K106" i="9" s="1"/>
  <c r="J105" i="9"/>
  <c r="K105" i="9" s="1"/>
  <c r="J104" i="9"/>
  <c r="K104" i="9" s="1"/>
  <c r="J103" i="9"/>
  <c r="K103" i="9" s="1"/>
  <c r="J102" i="9"/>
  <c r="K102" i="9" s="1"/>
  <c r="J101" i="9"/>
  <c r="K101" i="9" s="1"/>
  <c r="J100" i="9"/>
  <c r="K100" i="9" s="1"/>
  <c r="J99" i="9"/>
  <c r="K99" i="9" s="1"/>
  <c r="J98" i="9"/>
  <c r="K98" i="9" s="1"/>
  <c r="J97" i="9"/>
  <c r="K97" i="9" s="1"/>
  <c r="J96" i="9"/>
  <c r="K96" i="9" s="1"/>
  <c r="J95" i="9"/>
  <c r="K95" i="9" s="1"/>
  <c r="J94" i="9"/>
  <c r="K94" i="9" s="1"/>
  <c r="J93" i="9"/>
  <c r="K93" i="9" s="1"/>
  <c r="J92" i="9"/>
  <c r="K92" i="9" s="1"/>
  <c r="J91" i="9"/>
  <c r="K91" i="9" s="1"/>
  <c r="J90" i="9"/>
  <c r="K90" i="9" s="1"/>
  <c r="J89" i="9"/>
  <c r="K89" i="9" s="1"/>
  <c r="J88" i="9"/>
  <c r="K88" i="9" s="1"/>
  <c r="J87" i="9"/>
  <c r="K87" i="9" s="1"/>
  <c r="J86" i="9"/>
  <c r="K86" i="9" s="1"/>
  <c r="J85" i="9"/>
  <c r="K85" i="9" s="1"/>
  <c r="J84" i="9"/>
  <c r="K84" i="9" s="1"/>
  <c r="J83" i="9"/>
  <c r="K83" i="9" s="1"/>
  <c r="J82" i="9"/>
  <c r="K82" i="9" s="1"/>
  <c r="J81" i="9"/>
  <c r="K81" i="9" s="1"/>
  <c r="J80" i="9"/>
  <c r="K80" i="9" s="1"/>
  <c r="J79" i="9"/>
  <c r="K79" i="9" s="1"/>
  <c r="J78" i="9"/>
  <c r="K78" i="9" s="1"/>
  <c r="J77" i="9"/>
  <c r="K77" i="9" s="1"/>
  <c r="J76" i="9"/>
  <c r="K76" i="9" s="1"/>
  <c r="J75" i="9"/>
  <c r="K75" i="9" s="1"/>
  <c r="J74" i="9"/>
  <c r="K74" i="9" s="1"/>
  <c r="J73" i="9"/>
  <c r="K73" i="9" s="1"/>
  <c r="J72" i="9"/>
  <c r="K72" i="9" s="1"/>
  <c r="J71" i="9"/>
  <c r="K71" i="9" s="1"/>
  <c r="J70" i="9"/>
  <c r="K70" i="9" s="1"/>
  <c r="J69" i="9"/>
  <c r="K69" i="9" s="1"/>
  <c r="J68" i="9"/>
  <c r="K68" i="9" s="1"/>
  <c r="J67" i="9"/>
  <c r="K67" i="9" s="1"/>
  <c r="J66" i="9"/>
  <c r="K66" i="9" s="1"/>
  <c r="J65" i="9"/>
  <c r="K65" i="9" s="1"/>
  <c r="J64" i="9"/>
  <c r="K64" i="9" s="1"/>
  <c r="J63" i="9"/>
  <c r="K63" i="9" s="1"/>
  <c r="J62" i="9"/>
  <c r="K62" i="9" s="1"/>
  <c r="J61" i="9"/>
  <c r="K61" i="9" s="1"/>
  <c r="J60" i="9"/>
  <c r="K60" i="9" s="1"/>
  <c r="J59" i="9"/>
  <c r="K59" i="9" s="1"/>
  <c r="J58" i="9"/>
  <c r="K58" i="9" s="1"/>
  <c r="J57" i="9"/>
  <c r="K57" i="9" s="1"/>
  <c r="J56" i="9"/>
  <c r="K56" i="9" s="1"/>
  <c r="J55" i="9"/>
  <c r="K55" i="9" s="1"/>
  <c r="J54" i="9"/>
  <c r="K54" i="9" s="1"/>
  <c r="J53" i="9"/>
  <c r="K53" i="9" s="1"/>
  <c r="J52" i="9"/>
  <c r="K52" i="9" s="1"/>
  <c r="J51" i="9"/>
  <c r="K51" i="9" s="1"/>
  <c r="J50" i="9"/>
  <c r="K50" i="9" s="1"/>
  <c r="J49" i="9"/>
  <c r="K49" i="9" s="1"/>
  <c r="J48" i="9"/>
  <c r="K48" i="9" s="1"/>
  <c r="J47" i="9"/>
  <c r="K47" i="9" s="1"/>
  <c r="J46" i="9"/>
  <c r="K46" i="9" s="1"/>
  <c r="J45" i="9"/>
  <c r="K45" i="9" s="1"/>
  <c r="J44" i="9"/>
  <c r="K44" i="9" s="1"/>
  <c r="J43" i="9"/>
  <c r="K43" i="9" s="1"/>
  <c r="J42" i="9"/>
  <c r="K42" i="9" s="1"/>
  <c r="J41" i="9"/>
  <c r="K41" i="9" s="1"/>
  <c r="J40" i="9"/>
  <c r="K40" i="9" s="1"/>
  <c r="J39" i="9"/>
  <c r="K39" i="9" s="1"/>
  <c r="J38" i="9"/>
  <c r="K38" i="9" s="1"/>
  <c r="J37" i="9"/>
  <c r="K37" i="9" s="1"/>
  <c r="J36" i="9"/>
  <c r="K36" i="9" s="1"/>
  <c r="J35" i="9"/>
  <c r="K35" i="9" s="1"/>
  <c r="J34" i="9"/>
  <c r="K34" i="9" s="1"/>
  <c r="J33" i="9"/>
  <c r="K33" i="9" s="1"/>
  <c r="J32" i="9"/>
  <c r="K32" i="9" s="1"/>
  <c r="J31" i="9"/>
  <c r="K31" i="9" s="1"/>
  <c r="J30" i="9"/>
  <c r="K30" i="9" s="1"/>
  <c r="J29" i="9"/>
  <c r="K29" i="9" s="1"/>
  <c r="J28" i="9"/>
  <c r="K28" i="9" s="1"/>
  <c r="J27" i="9"/>
  <c r="K27" i="9" s="1"/>
  <c r="J26" i="9"/>
  <c r="K26" i="9" s="1"/>
  <c r="J25" i="9"/>
  <c r="K25" i="9" s="1"/>
  <c r="J24" i="9"/>
  <c r="K24" i="9" s="1"/>
  <c r="J23" i="9"/>
  <c r="K23" i="9" s="1"/>
  <c r="J22" i="9"/>
  <c r="K22" i="9" s="1"/>
  <c r="J21" i="9"/>
  <c r="K21" i="9" s="1"/>
  <c r="J20" i="9"/>
  <c r="K20" i="9" s="1"/>
  <c r="J19" i="9"/>
  <c r="K19" i="9" s="1"/>
  <c r="I23" i="4" s="1"/>
  <c r="J18" i="9"/>
  <c r="K18" i="9" s="1"/>
  <c r="J17" i="9"/>
  <c r="K17" i="9" s="1"/>
  <c r="I5" i="4" s="1"/>
  <c r="J16" i="9"/>
  <c r="K16" i="9" s="1"/>
  <c r="J15" i="9"/>
  <c r="K15" i="9" s="1"/>
  <c r="J14" i="9"/>
  <c r="K14" i="9" s="1"/>
  <c r="I19" i="4" s="1"/>
  <c r="J13" i="9"/>
  <c r="K13" i="9" s="1"/>
  <c r="U9" i="4" s="1"/>
  <c r="J12" i="9"/>
  <c r="K12" i="9" s="1"/>
  <c r="I22" i="4" s="1"/>
  <c r="J11" i="9"/>
  <c r="K11" i="9" s="1"/>
  <c r="I21" i="4" s="1"/>
  <c r="J10" i="9"/>
  <c r="K10" i="9" s="1"/>
  <c r="J9" i="9"/>
  <c r="K9" i="9" s="1"/>
  <c r="U6" i="4" s="1"/>
  <c r="W6" i="4" s="1"/>
  <c r="J8" i="9"/>
  <c r="K8" i="9" s="1"/>
  <c r="J7" i="9"/>
  <c r="K7" i="9" s="1"/>
  <c r="I26" i="4" s="1"/>
  <c r="J6" i="9"/>
  <c r="K6" i="9" s="1"/>
  <c r="J5" i="9"/>
  <c r="K5" i="9" s="1"/>
  <c r="I20" i="4" s="1"/>
  <c r="J4" i="9"/>
  <c r="K4" i="9" s="1"/>
  <c r="I25" i="4" s="1"/>
  <c r="J3" i="9"/>
  <c r="K3" i="9" s="1"/>
  <c r="X7" i="4" s="1"/>
  <c r="J2" i="9"/>
  <c r="K2" i="9" s="1"/>
  <c r="X8" i="4" s="1"/>
  <c r="J2046" i="2"/>
  <c r="K2046" i="2" s="1"/>
  <c r="J2045" i="2"/>
  <c r="K2045" i="2" s="1"/>
  <c r="J2044" i="2"/>
  <c r="K2044" i="2" s="1"/>
  <c r="J2043" i="2"/>
  <c r="K2043" i="2" s="1"/>
  <c r="J2042" i="2"/>
  <c r="K2042" i="2" s="1"/>
  <c r="J2041" i="2"/>
  <c r="K2041" i="2" s="1"/>
  <c r="J2040" i="2"/>
  <c r="K2040" i="2" s="1"/>
  <c r="J2039" i="2"/>
  <c r="K2039" i="2" s="1"/>
  <c r="J2038" i="2"/>
  <c r="K2038" i="2" s="1"/>
  <c r="J2037" i="2"/>
  <c r="K2037" i="2" s="1"/>
  <c r="J2036" i="2"/>
  <c r="K2036" i="2" s="1"/>
  <c r="J2035" i="2"/>
  <c r="K2035" i="2" s="1"/>
  <c r="J2034" i="2"/>
  <c r="K2034" i="2" s="1"/>
  <c r="J2033" i="2"/>
  <c r="K2033" i="2" s="1"/>
  <c r="J2032" i="2"/>
  <c r="K2032" i="2" s="1"/>
  <c r="J2031" i="2"/>
  <c r="K2031" i="2" s="1"/>
  <c r="J2030" i="2"/>
  <c r="K2030" i="2" s="1"/>
  <c r="J2029" i="2"/>
  <c r="K2029" i="2" s="1"/>
  <c r="J2028" i="2"/>
  <c r="K2028" i="2" s="1"/>
  <c r="J2027" i="2"/>
  <c r="K2027" i="2" s="1"/>
  <c r="J2026" i="2"/>
  <c r="K2026" i="2" s="1"/>
  <c r="J2025" i="2"/>
  <c r="K2025" i="2" s="1"/>
  <c r="J2024" i="2"/>
  <c r="K2024" i="2" s="1"/>
  <c r="J2023" i="2"/>
  <c r="K2023" i="2" s="1"/>
  <c r="J2022" i="2"/>
  <c r="K2022" i="2" s="1"/>
  <c r="J2021" i="2"/>
  <c r="K2021" i="2" s="1"/>
  <c r="J2020" i="2"/>
  <c r="K2020" i="2" s="1"/>
  <c r="J2019" i="2"/>
  <c r="K2019" i="2" s="1"/>
  <c r="J2018" i="2"/>
  <c r="K2018" i="2" s="1"/>
  <c r="J2017" i="2"/>
  <c r="K2017" i="2" s="1"/>
  <c r="J2016" i="2"/>
  <c r="K2016" i="2" s="1"/>
  <c r="J2015" i="2"/>
  <c r="K2015" i="2" s="1"/>
  <c r="J2014" i="2"/>
  <c r="K2014" i="2" s="1"/>
  <c r="J2013" i="2"/>
  <c r="K2013" i="2" s="1"/>
  <c r="J2012" i="2"/>
  <c r="K2012" i="2" s="1"/>
  <c r="J2011" i="2"/>
  <c r="K2011" i="2" s="1"/>
  <c r="J2010" i="2"/>
  <c r="K2010" i="2" s="1"/>
  <c r="J2009" i="2"/>
  <c r="K2009" i="2" s="1"/>
  <c r="J2008" i="2"/>
  <c r="K2008" i="2" s="1"/>
  <c r="J2007" i="2"/>
  <c r="K2007" i="2" s="1"/>
  <c r="J2006" i="2"/>
  <c r="K2006" i="2" s="1"/>
  <c r="J2005" i="2"/>
  <c r="K2005" i="2" s="1"/>
  <c r="J2004" i="2"/>
  <c r="K2004" i="2" s="1"/>
  <c r="J2003" i="2"/>
  <c r="K2003" i="2" s="1"/>
  <c r="J2002" i="2"/>
  <c r="K2002" i="2" s="1"/>
  <c r="J2001" i="2"/>
  <c r="K2001" i="2" s="1"/>
  <c r="J2000" i="2"/>
  <c r="K2000" i="2" s="1"/>
  <c r="J1999" i="2"/>
  <c r="K1999" i="2" s="1"/>
  <c r="J1998" i="2"/>
  <c r="K1998" i="2" s="1"/>
  <c r="J1997" i="2"/>
  <c r="K1997" i="2" s="1"/>
  <c r="J1996" i="2"/>
  <c r="K1996" i="2" s="1"/>
  <c r="J1995" i="2"/>
  <c r="K1995" i="2" s="1"/>
  <c r="J1994" i="2"/>
  <c r="K1994" i="2" s="1"/>
  <c r="J1993" i="2"/>
  <c r="K1993" i="2" s="1"/>
  <c r="J1992" i="2"/>
  <c r="K1992" i="2" s="1"/>
  <c r="J1991" i="2"/>
  <c r="K1991" i="2" s="1"/>
  <c r="J1990" i="2"/>
  <c r="K1990" i="2" s="1"/>
  <c r="J1989" i="2"/>
  <c r="K1989" i="2" s="1"/>
  <c r="J1988" i="2"/>
  <c r="K1988" i="2" s="1"/>
  <c r="J1987" i="2"/>
  <c r="K1987" i="2" s="1"/>
  <c r="J1986" i="2"/>
  <c r="K1986" i="2" s="1"/>
  <c r="J1985" i="2"/>
  <c r="K1985" i="2" s="1"/>
  <c r="J1984" i="2"/>
  <c r="K1984" i="2" s="1"/>
  <c r="J1983" i="2"/>
  <c r="K1983" i="2" s="1"/>
  <c r="J1982" i="2"/>
  <c r="K1982" i="2" s="1"/>
  <c r="J1981" i="2"/>
  <c r="K1981" i="2" s="1"/>
  <c r="J1980" i="2"/>
  <c r="K1980" i="2" s="1"/>
  <c r="J1979" i="2"/>
  <c r="K1979" i="2" s="1"/>
  <c r="J1978" i="2"/>
  <c r="K1978" i="2" s="1"/>
  <c r="J1977" i="2"/>
  <c r="K1977" i="2" s="1"/>
  <c r="J1976" i="2"/>
  <c r="K1976" i="2" s="1"/>
  <c r="J1975" i="2"/>
  <c r="K1975" i="2" s="1"/>
  <c r="J1974" i="2"/>
  <c r="K1974" i="2" s="1"/>
  <c r="J1973" i="2"/>
  <c r="K1973" i="2" s="1"/>
  <c r="J1972" i="2"/>
  <c r="K1972" i="2" s="1"/>
  <c r="J1971" i="2"/>
  <c r="K1971" i="2" s="1"/>
  <c r="J1970" i="2"/>
  <c r="K1970" i="2" s="1"/>
  <c r="J1969" i="2"/>
  <c r="K1969" i="2" s="1"/>
  <c r="J1968" i="2"/>
  <c r="K1968" i="2" s="1"/>
  <c r="J1967" i="2"/>
  <c r="K1967" i="2" s="1"/>
  <c r="J1966" i="2"/>
  <c r="K1966" i="2" s="1"/>
  <c r="J1965" i="2"/>
  <c r="K1965" i="2" s="1"/>
  <c r="J1964" i="2"/>
  <c r="K1964" i="2" s="1"/>
  <c r="J1963" i="2"/>
  <c r="K1963" i="2" s="1"/>
  <c r="J1962" i="2"/>
  <c r="K1962" i="2" s="1"/>
  <c r="J1961" i="2"/>
  <c r="K1961" i="2" s="1"/>
  <c r="J1960" i="2"/>
  <c r="K1960" i="2" s="1"/>
  <c r="J1959" i="2"/>
  <c r="K1959" i="2" s="1"/>
  <c r="J1958" i="2"/>
  <c r="K1958" i="2" s="1"/>
  <c r="J1957" i="2"/>
  <c r="K1957" i="2" s="1"/>
  <c r="J1956" i="2"/>
  <c r="K1956" i="2" s="1"/>
  <c r="J1955" i="2"/>
  <c r="K1955" i="2" s="1"/>
  <c r="J1954" i="2"/>
  <c r="K1954" i="2" s="1"/>
  <c r="J1953" i="2"/>
  <c r="K1953" i="2" s="1"/>
  <c r="J1952" i="2"/>
  <c r="K1952" i="2" s="1"/>
  <c r="J1951" i="2"/>
  <c r="K1951" i="2" s="1"/>
  <c r="J1950" i="2"/>
  <c r="K1950" i="2" s="1"/>
  <c r="J1949" i="2"/>
  <c r="K1949" i="2" s="1"/>
  <c r="J1948" i="2"/>
  <c r="K1948" i="2" s="1"/>
  <c r="J1947" i="2"/>
  <c r="K1947" i="2" s="1"/>
  <c r="J1946" i="2"/>
  <c r="K1946" i="2" s="1"/>
  <c r="J1945" i="2"/>
  <c r="K1945" i="2" s="1"/>
  <c r="J1944" i="2"/>
  <c r="K1944" i="2" s="1"/>
  <c r="J1943" i="2"/>
  <c r="K1943" i="2" s="1"/>
  <c r="J1942" i="2"/>
  <c r="K1942" i="2" s="1"/>
  <c r="J1941" i="2"/>
  <c r="K1941" i="2" s="1"/>
  <c r="J1940" i="2"/>
  <c r="K1940" i="2" s="1"/>
  <c r="J1939" i="2"/>
  <c r="K1939" i="2" s="1"/>
  <c r="J1938" i="2"/>
  <c r="K1938" i="2" s="1"/>
  <c r="J1937" i="2"/>
  <c r="K1937" i="2" s="1"/>
  <c r="J1936" i="2"/>
  <c r="K1936" i="2" s="1"/>
  <c r="J1935" i="2"/>
  <c r="K1935" i="2" s="1"/>
  <c r="J1934" i="2"/>
  <c r="K1934" i="2" s="1"/>
  <c r="J1933" i="2"/>
  <c r="K1933" i="2" s="1"/>
  <c r="J1932" i="2"/>
  <c r="K1932" i="2" s="1"/>
  <c r="J1931" i="2"/>
  <c r="K1931" i="2" s="1"/>
  <c r="J1930" i="2"/>
  <c r="K1930" i="2" s="1"/>
  <c r="J1929" i="2"/>
  <c r="K1929" i="2" s="1"/>
  <c r="J1928" i="2"/>
  <c r="K1928" i="2" s="1"/>
  <c r="J1927" i="2"/>
  <c r="K1927" i="2" s="1"/>
  <c r="J1926" i="2"/>
  <c r="K1926" i="2" s="1"/>
  <c r="J1925" i="2"/>
  <c r="K1925" i="2" s="1"/>
  <c r="J1924" i="2"/>
  <c r="K1924" i="2" s="1"/>
  <c r="J1923" i="2"/>
  <c r="K1923" i="2" s="1"/>
  <c r="J1922" i="2"/>
  <c r="K1922" i="2" s="1"/>
  <c r="J1921" i="2"/>
  <c r="K1921" i="2" s="1"/>
  <c r="J1920" i="2"/>
  <c r="K1920" i="2" s="1"/>
  <c r="J1919" i="2"/>
  <c r="K1919" i="2" s="1"/>
  <c r="J1918" i="2"/>
  <c r="K1918" i="2" s="1"/>
  <c r="J1917" i="2"/>
  <c r="K1917" i="2" s="1"/>
  <c r="J1916" i="2"/>
  <c r="K1916" i="2" s="1"/>
  <c r="J1915" i="2"/>
  <c r="K1915" i="2" s="1"/>
  <c r="J1914" i="2"/>
  <c r="K1914" i="2" s="1"/>
  <c r="J1913" i="2"/>
  <c r="K1913" i="2" s="1"/>
  <c r="J1912" i="2"/>
  <c r="K1912" i="2" s="1"/>
  <c r="J1911" i="2"/>
  <c r="K1911" i="2" s="1"/>
  <c r="J1910" i="2"/>
  <c r="K1910" i="2" s="1"/>
  <c r="J1909" i="2"/>
  <c r="K1909" i="2" s="1"/>
  <c r="J1908" i="2"/>
  <c r="K1908" i="2" s="1"/>
  <c r="J1907" i="2"/>
  <c r="K1907" i="2" s="1"/>
  <c r="J1906" i="2"/>
  <c r="K1906" i="2" s="1"/>
  <c r="J1905" i="2"/>
  <c r="K1905" i="2" s="1"/>
  <c r="J1904" i="2"/>
  <c r="K1904" i="2" s="1"/>
  <c r="J1903" i="2"/>
  <c r="K1903" i="2" s="1"/>
  <c r="J1902" i="2"/>
  <c r="K1902" i="2" s="1"/>
  <c r="J1901" i="2"/>
  <c r="K1901" i="2" s="1"/>
  <c r="J1900" i="2"/>
  <c r="K1900" i="2" s="1"/>
  <c r="J1899" i="2"/>
  <c r="K1899" i="2" s="1"/>
  <c r="J1898" i="2"/>
  <c r="K1898" i="2" s="1"/>
  <c r="J1897" i="2"/>
  <c r="K1897" i="2" s="1"/>
  <c r="J1896" i="2"/>
  <c r="K1896" i="2" s="1"/>
  <c r="J1895" i="2"/>
  <c r="K1895" i="2" s="1"/>
  <c r="J1894" i="2"/>
  <c r="K1894" i="2" s="1"/>
  <c r="J1893" i="2"/>
  <c r="K1893" i="2" s="1"/>
  <c r="J1892" i="2"/>
  <c r="K1892" i="2" s="1"/>
  <c r="J1891" i="2"/>
  <c r="K1891" i="2" s="1"/>
  <c r="J1890" i="2"/>
  <c r="K1890" i="2" s="1"/>
  <c r="J1889" i="2"/>
  <c r="K1889" i="2" s="1"/>
  <c r="J1888" i="2"/>
  <c r="K1888" i="2" s="1"/>
  <c r="J1887" i="2"/>
  <c r="K1887" i="2" s="1"/>
  <c r="J1886" i="2"/>
  <c r="K1886" i="2" s="1"/>
  <c r="J1885" i="2"/>
  <c r="K1885" i="2" s="1"/>
  <c r="J1884" i="2"/>
  <c r="K1884" i="2" s="1"/>
  <c r="J1883" i="2"/>
  <c r="K1883" i="2" s="1"/>
  <c r="J1882" i="2"/>
  <c r="K1882" i="2" s="1"/>
  <c r="J1881" i="2"/>
  <c r="K1881" i="2" s="1"/>
  <c r="J1880" i="2"/>
  <c r="K1880" i="2" s="1"/>
  <c r="J1879" i="2"/>
  <c r="K1879" i="2" s="1"/>
  <c r="J1878" i="2"/>
  <c r="K1878" i="2" s="1"/>
  <c r="J1877" i="2"/>
  <c r="K1877" i="2" s="1"/>
  <c r="J1876" i="2"/>
  <c r="K1876" i="2" s="1"/>
  <c r="J1875" i="2"/>
  <c r="K1875" i="2" s="1"/>
  <c r="J1874" i="2"/>
  <c r="K1874" i="2" s="1"/>
  <c r="J1873" i="2"/>
  <c r="K1873" i="2" s="1"/>
  <c r="J1872" i="2"/>
  <c r="K1872" i="2" s="1"/>
  <c r="J1871" i="2"/>
  <c r="K1871" i="2" s="1"/>
  <c r="J1870" i="2"/>
  <c r="K1870" i="2" s="1"/>
  <c r="J1869" i="2"/>
  <c r="K1869" i="2" s="1"/>
  <c r="J1868" i="2"/>
  <c r="K1868" i="2" s="1"/>
  <c r="J1867" i="2"/>
  <c r="K1867" i="2" s="1"/>
  <c r="J1866" i="2"/>
  <c r="K1866" i="2" s="1"/>
  <c r="J1865" i="2"/>
  <c r="K1865" i="2" s="1"/>
  <c r="J1864" i="2"/>
  <c r="K1864" i="2" s="1"/>
  <c r="J1863" i="2"/>
  <c r="K1863" i="2" s="1"/>
  <c r="J1862" i="2"/>
  <c r="K1862" i="2" s="1"/>
  <c r="J1861" i="2"/>
  <c r="K1861" i="2" s="1"/>
  <c r="J1860" i="2"/>
  <c r="K1860" i="2" s="1"/>
  <c r="J1859" i="2"/>
  <c r="K1859" i="2" s="1"/>
  <c r="J1858" i="2"/>
  <c r="K1858" i="2" s="1"/>
  <c r="J1857" i="2"/>
  <c r="K1857" i="2" s="1"/>
  <c r="J1856" i="2"/>
  <c r="K1856" i="2" s="1"/>
  <c r="J1855" i="2"/>
  <c r="K1855" i="2" s="1"/>
  <c r="J1854" i="2"/>
  <c r="K1854" i="2" s="1"/>
  <c r="J1853" i="2"/>
  <c r="K1853" i="2" s="1"/>
  <c r="J1852" i="2"/>
  <c r="K1852" i="2" s="1"/>
  <c r="J1851" i="2"/>
  <c r="K1851" i="2" s="1"/>
  <c r="J1850" i="2"/>
  <c r="K1850" i="2" s="1"/>
  <c r="J1849" i="2"/>
  <c r="K1849" i="2" s="1"/>
  <c r="J1848" i="2"/>
  <c r="K1848" i="2" s="1"/>
  <c r="J1847" i="2"/>
  <c r="K1847" i="2" s="1"/>
  <c r="J1846" i="2"/>
  <c r="K1846" i="2" s="1"/>
  <c r="J1845" i="2"/>
  <c r="K1845" i="2" s="1"/>
  <c r="J1844" i="2"/>
  <c r="K1844" i="2" s="1"/>
  <c r="J1843" i="2"/>
  <c r="K1843" i="2" s="1"/>
  <c r="J1842" i="2"/>
  <c r="K1842" i="2" s="1"/>
  <c r="J1841" i="2"/>
  <c r="K1841" i="2" s="1"/>
  <c r="J1840" i="2"/>
  <c r="K1840" i="2" s="1"/>
  <c r="J1839" i="2"/>
  <c r="K1839" i="2" s="1"/>
  <c r="J1838" i="2"/>
  <c r="K1838" i="2" s="1"/>
  <c r="J1837" i="2"/>
  <c r="K1837" i="2" s="1"/>
  <c r="J1836" i="2"/>
  <c r="K1836" i="2" s="1"/>
  <c r="J1835" i="2"/>
  <c r="K1835" i="2" s="1"/>
  <c r="J1834" i="2"/>
  <c r="K1834" i="2" s="1"/>
  <c r="J1833" i="2"/>
  <c r="K1833" i="2" s="1"/>
  <c r="J1832" i="2"/>
  <c r="K1832" i="2" s="1"/>
  <c r="J1831" i="2"/>
  <c r="K1831" i="2" s="1"/>
  <c r="J1830" i="2"/>
  <c r="K1830" i="2" s="1"/>
  <c r="J1829" i="2"/>
  <c r="K1829" i="2" s="1"/>
  <c r="J1828" i="2"/>
  <c r="K1828" i="2" s="1"/>
  <c r="J1827" i="2"/>
  <c r="K1827" i="2" s="1"/>
  <c r="J1826" i="2"/>
  <c r="K1826" i="2" s="1"/>
  <c r="J1825" i="2"/>
  <c r="K1825" i="2" s="1"/>
  <c r="J1824" i="2"/>
  <c r="K1824" i="2" s="1"/>
  <c r="J1823" i="2"/>
  <c r="K1823" i="2" s="1"/>
  <c r="J1822" i="2"/>
  <c r="K1822" i="2" s="1"/>
  <c r="J1821" i="2"/>
  <c r="K1821" i="2" s="1"/>
  <c r="J1820" i="2"/>
  <c r="K1820" i="2" s="1"/>
  <c r="J1819" i="2"/>
  <c r="K1819" i="2" s="1"/>
  <c r="J1818" i="2"/>
  <c r="K1818" i="2" s="1"/>
  <c r="J1817" i="2"/>
  <c r="K1817" i="2" s="1"/>
  <c r="J1816" i="2"/>
  <c r="K1816" i="2" s="1"/>
  <c r="J1815" i="2"/>
  <c r="K1815" i="2" s="1"/>
  <c r="J1814" i="2"/>
  <c r="K1814" i="2" s="1"/>
  <c r="J1813" i="2"/>
  <c r="K1813" i="2" s="1"/>
  <c r="J1812" i="2"/>
  <c r="K1812" i="2" s="1"/>
  <c r="J1811" i="2"/>
  <c r="K1811" i="2" s="1"/>
  <c r="J1810" i="2"/>
  <c r="K1810" i="2" s="1"/>
  <c r="J1809" i="2"/>
  <c r="K1809" i="2" s="1"/>
  <c r="J1808" i="2"/>
  <c r="K1808" i="2" s="1"/>
  <c r="J1807" i="2"/>
  <c r="K1807" i="2" s="1"/>
  <c r="J1806" i="2"/>
  <c r="K1806" i="2" s="1"/>
  <c r="J1805" i="2"/>
  <c r="K1805" i="2" s="1"/>
  <c r="J1804" i="2"/>
  <c r="K1804" i="2" s="1"/>
  <c r="J1803" i="2"/>
  <c r="K1803" i="2" s="1"/>
  <c r="J1802" i="2"/>
  <c r="K1802" i="2" s="1"/>
  <c r="J1801" i="2"/>
  <c r="K1801" i="2" s="1"/>
  <c r="J1800" i="2"/>
  <c r="K1800" i="2" s="1"/>
  <c r="J1799" i="2"/>
  <c r="K1799" i="2" s="1"/>
  <c r="J1798" i="2"/>
  <c r="K1798" i="2" s="1"/>
  <c r="J1797" i="2"/>
  <c r="K1797" i="2" s="1"/>
  <c r="J1796" i="2"/>
  <c r="K1796" i="2" s="1"/>
  <c r="J1795" i="2"/>
  <c r="K1795" i="2" s="1"/>
  <c r="J1794" i="2"/>
  <c r="K1794" i="2" s="1"/>
  <c r="J1793" i="2"/>
  <c r="K1793" i="2" s="1"/>
  <c r="J1792" i="2"/>
  <c r="K1792" i="2" s="1"/>
  <c r="J1791" i="2"/>
  <c r="K1791" i="2" s="1"/>
  <c r="J1790" i="2"/>
  <c r="K1790" i="2" s="1"/>
  <c r="J1789" i="2"/>
  <c r="K1789" i="2" s="1"/>
  <c r="J1788" i="2"/>
  <c r="K1788" i="2" s="1"/>
  <c r="J1787" i="2"/>
  <c r="K1787" i="2" s="1"/>
  <c r="J1786" i="2"/>
  <c r="K1786" i="2" s="1"/>
  <c r="J1785" i="2"/>
  <c r="K1785" i="2" s="1"/>
  <c r="J1784" i="2"/>
  <c r="K1784" i="2" s="1"/>
  <c r="J1783" i="2"/>
  <c r="K1783" i="2" s="1"/>
  <c r="J1782" i="2"/>
  <c r="K1782" i="2" s="1"/>
  <c r="J1781" i="2"/>
  <c r="K1781" i="2" s="1"/>
  <c r="J1780" i="2"/>
  <c r="K1780" i="2" s="1"/>
  <c r="J1779" i="2"/>
  <c r="K1779" i="2" s="1"/>
  <c r="J1778" i="2"/>
  <c r="K1778" i="2" s="1"/>
  <c r="J1777" i="2"/>
  <c r="K1777" i="2" s="1"/>
  <c r="J1776" i="2"/>
  <c r="K1776" i="2" s="1"/>
  <c r="J1775" i="2"/>
  <c r="K1775" i="2" s="1"/>
  <c r="J1774" i="2"/>
  <c r="K1774" i="2" s="1"/>
  <c r="J1773" i="2"/>
  <c r="K1773" i="2" s="1"/>
  <c r="J1772" i="2"/>
  <c r="K1772" i="2" s="1"/>
  <c r="J1771" i="2"/>
  <c r="K1771" i="2" s="1"/>
  <c r="J1770" i="2"/>
  <c r="K1770" i="2" s="1"/>
  <c r="J1769" i="2"/>
  <c r="K1769" i="2" s="1"/>
  <c r="J1768" i="2"/>
  <c r="K1768" i="2" s="1"/>
  <c r="J1767" i="2"/>
  <c r="K1767" i="2" s="1"/>
  <c r="J1766" i="2"/>
  <c r="K1766" i="2" s="1"/>
  <c r="J1765" i="2"/>
  <c r="K1765" i="2" s="1"/>
  <c r="J1764" i="2"/>
  <c r="K1764" i="2" s="1"/>
  <c r="J1763" i="2"/>
  <c r="K1763" i="2" s="1"/>
  <c r="J1762" i="2"/>
  <c r="K1762" i="2" s="1"/>
  <c r="J1761" i="2"/>
  <c r="K1761" i="2" s="1"/>
  <c r="J1760" i="2"/>
  <c r="K1760" i="2" s="1"/>
  <c r="J1759" i="2"/>
  <c r="K1759" i="2" s="1"/>
  <c r="J1758" i="2"/>
  <c r="K1758" i="2" s="1"/>
  <c r="J1757" i="2"/>
  <c r="K1757" i="2" s="1"/>
  <c r="J1756" i="2"/>
  <c r="K1756" i="2" s="1"/>
  <c r="J1755" i="2"/>
  <c r="K1755" i="2" s="1"/>
  <c r="J1754" i="2"/>
  <c r="K1754" i="2" s="1"/>
  <c r="J1753" i="2"/>
  <c r="K1753" i="2" s="1"/>
  <c r="J1752" i="2"/>
  <c r="K1752" i="2" s="1"/>
  <c r="J1751" i="2"/>
  <c r="K1751" i="2" s="1"/>
  <c r="J1750" i="2"/>
  <c r="K1750" i="2" s="1"/>
  <c r="J1749" i="2"/>
  <c r="K1749" i="2" s="1"/>
  <c r="J1748" i="2"/>
  <c r="K1748" i="2" s="1"/>
  <c r="J1747" i="2"/>
  <c r="K1747" i="2" s="1"/>
  <c r="J1746" i="2"/>
  <c r="K1746" i="2" s="1"/>
  <c r="J1745" i="2"/>
  <c r="K1745" i="2" s="1"/>
  <c r="J1744" i="2"/>
  <c r="K1744" i="2" s="1"/>
  <c r="J1743" i="2"/>
  <c r="K1743" i="2" s="1"/>
  <c r="J1742" i="2"/>
  <c r="K1742" i="2" s="1"/>
  <c r="J1741" i="2"/>
  <c r="K1741" i="2" s="1"/>
  <c r="J1740" i="2"/>
  <c r="K1740" i="2" s="1"/>
  <c r="J1739" i="2"/>
  <c r="K1739" i="2" s="1"/>
  <c r="J1738" i="2"/>
  <c r="K1738" i="2" s="1"/>
  <c r="J1737" i="2"/>
  <c r="K1737" i="2" s="1"/>
  <c r="J1736" i="2"/>
  <c r="K1736" i="2" s="1"/>
  <c r="J1735" i="2"/>
  <c r="K1735" i="2" s="1"/>
  <c r="J1734" i="2"/>
  <c r="K1734" i="2" s="1"/>
  <c r="J1733" i="2"/>
  <c r="K1733" i="2" s="1"/>
  <c r="J1732" i="2"/>
  <c r="K1732" i="2" s="1"/>
  <c r="J1731" i="2"/>
  <c r="K1731" i="2" s="1"/>
  <c r="J1730" i="2"/>
  <c r="K1730" i="2" s="1"/>
  <c r="J1729" i="2"/>
  <c r="K1729" i="2" s="1"/>
  <c r="J1728" i="2"/>
  <c r="K1728" i="2" s="1"/>
  <c r="J1727" i="2"/>
  <c r="K1727" i="2" s="1"/>
  <c r="J1726" i="2"/>
  <c r="K1726" i="2" s="1"/>
  <c r="J1725" i="2"/>
  <c r="K1725" i="2" s="1"/>
  <c r="J1724" i="2"/>
  <c r="K1724" i="2" s="1"/>
  <c r="J1723" i="2"/>
  <c r="K1723" i="2" s="1"/>
  <c r="J1722" i="2"/>
  <c r="K1722" i="2" s="1"/>
  <c r="J1721" i="2"/>
  <c r="K1721" i="2" s="1"/>
  <c r="J1720" i="2"/>
  <c r="K1720" i="2" s="1"/>
  <c r="J1719" i="2"/>
  <c r="K1719" i="2" s="1"/>
  <c r="J1718" i="2"/>
  <c r="K1718" i="2" s="1"/>
  <c r="J1717" i="2"/>
  <c r="K1717" i="2" s="1"/>
  <c r="J1716" i="2"/>
  <c r="K1716" i="2" s="1"/>
  <c r="J1715" i="2"/>
  <c r="K1715" i="2" s="1"/>
  <c r="J1714" i="2"/>
  <c r="K1714" i="2" s="1"/>
  <c r="J1713" i="2"/>
  <c r="K1713" i="2" s="1"/>
  <c r="J1712" i="2"/>
  <c r="K1712" i="2" s="1"/>
  <c r="J1711" i="2"/>
  <c r="K1711" i="2" s="1"/>
  <c r="J1710" i="2"/>
  <c r="K1710" i="2" s="1"/>
  <c r="J1709" i="2"/>
  <c r="K1709" i="2" s="1"/>
  <c r="J1708" i="2"/>
  <c r="K1708" i="2" s="1"/>
  <c r="J1707" i="2"/>
  <c r="K1707" i="2" s="1"/>
  <c r="J1706" i="2"/>
  <c r="K1706" i="2" s="1"/>
  <c r="J1705" i="2"/>
  <c r="K1705" i="2" s="1"/>
  <c r="J1704" i="2"/>
  <c r="K1704" i="2" s="1"/>
  <c r="J1703" i="2"/>
  <c r="K1703" i="2" s="1"/>
  <c r="J1702" i="2"/>
  <c r="K1702" i="2" s="1"/>
  <c r="J1701" i="2"/>
  <c r="K1701" i="2" s="1"/>
  <c r="J1700" i="2"/>
  <c r="K1700" i="2" s="1"/>
  <c r="J1699" i="2"/>
  <c r="K1699" i="2" s="1"/>
  <c r="J1698" i="2"/>
  <c r="K1698" i="2" s="1"/>
  <c r="J1697" i="2"/>
  <c r="K1697" i="2" s="1"/>
  <c r="J1696" i="2"/>
  <c r="K1696" i="2" s="1"/>
  <c r="J1695" i="2"/>
  <c r="K1695" i="2" s="1"/>
  <c r="J1694" i="2"/>
  <c r="K1694" i="2" s="1"/>
  <c r="J1693" i="2"/>
  <c r="K1693" i="2" s="1"/>
  <c r="J1692" i="2"/>
  <c r="K1692" i="2" s="1"/>
  <c r="J1691" i="2"/>
  <c r="K1691" i="2" s="1"/>
  <c r="J1690" i="2"/>
  <c r="K1690" i="2" s="1"/>
  <c r="J1689" i="2"/>
  <c r="K1689" i="2" s="1"/>
  <c r="J1688" i="2"/>
  <c r="K1688" i="2" s="1"/>
  <c r="J1687" i="2"/>
  <c r="K1687" i="2" s="1"/>
  <c r="J1686" i="2"/>
  <c r="K1686" i="2" s="1"/>
  <c r="J1685" i="2"/>
  <c r="K1685" i="2" s="1"/>
  <c r="J1684" i="2"/>
  <c r="K1684" i="2" s="1"/>
  <c r="J1683" i="2"/>
  <c r="K1683" i="2" s="1"/>
  <c r="J1682" i="2"/>
  <c r="K1682" i="2" s="1"/>
  <c r="J1681" i="2"/>
  <c r="K1681" i="2" s="1"/>
  <c r="J1680" i="2"/>
  <c r="K1680" i="2" s="1"/>
  <c r="J1679" i="2"/>
  <c r="K1679" i="2" s="1"/>
  <c r="J1678" i="2"/>
  <c r="K1678" i="2" s="1"/>
  <c r="J1677" i="2"/>
  <c r="K1677" i="2" s="1"/>
  <c r="J1676" i="2"/>
  <c r="K1676" i="2" s="1"/>
  <c r="J1675" i="2"/>
  <c r="K1675" i="2" s="1"/>
  <c r="J1674" i="2"/>
  <c r="K1674" i="2" s="1"/>
  <c r="J1673" i="2"/>
  <c r="K1673" i="2" s="1"/>
  <c r="J1672" i="2"/>
  <c r="K1672" i="2" s="1"/>
  <c r="J1671" i="2"/>
  <c r="K1671" i="2" s="1"/>
  <c r="J1670" i="2"/>
  <c r="K1670" i="2" s="1"/>
  <c r="J1669" i="2"/>
  <c r="K1669" i="2" s="1"/>
  <c r="J1668" i="2"/>
  <c r="K1668" i="2" s="1"/>
  <c r="J1667" i="2"/>
  <c r="K1667" i="2" s="1"/>
  <c r="J1666" i="2"/>
  <c r="K1666" i="2" s="1"/>
  <c r="J1665" i="2"/>
  <c r="K1665" i="2" s="1"/>
  <c r="J1664" i="2"/>
  <c r="K1664" i="2" s="1"/>
  <c r="J1663" i="2"/>
  <c r="K1663" i="2" s="1"/>
  <c r="J1662" i="2"/>
  <c r="K1662" i="2" s="1"/>
  <c r="J1661" i="2"/>
  <c r="K1661" i="2" s="1"/>
  <c r="J1660" i="2"/>
  <c r="K1660" i="2" s="1"/>
  <c r="J1659" i="2"/>
  <c r="K1659" i="2" s="1"/>
  <c r="J1658" i="2"/>
  <c r="K1658" i="2" s="1"/>
  <c r="J1657" i="2"/>
  <c r="K1657" i="2" s="1"/>
  <c r="J1656" i="2"/>
  <c r="K1656" i="2" s="1"/>
  <c r="J1655" i="2"/>
  <c r="K1655" i="2" s="1"/>
  <c r="J1654" i="2"/>
  <c r="K1654" i="2" s="1"/>
  <c r="J1653" i="2"/>
  <c r="K1653" i="2" s="1"/>
  <c r="J1652" i="2"/>
  <c r="K1652" i="2" s="1"/>
  <c r="J1651" i="2"/>
  <c r="K1651" i="2" s="1"/>
  <c r="J1650" i="2"/>
  <c r="K1650" i="2" s="1"/>
  <c r="J1649" i="2"/>
  <c r="K1649" i="2" s="1"/>
  <c r="J1648" i="2"/>
  <c r="K1648" i="2" s="1"/>
  <c r="J1647" i="2"/>
  <c r="K1647" i="2" s="1"/>
  <c r="J1646" i="2"/>
  <c r="K1646" i="2" s="1"/>
  <c r="J1645" i="2"/>
  <c r="K1645" i="2" s="1"/>
  <c r="J1644" i="2"/>
  <c r="K1644" i="2" s="1"/>
  <c r="J1643" i="2"/>
  <c r="K1643" i="2" s="1"/>
  <c r="J1642" i="2"/>
  <c r="K1642" i="2" s="1"/>
  <c r="J1641" i="2"/>
  <c r="K1641" i="2" s="1"/>
  <c r="J1640" i="2"/>
  <c r="K1640" i="2" s="1"/>
  <c r="J1639" i="2"/>
  <c r="K1639" i="2" s="1"/>
  <c r="J1638" i="2"/>
  <c r="K1638" i="2" s="1"/>
  <c r="J1637" i="2"/>
  <c r="K1637" i="2" s="1"/>
  <c r="J1636" i="2"/>
  <c r="K1636" i="2" s="1"/>
  <c r="J1635" i="2"/>
  <c r="K1635" i="2" s="1"/>
  <c r="J1634" i="2"/>
  <c r="K1634" i="2" s="1"/>
  <c r="J1633" i="2"/>
  <c r="K1633" i="2" s="1"/>
  <c r="J1632" i="2"/>
  <c r="K1632" i="2" s="1"/>
  <c r="J1631" i="2"/>
  <c r="K1631" i="2" s="1"/>
  <c r="J1630" i="2"/>
  <c r="K1630" i="2" s="1"/>
  <c r="J1629" i="2"/>
  <c r="K1629" i="2" s="1"/>
  <c r="J1628" i="2"/>
  <c r="K1628" i="2" s="1"/>
  <c r="J1627" i="2"/>
  <c r="K1627" i="2" s="1"/>
  <c r="J1626" i="2"/>
  <c r="K1626" i="2" s="1"/>
  <c r="J1625" i="2"/>
  <c r="K1625" i="2" s="1"/>
  <c r="J1624" i="2"/>
  <c r="K1624" i="2" s="1"/>
  <c r="J1623" i="2"/>
  <c r="K1623" i="2" s="1"/>
  <c r="J1622" i="2"/>
  <c r="K1622" i="2" s="1"/>
  <c r="J1621" i="2"/>
  <c r="K1621" i="2" s="1"/>
  <c r="J1620" i="2"/>
  <c r="K1620" i="2" s="1"/>
  <c r="J1619" i="2"/>
  <c r="K1619" i="2" s="1"/>
  <c r="J1618" i="2"/>
  <c r="K1618" i="2" s="1"/>
  <c r="J1617" i="2"/>
  <c r="K1617" i="2" s="1"/>
  <c r="J1616" i="2"/>
  <c r="K1616" i="2" s="1"/>
  <c r="J1615" i="2"/>
  <c r="K1615" i="2" s="1"/>
  <c r="J1614" i="2"/>
  <c r="K1614" i="2" s="1"/>
  <c r="J1613" i="2"/>
  <c r="K1613" i="2" s="1"/>
  <c r="J1612" i="2"/>
  <c r="K1612" i="2" s="1"/>
  <c r="J1611" i="2"/>
  <c r="K1611" i="2" s="1"/>
  <c r="J1610" i="2"/>
  <c r="K1610" i="2" s="1"/>
  <c r="J1609" i="2"/>
  <c r="K1609" i="2" s="1"/>
  <c r="J1608" i="2"/>
  <c r="K1608" i="2" s="1"/>
  <c r="J1607" i="2"/>
  <c r="K1607" i="2" s="1"/>
  <c r="J1606" i="2"/>
  <c r="K1606" i="2" s="1"/>
  <c r="J1605" i="2"/>
  <c r="K1605" i="2" s="1"/>
  <c r="J1604" i="2"/>
  <c r="K1604" i="2" s="1"/>
  <c r="J1603" i="2"/>
  <c r="K1603" i="2" s="1"/>
  <c r="J1602" i="2"/>
  <c r="K1602" i="2" s="1"/>
  <c r="J1601" i="2"/>
  <c r="K1601" i="2" s="1"/>
  <c r="J1600" i="2"/>
  <c r="K1600" i="2" s="1"/>
  <c r="J1599" i="2"/>
  <c r="K1599" i="2" s="1"/>
  <c r="J1598" i="2"/>
  <c r="K1598" i="2" s="1"/>
  <c r="J1597" i="2"/>
  <c r="K1597" i="2" s="1"/>
  <c r="J1596" i="2"/>
  <c r="K1596" i="2" s="1"/>
  <c r="J1595" i="2"/>
  <c r="K1595" i="2" s="1"/>
  <c r="J1594" i="2"/>
  <c r="K1594" i="2" s="1"/>
  <c r="J1593" i="2"/>
  <c r="K1593" i="2" s="1"/>
  <c r="J1592" i="2"/>
  <c r="K1592" i="2" s="1"/>
  <c r="J1591" i="2"/>
  <c r="K1591" i="2" s="1"/>
  <c r="J1590" i="2"/>
  <c r="K1590" i="2" s="1"/>
  <c r="J1589" i="2"/>
  <c r="K1589" i="2" s="1"/>
  <c r="J1588" i="2"/>
  <c r="K1588" i="2" s="1"/>
  <c r="J1587" i="2"/>
  <c r="K1587" i="2" s="1"/>
  <c r="J1586" i="2"/>
  <c r="K1586" i="2" s="1"/>
  <c r="J1585" i="2"/>
  <c r="K1585" i="2" s="1"/>
  <c r="J1584" i="2"/>
  <c r="K1584" i="2" s="1"/>
  <c r="J1583" i="2"/>
  <c r="K1583" i="2" s="1"/>
  <c r="J1582" i="2"/>
  <c r="K1582" i="2" s="1"/>
  <c r="J1581" i="2"/>
  <c r="K1581" i="2" s="1"/>
  <c r="J1580" i="2"/>
  <c r="K1580" i="2" s="1"/>
  <c r="J1579" i="2"/>
  <c r="K1579" i="2" s="1"/>
  <c r="J1578" i="2"/>
  <c r="K1578" i="2" s="1"/>
  <c r="J1577" i="2"/>
  <c r="K1577" i="2" s="1"/>
  <c r="J1576" i="2"/>
  <c r="K1576" i="2" s="1"/>
  <c r="J1575" i="2"/>
  <c r="K1575" i="2" s="1"/>
  <c r="J1574" i="2"/>
  <c r="K1574" i="2" s="1"/>
  <c r="J1573" i="2"/>
  <c r="K1573" i="2" s="1"/>
  <c r="J1572" i="2"/>
  <c r="K1572" i="2" s="1"/>
  <c r="J1571" i="2"/>
  <c r="K1571" i="2" s="1"/>
  <c r="J1570" i="2"/>
  <c r="K1570" i="2" s="1"/>
  <c r="J1569" i="2"/>
  <c r="K1569" i="2" s="1"/>
  <c r="J1568" i="2"/>
  <c r="K1568" i="2" s="1"/>
  <c r="J1567" i="2"/>
  <c r="K1567" i="2" s="1"/>
  <c r="J1566" i="2"/>
  <c r="K1566" i="2" s="1"/>
  <c r="J1565" i="2"/>
  <c r="K1565" i="2" s="1"/>
  <c r="J1564" i="2"/>
  <c r="K1564" i="2" s="1"/>
  <c r="J1563" i="2"/>
  <c r="K1563" i="2" s="1"/>
  <c r="J1562" i="2"/>
  <c r="K1562" i="2" s="1"/>
  <c r="J1561" i="2"/>
  <c r="K1561" i="2" s="1"/>
  <c r="J1560" i="2"/>
  <c r="K1560" i="2" s="1"/>
  <c r="J1559" i="2"/>
  <c r="K1559" i="2" s="1"/>
  <c r="J1558" i="2"/>
  <c r="K1558" i="2" s="1"/>
  <c r="J1557" i="2"/>
  <c r="K1557" i="2" s="1"/>
  <c r="J1556" i="2"/>
  <c r="K1556" i="2" s="1"/>
  <c r="J1555" i="2"/>
  <c r="K1555" i="2" s="1"/>
  <c r="J1554" i="2"/>
  <c r="K1554" i="2" s="1"/>
  <c r="J1553" i="2"/>
  <c r="K1553" i="2" s="1"/>
  <c r="J1552" i="2"/>
  <c r="K1552" i="2" s="1"/>
  <c r="J1551" i="2"/>
  <c r="K1551" i="2" s="1"/>
  <c r="J1550" i="2"/>
  <c r="K1550" i="2" s="1"/>
  <c r="J1549" i="2"/>
  <c r="K1549" i="2" s="1"/>
  <c r="J1548" i="2"/>
  <c r="K1548" i="2" s="1"/>
  <c r="J1547" i="2"/>
  <c r="K1547" i="2" s="1"/>
  <c r="J1546" i="2"/>
  <c r="K1546" i="2" s="1"/>
  <c r="J1545" i="2"/>
  <c r="K1545" i="2" s="1"/>
  <c r="J1544" i="2"/>
  <c r="K1544" i="2" s="1"/>
  <c r="J1543" i="2"/>
  <c r="K1543" i="2" s="1"/>
  <c r="J1542" i="2"/>
  <c r="K1542" i="2" s="1"/>
  <c r="J1541" i="2"/>
  <c r="K1541" i="2" s="1"/>
  <c r="J1540" i="2"/>
  <c r="K1540" i="2" s="1"/>
  <c r="J1539" i="2"/>
  <c r="K1539" i="2" s="1"/>
  <c r="J1538" i="2"/>
  <c r="K1538" i="2" s="1"/>
  <c r="J1537" i="2"/>
  <c r="K1537" i="2" s="1"/>
  <c r="J1536" i="2"/>
  <c r="K1536" i="2" s="1"/>
  <c r="J1535" i="2"/>
  <c r="K1535" i="2" s="1"/>
  <c r="J1534" i="2"/>
  <c r="K1534" i="2" s="1"/>
  <c r="J1533" i="2"/>
  <c r="K1533" i="2" s="1"/>
  <c r="J1532" i="2"/>
  <c r="K1532" i="2" s="1"/>
  <c r="J1531" i="2"/>
  <c r="K1531" i="2" s="1"/>
  <c r="J1530" i="2"/>
  <c r="K1530" i="2" s="1"/>
  <c r="J1529" i="2"/>
  <c r="K1529" i="2" s="1"/>
  <c r="J1528" i="2"/>
  <c r="K1528" i="2" s="1"/>
  <c r="J1527" i="2"/>
  <c r="K1527" i="2" s="1"/>
  <c r="J1526" i="2"/>
  <c r="K1526" i="2" s="1"/>
  <c r="J1525" i="2"/>
  <c r="K1525" i="2" s="1"/>
  <c r="J1524" i="2"/>
  <c r="K1524" i="2" s="1"/>
  <c r="J1523" i="2"/>
  <c r="K1523" i="2" s="1"/>
  <c r="J1522" i="2"/>
  <c r="K1522" i="2" s="1"/>
  <c r="J1521" i="2"/>
  <c r="K1521" i="2" s="1"/>
  <c r="J1520" i="2"/>
  <c r="K1520" i="2" s="1"/>
  <c r="J1519" i="2"/>
  <c r="K1519" i="2" s="1"/>
  <c r="J1518" i="2"/>
  <c r="K1518" i="2" s="1"/>
  <c r="J1517" i="2"/>
  <c r="K1517" i="2" s="1"/>
  <c r="J1516" i="2"/>
  <c r="K1516" i="2" s="1"/>
  <c r="J1515" i="2"/>
  <c r="K1515" i="2" s="1"/>
  <c r="J1514" i="2"/>
  <c r="K1514" i="2" s="1"/>
  <c r="J1513" i="2"/>
  <c r="K1513" i="2" s="1"/>
  <c r="J1512" i="2"/>
  <c r="K1512" i="2" s="1"/>
  <c r="J1511" i="2"/>
  <c r="K1511" i="2" s="1"/>
  <c r="J1510" i="2"/>
  <c r="K1510" i="2" s="1"/>
  <c r="J1509" i="2"/>
  <c r="K1509" i="2" s="1"/>
  <c r="J1508" i="2"/>
  <c r="K1508" i="2" s="1"/>
  <c r="J1507" i="2"/>
  <c r="K1507" i="2" s="1"/>
  <c r="J1506" i="2"/>
  <c r="K1506" i="2" s="1"/>
  <c r="J1505" i="2"/>
  <c r="K1505" i="2" s="1"/>
  <c r="J1504" i="2"/>
  <c r="K1504" i="2" s="1"/>
  <c r="J1503" i="2"/>
  <c r="K1503" i="2" s="1"/>
  <c r="J1502" i="2"/>
  <c r="K1502" i="2" s="1"/>
  <c r="J1501" i="2"/>
  <c r="K1501" i="2" s="1"/>
  <c r="J1500" i="2"/>
  <c r="K1500" i="2" s="1"/>
  <c r="J1499" i="2"/>
  <c r="K1499" i="2" s="1"/>
  <c r="J1498" i="2"/>
  <c r="K1498" i="2" s="1"/>
  <c r="J1497" i="2"/>
  <c r="K1497" i="2" s="1"/>
  <c r="J1496" i="2"/>
  <c r="K1496" i="2" s="1"/>
  <c r="J1495" i="2"/>
  <c r="K1495" i="2" s="1"/>
  <c r="J1494" i="2"/>
  <c r="K1494" i="2" s="1"/>
  <c r="J1493" i="2"/>
  <c r="K1493" i="2" s="1"/>
  <c r="J1492" i="2"/>
  <c r="K1492" i="2" s="1"/>
  <c r="J1491" i="2"/>
  <c r="K1491" i="2" s="1"/>
  <c r="J1490" i="2"/>
  <c r="K1490" i="2" s="1"/>
  <c r="J1489" i="2"/>
  <c r="K1489" i="2" s="1"/>
  <c r="J1488" i="2"/>
  <c r="K1488" i="2" s="1"/>
  <c r="J1487" i="2"/>
  <c r="K1487" i="2" s="1"/>
  <c r="J1486" i="2"/>
  <c r="K1486" i="2" s="1"/>
  <c r="J1485" i="2"/>
  <c r="K1485" i="2" s="1"/>
  <c r="J1484" i="2"/>
  <c r="K1484" i="2" s="1"/>
  <c r="J1483" i="2"/>
  <c r="K1483" i="2" s="1"/>
  <c r="J1482" i="2"/>
  <c r="K1482" i="2" s="1"/>
  <c r="J1481" i="2"/>
  <c r="K1481" i="2" s="1"/>
  <c r="J1480" i="2"/>
  <c r="K1480" i="2" s="1"/>
  <c r="J1479" i="2"/>
  <c r="K1479" i="2" s="1"/>
  <c r="J1478" i="2"/>
  <c r="K1478" i="2" s="1"/>
  <c r="J1477" i="2"/>
  <c r="K1477" i="2" s="1"/>
  <c r="J1476" i="2"/>
  <c r="K1476" i="2" s="1"/>
  <c r="J1475" i="2"/>
  <c r="K1475" i="2" s="1"/>
  <c r="J1474" i="2"/>
  <c r="K1474" i="2" s="1"/>
  <c r="J1473" i="2"/>
  <c r="K1473" i="2" s="1"/>
  <c r="J1472" i="2"/>
  <c r="K1472" i="2" s="1"/>
  <c r="J1471" i="2"/>
  <c r="K1471" i="2" s="1"/>
  <c r="J1470" i="2"/>
  <c r="K1470" i="2" s="1"/>
  <c r="J1469" i="2"/>
  <c r="K1469" i="2" s="1"/>
  <c r="J1468" i="2"/>
  <c r="K1468" i="2" s="1"/>
  <c r="J1467" i="2"/>
  <c r="K1467" i="2" s="1"/>
  <c r="J1466" i="2"/>
  <c r="K1466" i="2" s="1"/>
  <c r="J1465" i="2"/>
  <c r="K1465" i="2" s="1"/>
  <c r="J1464" i="2"/>
  <c r="K1464" i="2" s="1"/>
  <c r="J1463" i="2"/>
  <c r="K1463" i="2" s="1"/>
  <c r="J1462" i="2"/>
  <c r="K1462" i="2" s="1"/>
  <c r="J1461" i="2"/>
  <c r="K1461" i="2" s="1"/>
  <c r="J1460" i="2"/>
  <c r="K1460" i="2" s="1"/>
  <c r="J1459" i="2"/>
  <c r="K1459" i="2" s="1"/>
  <c r="J1458" i="2"/>
  <c r="K1458" i="2" s="1"/>
  <c r="J1457" i="2"/>
  <c r="K1457" i="2" s="1"/>
  <c r="J1456" i="2"/>
  <c r="K1456" i="2" s="1"/>
  <c r="J1455" i="2"/>
  <c r="K1455" i="2" s="1"/>
  <c r="J1454" i="2"/>
  <c r="K1454" i="2" s="1"/>
  <c r="J1453" i="2"/>
  <c r="K1453" i="2" s="1"/>
  <c r="J1452" i="2"/>
  <c r="K1452" i="2" s="1"/>
  <c r="J1451" i="2"/>
  <c r="K1451" i="2" s="1"/>
  <c r="J1450" i="2"/>
  <c r="K1450" i="2" s="1"/>
  <c r="J1449" i="2"/>
  <c r="K1449" i="2" s="1"/>
  <c r="J1448" i="2"/>
  <c r="K1448" i="2" s="1"/>
  <c r="J1447" i="2"/>
  <c r="K1447" i="2" s="1"/>
  <c r="J1446" i="2"/>
  <c r="K1446" i="2" s="1"/>
  <c r="J1445" i="2"/>
  <c r="K1445" i="2" s="1"/>
  <c r="J1444" i="2"/>
  <c r="K1444" i="2" s="1"/>
  <c r="J1443" i="2"/>
  <c r="K1443" i="2" s="1"/>
  <c r="J1442" i="2"/>
  <c r="K1442" i="2" s="1"/>
  <c r="J1441" i="2"/>
  <c r="K1441" i="2" s="1"/>
  <c r="J1440" i="2"/>
  <c r="K1440" i="2" s="1"/>
  <c r="J1439" i="2"/>
  <c r="K1439" i="2" s="1"/>
  <c r="J1438" i="2"/>
  <c r="K1438" i="2" s="1"/>
  <c r="J1437" i="2"/>
  <c r="K1437" i="2" s="1"/>
  <c r="J1436" i="2"/>
  <c r="K1436" i="2" s="1"/>
  <c r="J1435" i="2"/>
  <c r="K1435" i="2" s="1"/>
  <c r="J1434" i="2"/>
  <c r="K1434" i="2" s="1"/>
  <c r="J1433" i="2"/>
  <c r="K1433" i="2" s="1"/>
  <c r="J1432" i="2"/>
  <c r="K1432" i="2" s="1"/>
  <c r="J1431" i="2"/>
  <c r="K1431" i="2" s="1"/>
  <c r="J1430" i="2"/>
  <c r="K1430" i="2" s="1"/>
  <c r="J1429" i="2"/>
  <c r="K1429" i="2" s="1"/>
  <c r="J1428" i="2"/>
  <c r="K1428" i="2" s="1"/>
  <c r="J1427" i="2"/>
  <c r="K1427" i="2" s="1"/>
  <c r="J1426" i="2"/>
  <c r="K1426" i="2" s="1"/>
  <c r="J1425" i="2"/>
  <c r="K1425" i="2" s="1"/>
  <c r="J1424" i="2"/>
  <c r="K1424" i="2" s="1"/>
  <c r="J1423" i="2"/>
  <c r="K1423" i="2" s="1"/>
  <c r="J1422" i="2"/>
  <c r="K1422" i="2" s="1"/>
  <c r="J1421" i="2"/>
  <c r="K1421" i="2" s="1"/>
  <c r="J1420" i="2"/>
  <c r="K1420" i="2" s="1"/>
  <c r="J1419" i="2"/>
  <c r="K1419" i="2" s="1"/>
  <c r="J1418" i="2"/>
  <c r="K1418" i="2" s="1"/>
  <c r="J1417" i="2"/>
  <c r="K1417" i="2" s="1"/>
  <c r="J1416" i="2"/>
  <c r="K1416" i="2" s="1"/>
  <c r="J1415" i="2"/>
  <c r="K1415" i="2" s="1"/>
  <c r="J1414" i="2"/>
  <c r="K1414" i="2" s="1"/>
  <c r="J1413" i="2"/>
  <c r="K1413" i="2" s="1"/>
  <c r="J1412" i="2"/>
  <c r="K1412" i="2" s="1"/>
  <c r="J1411" i="2"/>
  <c r="K1411" i="2" s="1"/>
  <c r="J1410" i="2"/>
  <c r="K1410" i="2" s="1"/>
  <c r="J1409" i="2"/>
  <c r="K1409" i="2" s="1"/>
  <c r="J1408" i="2"/>
  <c r="K1408" i="2" s="1"/>
  <c r="J1407" i="2"/>
  <c r="K1407" i="2" s="1"/>
  <c r="J1406" i="2"/>
  <c r="K1406" i="2" s="1"/>
  <c r="J1405" i="2"/>
  <c r="K1405" i="2" s="1"/>
  <c r="J1404" i="2"/>
  <c r="K1404" i="2" s="1"/>
  <c r="J1403" i="2"/>
  <c r="K1403" i="2" s="1"/>
  <c r="J1402" i="2"/>
  <c r="K1402" i="2" s="1"/>
  <c r="J1401" i="2"/>
  <c r="K1401" i="2" s="1"/>
  <c r="J1400" i="2"/>
  <c r="K1400" i="2" s="1"/>
  <c r="J1399" i="2"/>
  <c r="K1399" i="2" s="1"/>
  <c r="J1398" i="2"/>
  <c r="K1398" i="2" s="1"/>
  <c r="J1397" i="2"/>
  <c r="K1397" i="2" s="1"/>
  <c r="J1396" i="2"/>
  <c r="K1396" i="2" s="1"/>
  <c r="J1395" i="2"/>
  <c r="K1395" i="2" s="1"/>
  <c r="J1394" i="2"/>
  <c r="K1394" i="2" s="1"/>
  <c r="J1393" i="2"/>
  <c r="K1393" i="2" s="1"/>
  <c r="J1392" i="2"/>
  <c r="K1392" i="2" s="1"/>
  <c r="J1391" i="2"/>
  <c r="K1391" i="2" s="1"/>
  <c r="J1390" i="2"/>
  <c r="K1390" i="2" s="1"/>
  <c r="J1389" i="2"/>
  <c r="K1389" i="2" s="1"/>
  <c r="J1388" i="2"/>
  <c r="K1388" i="2" s="1"/>
  <c r="J1387" i="2"/>
  <c r="K1387" i="2" s="1"/>
  <c r="J1386" i="2"/>
  <c r="K1386" i="2" s="1"/>
  <c r="J1385" i="2"/>
  <c r="K1385" i="2" s="1"/>
  <c r="J1384" i="2"/>
  <c r="K1384" i="2" s="1"/>
  <c r="J1383" i="2"/>
  <c r="K1383" i="2" s="1"/>
  <c r="J1382" i="2"/>
  <c r="K1382" i="2" s="1"/>
  <c r="J1381" i="2"/>
  <c r="K1381" i="2" s="1"/>
  <c r="J1380" i="2"/>
  <c r="K1380" i="2" s="1"/>
  <c r="J1379" i="2"/>
  <c r="K1379" i="2" s="1"/>
  <c r="J1378" i="2"/>
  <c r="K1378" i="2" s="1"/>
  <c r="J1377" i="2"/>
  <c r="K1377" i="2" s="1"/>
  <c r="J1376" i="2"/>
  <c r="K1376" i="2" s="1"/>
  <c r="J1375" i="2"/>
  <c r="K1375" i="2" s="1"/>
  <c r="J1374" i="2"/>
  <c r="K1374" i="2" s="1"/>
  <c r="J1373" i="2"/>
  <c r="K1373" i="2" s="1"/>
  <c r="J1372" i="2"/>
  <c r="K1372" i="2" s="1"/>
  <c r="J1371" i="2"/>
  <c r="K1371" i="2" s="1"/>
  <c r="J1370" i="2"/>
  <c r="K1370" i="2" s="1"/>
  <c r="J1369" i="2"/>
  <c r="K1369" i="2" s="1"/>
  <c r="J1368" i="2"/>
  <c r="K1368" i="2" s="1"/>
  <c r="J1367" i="2"/>
  <c r="K1367" i="2" s="1"/>
  <c r="J1366" i="2"/>
  <c r="K1366" i="2" s="1"/>
  <c r="J1365" i="2"/>
  <c r="K1365" i="2" s="1"/>
  <c r="J1364" i="2"/>
  <c r="K1364" i="2" s="1"/>
  <c r="J1363" i="2"/>
  <c r="K1363" i="2" s="1"/>
  <c r="J1362" i="2"/>
  <c r="K1362" i="2" s="1"/>
  <c r="J1361" i="2"/>
  <c r="K1361" i="2" s="1"/>
  <c r="J1360" i="2"/>
  <c r="K1360" i="2" s="1"/>
  <c r="J1359" i="2"/>
  <c r="K1359" i="2" s="1"/>
  <c r="J1358" i="2"/>
  <c r="K1358" i="2" s="1"/>
  <c r="J1357" i="2"/>
  <c r="K1357" i="2" s="1"/>
  <c r="J1356" i="2"/>
  <c r="K1356" i="2" s="1"/>
  <c r="J1355" i="2"/>
  <c r="K1355" i="2" s="1"/>
  <c r="J1354" i="2"/>
  <c r="K1354" i="2" s="1"/>
  <c r="J1353" i="2"/>
  <c r="K1353" i="2" s="1"/>
  <c r="J1352" i="2"/>
  <c r="K1352" i="2" s="1"/>
  <c r="J1351" i="2"/>
  <c r="K1351" i="2" s="1"/>
  <c r="J1350" i="2"/>
  <c r="K1350" i="2" s="1"/>
  <c r="J1349" i="2"/>
  <c r="K1349" i="2" s="1"/>
  <c r="J1348" i="2"/>
  <c r="K1348" i="2" s="1"/>
  <c r="J1347" i="2"/>
  <c r="K1347" i="2" s="1"/>
  <c r="J1346" i="2"/>
  <c r="K1346" i="2" s="1"/>
  <c r="J1345" i="2"/>
  <c r="K1345" i="2" s="1"/>
  <c r="J1344" i="2"/>
  <c r="K1344" i="2" s="1"/>
  <c r="J1343" i="2"/>
  <c r="K1343" i="2" s="1"/>
  <c r="J1342" i="2"/>
  <c r="K1342" i="2" s="1"/>
  <c r="J1341" i="2"/>
  <c r="K1341" i="2" s="1"/>
  <c r="J1340" i="2"/>
  <c r="K1340" i="2" s="1"/>
  <c r="J1339" i="2"/>
  <c r="K1339" i="2" s="1"/>
  <c r="J1338" i="2"/>
  <c r="K1338" i="2" s="1"/>
  <c r="J1337" i="2"/>
  <c r="K1337" i="2" s="1"/>
  <c r="J1336" i="2"/>
  <c r="K1336" i="2" s="1"/>
  <c r="J1335" i="2"/>
  <c r="K1335" i="2" s="1"/>
  <c r="J1334" i="2"/>
  <c r="K1334" i="2" s="1"/>
  <c r="J1333" i="2"/>
  <c r="K1333" i="2" s="1"/>
  <c r="J1332" i="2"/>
  <c r="K1332" i="2" s="1"/>
  <c r="J1331" i="2"/>
  <c r="K1331" i="2" s="1"/>
  <c r="J1330" i="2"/>
  <c r="K1330" i="2" s="1"/>
  <c r="J1329" i="2"/>
  <c r="K1329" i="2" s="1"/>
  <c r="J1328" i="2"/>
  <c r="K1328" i="2" s="1"/>
  <c r="J1327" i="2"/>
  <c r="K1327" i="2" s="1"/>
  <c r="J1326" i="2"/>
  <c r="K1326" i="2" s="1"/>
  <c r="J1325" i="2"/>
  <c r="K1325" i="2" s="1"/>
  <c r="J1324" i="2"/>
  <c r="K1324" i="2" s="1"/>
  <c r="J1323" i="2"/>
  <c r="K1323" i="2" s="1"/>
  <c r="J1322" i="2"/>
  <c r="K1322" i="2" s="1"/>
  <c r="J1321" i="2"/>
  <c r="K1321" i="2" s="1"/>
  <c r="J1320" i="2"/>
  <c r="K1320" i="2" s="1"/>
  <c r="J1319" i="2"/>
  <c r="K1319" i="2" s="1"/>
  <c r="J1318" i="2"/>
  <c r="K1318" i="2" s="1"/>
  <c r="J1317" i="2"/>
  <c r="K1317" i="2" s="1"/>
  <c r="J1316" i="2"/>
  <c r="K1316" i="2" s="1"/>
  <c r="J1315" i="2"/>
  <c r="K1315" i="2" s="1"/>
  <c r="J1314" i="2"/>
  <c r="K1314" i="2" s="1"/>
  <c r="J1313" i="2"/>
  <c r="K1313" i="2" s="1"/>
  <c r="J1312" i="2"/>
  <c r="K1312" i="2" s="1"/>
  <c r="J1311" i="2"/>
  <c r="K1311" i="2" s="1"/>
  <c r="J1310" i="2"/>
  <c r="K1310" i="2" s="1"/>
  <c r="J1309" i="2"/>
  <c r="K1309" i="2" s="1"/>
  <c r="J1308" i="2"/>
  <c r="K1308" i="2" s="1"/>
  <c r="J1307" i="2"/>
  <c r="K1307" i="2" s="1"/>
  <c r="J1306" i="2"/>
  <c r="K1306" i="2" s="1"/>
  <c r="J1305" i="2"/>
  <c r="K1305" i="2" s="1"/>
  <c r="J1304" i="2"/>
  <c r="K1304" i="2" s="1"/>
  <c r="J1303" i="2"/>
  <c r="K1303" i="2" s="1"/>
  <c r="J1302" i="2"/>
  <c r="K1302" i="2" s="1"/>
  <c r="J1301" i="2"/>
  <c r="K1301" i="2" s="1"/>
  <c r="J1300" i="2"/>
  <c r="K1300" i="2" s="1"/>
  <c r="J1299" i="2"/>
  <c r="K1299" i="2" s="1"/>
  <c r="J1298" i="2"/>
  <c r="K1298" i="2" s="1"/>
  <c r="J1297" i="2"/>
  <c r="K1297" i="2" s="1"/>
  <c r="J1296" i="2"/>
  <c r="K1296" i="2" s="1"/>
  <c r="J1295" i="2"/>
  <c r="K1295" i="2" s="1"/>
  <c r="J1294" i="2"/>
  <c r="K1294" i="2" s="1"/>
  <c r="J1293" i="2"/>
  <c r="K1293" i="2" s="1"/>
  <c r="J1292" i="2"/>
  <c r="K1292" i="2" s="1"/>
  <c r="J1291" i="2"/>
  <c r="K1291" i="2" s="1"/>
  <c r="J1290" i="2"/>
  <c r="K1290" i="2" s="1"/>
  <c r="J1289" i="2"/>
  <c r="K1289" i="2" s="1"/>
  <c r="J1288" i="2"/>
  <c r="K1288" i="2" s="1"/>
  <c r="J1287" i="2"/>
  <c r="K1287" i="2" s="1"/>
  <c r="J1286" i="2"/>
  <c r="K1286" i="2" s="1"/>
  <c r="J1285" i="2"/>
  <c r="K1285" i="2" s="1"/>
  <c r="J1284" i="2"/>
  <c r="K1284" i="2" s="1"/>
  <c r="J1283" i="2"/>
  <c r="K1283" i="2" s="1"/>
  <c r="J1282" i="2"/>
  <c r="K1282" i="2" s="1"/>
  <c r="J1281" i="2"/>
  <c r="K1281" i="2" s="1"/>
  <c r="J1280" i="2"/>
  <c r="K1280" i="2" s="1"/>
  <c r="J1279" i="2"/>
  <c r="K1279" i="2" s="1"/>
  <c r="J1278" i="2"/>
  <c r="K1278" i="2" s="1"/>
  <c r="J1277" i="2"/>
  <c r="K1277" i="2" s="1"/>
  <c r="J1276" i="2"/>
  <c r="K1276" i="2" s="1"/>
  <c r="J1275" i="2"/>
  <c r="K1275" i="2" s="1"/>
  <c r="J1274" i="2"/>
  <c r="K1274" i="2" s="1"/>
  <c r="J1273" i="2"/>
  <c r="K1273" i="2" s="1"/>
  <c r="J1272" i="2"/>
  <c r="K1272" i="2" s="1"/>
  <c r="J1271" i="2"/>
  <c r="K1271" i="2" s="1"/>
  <c r="J1270" i="2"/>
  <c r="K1270" i="2" s="1"/>
  <c r="J1269" i="2"/>
  <c r="K1269" i="2" s="1"/>
  <c r="J1268" i="2"/>
  <c r="K1268" i="2" s="1"/>
  <c r="J1267" i="2"/>
  <c r="K1267" i="2" s="1"/>
  <c r="J1266" i="2"/>
  <c r="K1266" i="2" s="1"/>
  <c r="J1265" i="2"/>
  <c r="K1265" i="2" s="1"/>
  <c r="J1264" i="2"/>
  <c r="K1264" i="2" s="1"/>
  <c r="J1263" i="2"/>
  <c r="K1263" i="2" s="1"/>
  <c r="J1262" i="2"/>
  <c r="K1262" i="2" s="1"/>
  <c r="J1261" i="2"/>
  <c r="K1261" i="2" s="1"/>
  <c r="J1260" i="2"/>
  <c r="K1260" i="2" s="1"/>
  <c r="J1259" i="2"/>
  <c r="K1259" i="2" s="1"/>
  <c r="J1258" i="2"/>
  <c r="K1258" i="2" s="1"/>
  <c r="J1257" i="2"/>
  <c r="K1257" i="2" s="1"/>
  <c r="J1256" i="2"/>
  <c r="K1256" i="2" s="1"/>
  <c r="J1255" i="2"/>
  <c r="K1255" i="2" s="1"/>
  <c r="J1254" i="2"/>
  <c r="K1254" i="2" s="1"/>
  <c r="J1253" i="2"/>
  <c r="K1253" i="2" s="1"/>
  <c r="J1252" i="2"/>
  <c r="K1252" i="2" s="1"/>
  <c r="J1251" i="2"/>
  <c r="K1251" i="2" s="1"/>
  <c r="J1250" i="2"/>
  <c r="K1250" i="2" s="1"/>
  <c r="J1249" i="2"/>
  <c r="K1249" i="2" s="1"/>
  <c r="J1248" i="2"/>
  <c r="K1248" i="2" s="1"/>
  <c r="J1247" i="2"/>
  <c r="K1247" i="2" s="1"/>
  <c r="J1246" i="2"/>
  <c r="K1246" i="2" s="1"/>
  <c r="J1245" i="2"/>
  <c r="K1245" i="2" s="1"/>
  <c r="J1244" i="2"/>
  <c r="K1244" i="2" s="1"/>
  <c r="J1243" i="2"/>
  <c r="K1243" i="2" s="1"/>
  <c r="J1242" i="2"/>
  <c r="K1242" i="2" s="1"/>
  <c r="J1241" i="2"/>
  <c r="K1241" i="2" s="1"/>
  <c r="J1240" i="2"/>
  <c r="K1240" i="2" s="1"/>
  <c r="J1239" i="2"/>
  <c r="K1239" i="2" s="1"/>
  <c r="J1238" i="2"/>
  <c r="K1238" i="2" s="1"/>
  <c r="J1237" i="2"/>
  <c r="K1237" i="2" s="1"/>
  <c r="J1236" i="2"/>
  <c r="K1236" i="2" s="1"/>
  <c r="J1235" i="2"/>
  <c r="K1235" i="2" s="1"/>
  <c r="J1234" i="2"/>
  <c r="K1234" i="2" s="1"/>
  <c r="J1233" i="2"/>
  <c r="K1233" i="2" s="1"/>
  <c r="J1232" i="2"/>
  <c r="K1232" i="2" s="1"/>
  <c r="J1231" i="2"/>
  <c r="K1231" i="2" s="1"/>
  <c r="J1230" i="2"/>
  <c r="K1230" i="2" s="1"/>
  <c r="J1229" i="2"/>
  <c r="K1229" i="2" s="1"/>
  <c r="J1228" i="2"/>
  <c r="K1228" i="2" s="1"/>
  <c r="J1227" i="2"/>
  <c r="K1227" i="2" s="1"/>
  <c r="J1226" i="2"/>
  <c r="K1226" i="2" s="1"/>
  <c r="J1225" i="2"/>
  <c r="K1225" i="2" s="1"/>
  <c r="J1224" i="2"/>
  <c r="K1224" i="2" s="1"/>
  <c r="J1223" i="2"/>
  <c r="K1223" i="2" s="1"/>
  <c r="J1222" i="2"/>
  <c r="K1222" i="2" s="1"/>
  <c r="J1221" i="2"/>
  <c r="K1221" i="2" s="1"/>
  <c r="J1220" i="2"/>
  <c r="K1220" i="2" s="1"/>
  <c r="J1219" i="2"/>
  <c r="K1219" i="2" s="1"/>
  <c r="J1218" i="2"/>
  <c r="K1218" i="2" s="1"/>
  <c r="J1217" i="2"/>
  <c r="K1217" i="2" s="1"/>
  <c r="J1216" i="2"/>
  <c r="K1216" i="2" s="1"/>
  <c r="J1215" i="2"/>
  <c r="K1215" i="2" s="1"/>
  <c r="J1214" i="2"/>
  <c r="K1214" i="2" s="1"/>
  <c r="J1213" i="2"/>
  <c r="K1213" i="2" s="1"/>
  <c r="J1212" i="2"/>
  <c r="K1212" i="2" s="1"/>
  <c r="J1211" i="2"/>
  <c r="K1211" i="2" s="1"/>
  <c r="J1210" i="2"/>
  <c r="K1210" i="2" s="1"/>
  <c r="J1209" i="2"/>
  <c r="K1209" i="2" s="1"/>
  <c r="J1208" i="2"/>
  <c r="K1208" i="2" s="1"/>
  <c r="J1207" i="2"/>
  <c r="K1207" i="2" s="1"/>
  <c r="J1206" i="2"/>
  <c r="K1206" i="2" s="1"/>
  <c r="J1205" i="2"/>
  <c r="K1205" i="2" s="1"/>
  <c r="J1204" i="2"/>
  <c r="K1204" i="2" s="1"/>
  <c r="J1203" i="2"/>
  <c r="K1203" i="2" s="1"/>
  <c r="J1202" i="2"/>
  <c r="K1202" i="2" s="1"/>
  <c r="J1201" i="2"/>
  <c r="K1201" i="2" s="1"/>
  <c r="J1200" i="2"/>
  <c r="K1200" i="2" s="1"/>
  <c r="J1199" i="2"/>
  <c r="K1199" i="2" s="1"/>
  <c r="J1198" i="2"/>
  <c r="K1198" i="2" s="1"/>
  <c r="J1197" i="2"/>
  <c r="K1197" i="2" s="1"/>
  <c r="J1196" i="2"/>
  <c r="K1196" i="2" s="1"/>
  <c r="J1195" i="2"/>
  <c r="K1195" i="2" s="1"/>
  <c r="J1194" i="2"/>
  <c r="K1194" i="2" s="1"/>
  <c r="J1193" i="2"/>
  <c r="K1193" i="2" s="1"/>
  <c r="J1192" i="2"/>
  <c r="K1192" i="2" s="1"/>
  <c r="J1191" i="2"/>
  <c r="K1191" i="2" s="1"/>
  <c r="J1190" i="2"/>
  <c r="K1190" i="2" s="1"/>
  <c r="J1189" i="2"/>
  <c r="K1189" i="2" s="1"/>
  <c r="J1188" i="2"/>
  <c r="K1188" i="2" s="1"/>
  <c r="J1187" i="2"/>
  <c r="K1187" i="2" s="1"/>
  <c r="J1186" i="2"/>
  <c r="K1186" i="2" s="1"/>
  <c r="J1185" i="2"/>
  <c r="K1185" i="2" s="1"/>
  <c r="J1184" i="2"/>
  <c r="K1184" i="2" s="1"/>
  <c r="J1183" i="2"/>
  <c r="K1183" i="2" s="1"/>
  <c r="J1182" i="2"/>
  <c r="K1182" i="2" s="1"/>
  <c r="J1181" i="2"/>
  <c r="K1181" i="2" s="1"/>
  <c r="J1180" i="2"/>
  <c r="K1180" i="2" s="1"/>
  <c r="J1179" i="2"/>
  <c r="K1179" i="2" s="1"/>
  <c r="J1178" i="2"/>
  <c r="K1178" i="2" s="1"/>
  <c r="J1177" i="2"/>
  <c r="K1177" i="2" s="1"/>
  <c r="J1176" i="2"/>
  <c r="K1176" i="2" s="1"/>
  <c r="J1175" i="2"/>
  <c r="K1175" i="2" s="1"/>
  <c r="J1174" i="2"/>
  <c r="K1174" i="2" s="1"/>
  <c r="J1173" i="2"/>
  <c r="K1173" i="2" s="1"/>
  <c r="J1172" i="2"/>
  <c r="K1172" i="2" s="1"/>
  <c r="J1171" i="2"/>
  <c r="K1171" i="2" s="1"/>
  <c r="J1170" i="2"/>
  <c r="K1170" i="2" s="1"/>
  <c r="J1169" i="2"/>
  <c r="K1169" i="2" s="1"/>
  <c r="J1168" i="2"/>
  <c r="K1168" i="2" s="1"/>
  <c r="J1167" i="2"/>
  <c r="K1167" i="2" s="1"/>
  <c r="J1166" i="2"/>
  <c r="K1166" i="2" s="1"/>
  <c r="J1165" i="2"/>
  <c r="K1165" i="2" s="1"/>
  <c r="J1164" i="2"/>
  <c r="K1164" i="2" s="1"/>
  <c r="J1163" i="2"/>
  <c r="K1163" i="2" s="1"/>
  <c r="J1162" i="2"/>
  <c r="K1162" i="2" s="1"/>
  <c r="J1161" i="2"/>
  <c r="K1161" i="2" s="1"/>
  <c r="J1160" i="2"/>
  <c r="K1160" i="2" s="1"/>
  <c r="J1159" i="2"/>
  <c r="K1159" i="2" s="1"/>
  <c r="J1158" i="2"/>
  <c r="K1158" i="2" s="1"/>
  <c r="J1157" i="2"/>
  <c r="K1157" i="2" s="1"/>
  <c r="J1156" i="2"/>
  <c r="K1156" i="2" s="1"/>
  <c r="J1155" i="2"/>
  <c r="K1155" i="2" s="1"/>
  <c r="J1154" i="2"/>
  <c r="K1154" i="2" s="1"/>
  <c r="J1153" i="2"/>
  <c r="K1153" i="2" s="1"/>
  <c r="J1152" i="2"/>
  <c r="K1152" i="2" s="1"/>
  <c r="J1151" i="2"/>
  <c r="K1151" i="2" s="1"/>
  <c r="J1150" i="2"/>
  <c r="K1150" i="2" s="1"/>
  <c r="J1149" i="2"/>
  <c r="K1149" i="2" s="1"/>
  <c r="J1148" i="2"/>
  <c r="K1148" i="2" s="1"/>
  <c r="J1147" i="2"/>
  <c r="K1147" i="2" s="1"/>
  <c r="J1146" i="2"/>
  <c r="K1146" i="2" s="1"/>
  <c r="J1145" i="2"/>
  <c r="K1145" i="2" s="1"/>
  <c r="J1144" i="2"/>
  <c r="K1144" i="2" s="1"/>
  <c r="J1143" i="2"/>
  <c r="K1143" i="2" s="1"/>
  <c r="J1142" i="2"/>
  <c r="K1142" i="2" s="1"/>
  <c r="J1141" i="2"/>
  <c r="K1141" i="2" s="1"/>
  <c r="J1140" i="2"/>
  <c r="K1140" i="2" s="1"/>
  <c r="J1139" i="2"/>
  <c r="K1139" i="2" s="1"/>
  <c r="J1138" i="2"/>
  <c r="K1138" i="2" s="1"/>
  <c r="J1137" i="2"/>
  <c r="K1137" i="2" s="1"/>
  <c r="J1136" i="2"/>
  <c r="K1136" i="2" s="1"/>
  <c r="J1135" i="2"/>
  <c r="K1135" i="2" s="1"/>
  <c r="J1134" i="2"/>
  <c r="K1134" i="2" s="1"/>
  <c r="J1133" i="2"/>
  <c r="K1133" i="2" s="1"/>
  <c r="J1132" i="2"/>
  <c r="K1132" i="2" s="1"/>
  <c r="J1131" i="2"/>
  <c r="K1131" i="2" s="1"/>
  <c r="J1130" i="2"/>
  <c r="K1130" i="2" s="1"/>
  <c r="J1129" i="2"/>
  <c r="K1129" i="2" s="1"/>
  <c r="J1128" i="2"/>
  <c r="K1128" i="2" s="1"/>
  <c r="J1127" i="2"/>
  <c r="K1127" i="2" s="1"/>
  <c r="J1126" i="2"/>
  <c r="K1126" i="2" s="1"/>
  <c r="J1125" i="2"/>
  <c r="K1125" i="2" s="1"/>
  <c r="J1124" i="2"/>
  <c r="K1124" i="2" s="1"/>
  <c r="J1123" i="2"/>
  <c r="K1123" i="2" s="1"/>
  <c r="J1122" i="2"/>
  <c r="K1122" i="2" s="1"/>
  <c r="J1121" i="2"/>
  <c r="K1121" i="2" s="1"/>
  <c r="J1120" i="2"/>
  <c r="K1120" i="2" s="1"/>
  <c r="J1119" i="2"/>
  <c r="K1119" i="2" s="1"/>
  <c r="J1118" i="2"/>
  <c r="K1118" i="2" s="1"/>
  <c r="J1117" i="2"/>
  <c r="K1117" i="2" s="1"/>
  <c r="J1116" i="2"/>
  <c r="K1116" i="2" s="1"/>
  <c r="J1115" i="2"/>
  <c r="K1115" i="2" s="1"/>
  <c r="J1114" i="2"/>
  <c r="K1114" i="2" s="1"/>
  <c r="J1113" i="2"/>
  <c r="K1113" i="2" s="1"/>
  <c r="J1112" i="2"/>
  <c r="K1112" i="2" s="1"/>
  <c r="J1111" i="2"/>
  <c r="K1111" i="2" s="1"/>
  <c r="J1110" i="2"/>
  <c r="K1110" i="2" s="1"/>
  <c r="J1109" i="2"/>
  <c r="K1109" i="2" s="1"/>
  <c r="J1108" i="2"/>
  <c r="K1108" i="2" s="1"/>
  <c r="J1107" i="2"/>
  <c r="K1107" i="2" s="1"/>
  <c r="J1106" i="2"/>
  <c r="K1106" i="2" s="1"/>
  <c r="J1105" i="2"/>
  <c r="K1105" i="2" s="1"/>
  <c r="J1104" i="2"/>
  <c r="K1104" i="2" s="1"/>
  <c r="J1103" i="2"/>
  <c r="K1103" i="2" s="1"/>
  <c r="J1102" i="2"/>
  <c r="K1102" i="2" s="1"/>
  <c r="J1101" i="2"/>
  <c r="K1101" i="2" s="1"/>
  <c r="J1100" i="2"/>
  <c r="K1100" i="2" s="1"/>
  <c r="J1099" i="2"/>
  <c r="K1099" i="2" s="1"/>
  <c r="J1098" i="2"/>
  <c r="K1098" i="2" s="1"/>
  <c r="J1097" i="2"/>
  <c r="K1097" i="2" s="1"/>
  <c r="J1096" i="2"/>
  <c r="K1096" i="2" s="1"/>
  <c r="J1095" i="2"/>
  <c r="K1095" i="2" s="1"/>
  <c r="J1094" i="2"/>
  <c r="K1094" i="2" s="1"/>
  <c r="J1093" i="2"/>
  <c r="K1093" i="2" s="1"/>
  <c r="J1092" i="2"/>
  <c r="K1092" i="2" s="1"/>
  <c r="J1091" i="2"/>
  <c r="K1091" i="2" s="1"/>
  <c r="J1090" i="2"/>
  <c r="K1090" i="2" s="1"/>
  <c r="J1089" i="2"/>
  <c r="K1089" i="2" s="1"/>
  <c r="J1088" i="2"/>
  <c r="K1088" i="2" s="1"/>
  <c r="J1087" i="2"/>
  <c r="K1087" i="2" s="1"/>
  <c r="J1086" i="2"/>
  <c r="K1086" i="2" s="1"/>
  <c r="J1085" i="2"/>
  <c r="K1085" i="2" s="1"/>
  <c r="J1084" i="2"/>
  <c r="K1084" i="2" s="1"/>
  <c r="J1083" i="2"/>
  <c r="K1083" i="2" s="1"/>
  <c r="J1082" i="2"/>
  <c r="K1082" i="2" s="1"/>
  <c r="J1081" i="2"/>
  <c r="K1081" i="2" s="1"/>
  <c r="J1080" i="2"/>
  <c r="K1080" i="2" s="1"/>
  <c r="J1079" i="2"/>
  <c r="K1079" i="2" s="1"/>
  <c r="J1078" i="2"/>
  <c r="K1078" i="2" s="1"/>
  <c r="J1077" i="2"/>
  <c r="K1077" i="2" s="1"/>
  <c r="J1076" i="2"/>
  <c r="K1076" i="2" s="1"/>
  <c r="J1075" i="2"/>
  <c r="K1075" i="2" s="1"/>
  <c r="J1074" i="2"/>
  <c r="K1074" i="2" s="1"/>
  <c r="J1073" i="2"/>
  <c r="K1073" i="2" s="1"/>
  <c r="J1072" i="2"/>
  <c r="K1072" i="2" s="1"/>
  <c r="J1071" i="2"/>
  <c r="K1071" i="2" s="1"/>
  <c r="J1070" i="2"/>
  <c r="K1070" i="2" s="1"/>
  <c r="J1069" i="2"/>
  <c r="K1069" i="2" s="1"/>
  <c r="J1068" i="2"/>
  <c r="K1068" i="2" s="1"/>
  <c r="J1067" i="2"/>
  <c r="K1067" i="2" s="1"/>
  <c r="J1066" i="2"/>
  <c r="K1066" i="2" s="1"/>
  <c r="J1065" i="2"/>
  <c r="K1065" i="2" s="1"/>
  <c r="J1064" i="2"/>
  <c r="K1064" i="2" s="1"/>
  <c r="J1063" i="2"/>
  <c r="K1063" i="2" s="1"/>
  <c r="J1062" i="2"/>
  <c r="K1062" i="2" s="1"/>
  <c r="J1061" i="2"/>
  <c r="K1061" i="2" s="1"/>
  <c r="J1060" i="2"/>
  <c r="K1060" i="2" s="1"/>
  <c r="J1059" i="2"/>
  <c r="K1059" i="2" s="1"/>
  <c r="J1058" i="2"/>
  <c r="K1058" i="2" s="1"/>
  <c r="J1057" i="2"/>
  <c r="K1057" i="2" s="1"/>
  <c r="J1056" i="2"/>
  <c r="K1056" i="2" s="1"/>
  <c r="J1055" i="2"/>
  <c r="K1055" i="2" s="1"/>
  <c r="J1054" i="2"/>
  <c r="K1054" i="2" s="1"/>
  <c r="J1053" i="2"/>
  <c r="K1053" i="2" s="1"/>
  <c r="J1052" i="2"/>
  <c r="K1052" i="2" s="1"/>
  <c r="J1051" i="2"/>
  <c r="K1051" i="2" s="1"/>
  <c r="J1050" i="2"/>
  <c r="K1050" i="2" s="1"/>
  <c r="J1049" i="2"/>
  <c r="K1049" i="2" s="1"/>
  <c r="J1048" i="2"/>
  <c r="K1048" i="2" s="1"/>
  <c r="J1047" i="2"/>
  <c r="K1047" i="2" s="1"/>
  <c r="J1046" i="2"/>
  <c r="K1046" i="2" s="1"/>
  <c r="J1045" i="2"/>
  <c r="K1045" i="2" s="1"/>
  <c r="J1044" i="2"/>
  <c r="K1044" i="2" s="1"/>
  <c r="J1043" i="2"/>
  <c r="K1043" i="2" s="1"/>
  <c r="J1042" i="2"/>
  <c r="K1042" i="2" s="1"/>
  <c r="J1041" i="2"/>
  <c r="K1041" i="2" s="1"/>
  <c r="J1040" i="2"/>
  <c r="K1040" i="2" s="1"/>
  <c r="J1039" i="2"/>
  <c r="K1039" i="2" s="1"/>
  <c r="J1038" i="2"/>
  <c r="K1038" i="2" s="1"/>
  <c r="J1037" i="2"/>
  <c r="K1037" i="2" s="1"/>
  <c r="J1036" i="2"/>
  <c r="K1036" i="2" s="1"/>
  <c r="J1035" i="2"/>
  <c r="K1035" i="2" s="1"/>
  <c r="J1034" i="2"/>
  <c r="K1034" i="2" s="1"/>
  <c r="J1033" i="2"/>
  <c r="K1033" i="2" s="1"/>
  <c r="J1032" i="2"/>
  <c r="K1032" i="2" s="1"/>
  <c r="J1031" i="2"/>
  <c r="K1031" i="2" s="1"/>
  <c r="J1030" i="2"/>
  <c r="K1030" i="2" s="1"/>
  <c r="J1029" i="2"/>
  <c r="K1029" i="2" s="1"/>
  <c r="J1028" i="2"/>
  <c r="K1028" i="2" s="1"/>
  <c r="J1027" i="2"/>
  <c r="K1027" i="2" s="1"/>
  <c r="J1026" i="2"/>
  <c r="K1026" i="2" s="1"/>
  <c r="J1025" i="2"/>
  <c r="K1025" i="2" s="1"/>
  <c r="J1024" i="2"/>
  <c r="K1024" i="2" s="1"/>
  <c r="J1023" i="2"/>
  <c r="K1023" i="2" s="1"/>
  <c r="J1022" i="2"/>
  <c r="K1022" i="2" s="1"/>
  <c r="J1021" i="2"/>
  <c r="K1021" i="2" s="1"/>
  <c r="J1020" i="2"/>
  <c r="K1020" i="2" s="1"/>
  <c r="J1019" i="2"/>
  <c r="K1019" i="2" s="1"/>
  <c r="J1018" i="2"/>
  <c r="K1018" i="2" s="1"/>
  <c r="J1017" i="2"/>
  <c r="K1017" i="2" s="1"/>
  <c r="J1016" i="2"/>
  <c r="K1016" i="2" s="1"/>
  <c r="J1015" i="2"/>
  <c r="K1015" i="2" s="1"/>
  <c r="J1014" i="2"/>
  <c r="K1014" i="2" s="1"/>
  <c r="J1013" i="2"/>
  <c r="K1013" i="2" s="1"/>
  <c r="J1012" i="2"/>
  <c r="K1012" i="2" s="1"/>
  <c r="J1011" i="2"/>
  <c r="K1011" i="2" s="1"/>
  <c r="J1010" i="2"/>
  <c r="K1010" i="2" s="1"/>
  <c r="J1009" i="2"/>
  <c r="K1009" i="2" s="1"/>
  <c r="J1008" i="2"/>
  <c r="K1008" i="2" s="1"/>
  <c r="J1007" i="2"/>
  <c r="K1007" i="2" s="1"/>
  <c r="J1006" i="2"/>
  <c r="K1006" i="2" s="1"/>
  <c r="J1005" i="2"/>
  <c r="K1005" i="2" s="1"/>
  <c r="J1004" i="2"/>
  <c r="K1004" i="2" s="1"/>
  <c r="J1003" i="2"/>
  <c r="K1003" i="2" s="1"/>
  <c r="J1002" i="2"/>
  <c r="K1002" i="2" s="1"/>
  <c r="J1001" i="2"/>
  <c r="K1001" i="2" s="1"/>
  <c r="J1000" i="2"/>
  <c r="K1000" i="2" s="1"/>
  <c r="J999" i="2"/>
  <c r="K999" i="2" s="1"/>
  <c r="J998" i="2"/>
  <c r="K998" i="2" s="1"/>
  <c r="J997" i="2"/>
  <c r="K997" i="2" s="1"/>
  <c r="J996" i="2"/>
  <c r="K996" i="2" s="1"/>
  <c r="J995" i="2"/>
  <c r="K995" i="2" s="1"/>
  <c r="J994" i="2"/>
  <c r="K994" i="2" s="1"/>
  <c r="J993" i="2"/>
  <c r="K993" i="2" s="1"/>
  <c r="J992" i="2"/>
  <c r="K992" i="2" s="1"/>
  <c r="J991" i="2"/>
  <c r="K991" i="2" s="1"/>
  <c r="J990" i="2"/>
  <c r="K990" i="2" s="1"/>
  <c r="J989" i="2"/>
  <c r="K989" i="2" s="1"/>
  <c r="J988" i="2"/>
  <c r="K988" i="2" s="1"/>
  <c r="J987" i="2"/>
  <c r="K987" i="2" s="1"/>
  <c r="J986" i="2"/>
  <c r="K986" i="2" s="1"/>
  <c r="J985" i="2"/>
  <c r="K985" i="2" s="1"/>
  <c r="J984" i="2"/>
  <c r="K984" i="2" s="1"/>
  <c r="J983" i="2"/>
  <c r="K983" i="2" s="1"/>
  <c r="J982" i="2"/>
  <c r="K982" i="2" s="1"/>
  <c r="J981" i="2"/>
  <c r="K981" i="2" s="1"/>
  <c r="J980" i="2"/>
  <c r="K980" i="2" s="1"/>
  <c r="J979" i="2"/>
  <c r="K979" i="2" s="1"/>
  <c r="J978" i="2"/>
  <c r="K978" i="2" s="1"/>
  <c r="J977" i="2"/>
  <c r="K977" i="2" s="1"/>
  <c r="J976" i="2"/>
  <c r="K976" i="2" s="1"/>
  <c r="J975" i="2"/>
  <c r="K975" i="2" s="1"/>
  <c r="J974" i="2"/>
  <c r="K974" i="2" s="1"/>
  <c r="J973" i="2"/>
  <c r="K973" i="2" s="1"/>
  <c r="J972" i="2"/>
  <c r="K972" i="2" s="1"/>
  <c r="J971" i="2"/>
  <c r="K971" i="2" s="1"/>
  <c r="J970" i="2"/>
  <c r="K970" i="2" s="1"/>
  <c r="J969" i="2"/>
  <c r="K969" i="2" s="1"/>
  <c r="J968" i="2"/>
  <c r="K968" i="2" s="1"/>
  <c r="J967" i="2"/>
  <c r="K967" i="2" s="1"/>
  <c r="J966" i="2"/>
  <c r="K966" i="2" s="1"/>
  <c r="J965" i="2"/>
  <c r="K965" i="2" s="1"/>
  <c r="J964" i="2"/>
  <c r="K964" i="2" s="1"/>
  <c r="J963" i="2"/>
  <c r="K963" i="2" s="1"/>
  <c r="J962" i="2"/>
  <c r="K962" i="2" s="1"/>
  <c r="J961" i="2"/>
  <c r="K961" i="2" s="1"/>
  <c r="J960" i="2"/>
  <c r="K960" i="2" s="1"/>
  <c r="J959" i="2"/>
  <c r="K959" i="2" s="1"/>
  <c r="J958" i="2"/>
  <c r="K958" i="2" s="1"/>
  <c r="J957" i="2"/>
  <c r="K957" i="2" s="1"/>
  <c r="J956" i="2"/>
  <c r="K956" i="2" s="1"/>
  <c r="J955" i="2"/>
  <c r="K955" i="2" s="1"/>
  <c r="J954" i="2"/>
  <c r="K954" i="2" s="1"/>
  <c r="J953" i="2"/>
  <c r="K953" i="2" s="1"/>
  <c r="J952" i="2"/>
  <c r="K952" i="2" s="1"/>
  <c r="J951" i="2"/>
  <c r="K951" i="2" s="1"/>
  <c r="J950" i="2"/>
  <c r="K950" i="2" s="1"/>
  <c r="J949" i="2"/>
  <c r="K949" i="2" s="1"/>
  <c r="J948" i="2"/>
  <c r="K948" i="2" s="1"/>
  <c r="J947" i="2"/>
  <c r="K947" i="2" s="1"/>
  <c r="J946" i="2"/>
  <c r="K946" i="2" s="1"/>
  <c r="J945" i="2"/>
  <c r="K945" i="2" s="1"/>
  <c r="J944" i="2"/>
  <c r="K944" i="2" s="1"/>
  <c r="J943" i="2"/>
  <c r="K943" i="2" s="1"/>
  <c r="J942" i="2"/>
  <c r="K942" i="2" s="1"/>
  <c r="J941" i="2"/>
  <c r="K941" i="2" s="1"/>
  <c r="J940" i="2"/>
  <c r="K940" i="2" s="1"/>
  <c r="J939" i="2"/>
  <c r="K939" i="2" s="1"/>
  <c r="J938" i="2"/>
  <c r="K938" i="2" s="1"/>
  <c r="J937" i="2"/>
  <c r="K937" i="2" s="1"/>
  <c r="J936" i="2"/>
  <c r="K936" i="2" s="1"/>
  <c r="J935" i="2"/>
  <c r="K935" i="2" s="1"/>
  <c r="J934" i="2"/>
  <c r="K934" i="2" s="1"/>
  <c r="J933" i="2"/>
  <c r="K933" i="2" s="1"/>
  <c r="J932" i="2"/>
  <c r="K932" i="2" s="1"/>
  <c r="J931" i="2"/>
  <c r="K931" i="2" s="1"/>
  <c r="J930" i="2"/>
  <c r="K930" i="2" s="1"/>
  <c r="J929" i="2"/>
  <c r="K929" i="2" s="1"/>
  <c r="J928" i="2"/>
  <c r="K928" i="2" s="1"/>
  <c r="J927" i="2"/>
  <c r="K927" i="2" s="1"/>
  <c r="J926" i="2"/>
  <c r="K926" i="2" s="1"/>
  <c r="J925" i="2"/>
  <c r="K925" i="2" s="1"/>
  <c r="J924" i="2"/>
  <c r="K924" i="2" s="1"/>
  <c r="J923" i="2"/>
  <c r="K923" i="2" s="1"/>
  <c r="J922" i="2"/>
  <c r="K922" i="2" s="1"/>
  <c r="J921" i="2"/>
  <c r="K921" i="2" s="1"/>
  <c r="J920" i="2"/>
  <c r="K920" i="2" s="1"/>
  <c r="J919" i="2"/>
  <c r="K919" i="2" s="1"/>
  <c r="J918" i="2"/>
  <c r="K918" i="2" s="1"/>
  <c r="J917" i="2"/>
  <c r="K917" i="2" s="1"/>
  <c r="J916" i="2"/>
  <c r="K916" i="2" s="1"/>
  <c r="J915" i="2"/>
  <c r="K915" i="2" s="1"/>
  <c r="J914" i="2"/>
  <c r="K914" i="2" s="1"/>
  <c r="J913" i="2"/>
  <c r="K913" i="2" s="1"/>
  <c r="J912" i="2"/>
  <c r="K912" i="2" s="1"/>
  <c r="J911" i="2"/>
  <c r="K911" i="2" s="1"/>
  <c r="J910" i="2"/>
  <c r="K910" i="2" s="1"/>
  <c r="J909" i="2"/>
  <c r="K909" i="2" s="1"/>
  <c r="J908" i="2"/>
  <c r="K908" i="2" s="1"/>
  <c r="J907" i="2"/>
  <c r="K907" i="2" s="1"/>
  <c r="J906" i="2"/>
  <c r="K906" i="2" s="1"/>
  <c r="J905" i="2"/>
  <c r="K905" i="2" s="1"/>
  <c r="J904" i="2"/>
  <c r="K904" i="2" s="1"/>
  <c r="J903" i="2"/>
  <c r="K903" i="2" s="1"/>
  <c r="J902" i="2"/>
  <c r="K902" i="2" s="1"/>
  <c r="J901" i="2"/>
  <c r="K901" i="2" s="1"/>
  <c r="J900" i="2"/>
  <c r="K900" i="2" s="1"/>
  <c r="J899" i="2"/>
  <c r="K899" i="2" s="1"/>
  <c r="J898" i="2"/>
  <c r="K898" i="2" s="1"/>
  <c r="J897" i="2"/>
  <c r="K897" i="2" s="1"/>
  <c r="J896" i="2"/>
  <c r="K896" i="2" s="1"/>
  <c r="J895" i="2"/>
  <c r="K895" i="2" s="1"/>
  <c r="J894" i="2"/>
  <c r="K894" i="2" s="1"/>
  <c r="J893" i="2"/>
  <c r="K893" i="2" s="1"/>
  <c r="J892" i="2"/>
  <c r="K892" i="2" s="1"/>
  <c r="J891" i="2"/>
  <c r="K891" i="2" s="1"/>
  <c r="J890" i="2"/>
  <c r="K890" i="2" s="1"/>
  <c r="J889" i="2"/>
  <c r="K889" i="2" s="1"/>
  <c r="J888" i="2"/>
  <c r="K888" i="2" s="1"/>
  <c r="J887" i="2"/>
  <c r="K887" i="2" s="1"/>
  <c r="J886" i="2"/>
  <c r="K886" i="2" s="1"/>
  <c r="J885" i="2"/>
  <c r="K885" i="2" s="1"/>
  <c r="J884" i="2"/>
  <c r="K884" i="2" s="1"/>
  <c r="J883" i="2"/>
  <c r="K883" i="2" s="1"/>
  <c r="J882" i="2"/>
  <c r="K882" i="2" s="1"/>
  <c r="J881" i="2"/>
  <c r="K881" i="2" s="1"/>
  <c r="J880" i="2"/>
  <c r="K880" i="2" s="1"/>
  <c r="J879" i="2"/>
  <c r="K879" i="2" s="1"/>
  <c r="J878" i="2"/>
  <c r="K878" i="2" s="1"/>
  <c r="J877" i="2"/>
  <c r="K877" i="2" s="1"/>
  <c r="J876" i="2"/>
  <c r="K876" i="2" s="1"/>
  <c r="J875" i="2"/>
  <c r="K875" i="2" s="1"/>
  <c r="J874" i="2"/>
  <c r="K874" i="2" s="1"/>
  <c r="J873" i="2"/>
  <c r="K873" i="2" s="1"/>
  <c r="J872" i="2"/>
  <c r="K872" i="2" s="1"/>
  <c r="J871" i="2"/>
  <c r="K871" i="2" s="1"/>
  <c r="J870" i="2"/>
  <c r="K870" i="2" s="1"/>
  <c r="J869" i="2"/>
  <c r="K869" i="2" s="1"/>
  <c r="J868" i="2"/>
  <c r="K868" i="2" s="1"/>
  <c r="J867" i="2"/>
  <c r="K867" i="2" s="1"/>
  <c r="J866" i="2"/>
  <c r="K866" i="2" s="1"/>
  <c r="J865" i="2"/>
  <c r="K865" i="2" s="1"/>
  <c r="J864" i="2"/>
  <c r="K864" i="2" s="1"/>
  <c r="J863" i="2"/>
  <c r="K863" i="2" s="1"/>
  <c r="J862" i="2"/>
  <c r="K862" i="2" s="1"/>
  <c r="J861" i="2"/>
  <c r="K861" i="2" s="1"/>
  <c r="J860" i="2"/>
  <c r="K860" i="2" s="1"/>
  <c r="J859" i="2"/>
  <c r="K859" i="2" s="1"/>
  <c r="J858" i="2"/>
  <c r="K858" i="2" s="1"/>
  <c r="J857" i="2"/>
  <c r="K857" i="2" s="1"/>
  <c r="J856" i="2"/>
  <c r="K856" i="2" s="1"/>
  <c r="J855" i="2"/>
  <c r="K855" i="2" s="1"/>
  <c r="J854" i="2"/>
  <c r="K854" i="2" s="1"/>
  <c r="J853" i="2"/>
  <c r="K853" i="2" s="1"/>
  <c r="J852" i="2"/>
  <c r="K852" i="2" s="1"/>
  <c r="J851" i="2"/>
  <c r="K851" i="2" s="1"/>
  <c r="J850" i="2"/>
  <c r="K850" i="2" s="1"/>
  <c r="J849" i="2"/>
  <c r="K849" i="2" s="1"/>
  <c r="J848" i="2"/>
  <c r="K848" i="2" s="1"/>
  <c r="J847" i="2"/>
  <c r="K847" i="2" s="1"/>
  <c r="J846" i="2"/>
  <c r="K846" i="2" s="1"/>
  <c r="J845" i="2"/>
  <c r="K845" i="2" s="1"/>
  <c r="J844" i="2"/>
  <c r="K844" i="2" s="1"/>
  <c r="J843" i="2"/>
  <c r="K843" i="2" s="1"/>
  <c r="J842" i="2"/>
  <c r="K842" i="2" s="1"/>
  <c r="J841" i="2"/>
  <c r="K841" i="2" s="1"/>
  <c r="J840" i="2"/>
  <c r="K840" i="2" s="1"/>
  <c r="J839" i="2"/>
  <c r="K839" i="2" s="1"/>
  <c r="J838" i="2"/>
  <c r="K838" i="2" s="1"/>
  <c r="J837" i="2"/>
  <c r="K837" i="2" s="1"/>
  <c r="J836" i="2"/>
  <c r="K836" i="2" s="1"/>
  <c r="J835" i="2"/>
  <c r="K835" i="2" s="1"/>
  <c r="J834" i="2"/>
  <c r="K834" i="2" s="1"/>
  <c r="J833" i="2"/>
  <c r="K833" i="2" s="1"/>
  <c r="J832" i="2"/>
  <c r="K832" i="2" s="1"/>
  <c r="J831" i="2"/>
  <c r="K831" i="2" s="1"/>
  <c r="J830" i="2"/>
  <c r="K830" i="2" s="1"/>
  <c r="J829" i="2"/>
  <c r="K829" i="2" s="1"/>
  <c r="J828" i="2"/>
  <c r="K828" i="2" s="1"/>
  <c r="J827" i="2"/>
  <c r="K827" i="2" s="1"/>
  <c r="J826" i="2"/>
  <c r="K826" i="2" s="1"/>
  <c r="J825" i="2"/>
  <c r="K825" i="2" s="1"/>
  <c r="J824" i="2"/>
  <c r="K824" i="2" s="1"/>
  <c r="J823" i="2"/>
  <c r="K823" i="2" s="1"/>
  <c r="J822" i="2"/>
  <c r="K822" i="2" s="1"/>
  <c r="J821" i="2"/>
  <c r="K821" i="2" s="1"/>
  <c r="J820" i="2"/>
  <c r="K820" i="2" s="1"/>
  <c r="J819" i="2"/>
  <c r="K819" i="2" s="1"/>
  <c r="J818" i="2"/>
  <c r="K818" i="2" s="1"/>
  <c r="J817" i="2"/>
  <c r="K817" i="2" s="1"/>
  <c r="J816" i="2"/>
  <c r="K816" i="2" s="1"/>
  <c r="J815" i="2"/>
  <c r="K815" i="2" s="1"/>
  <c r="J814" i="2"/>
  <c r="K814" i="2" s="1"/>
  <c r="J813" i="2"/>
  <c r="K813" i="2" s="1"/>
  <c r="J812" i="2"/>
  <c r="K812" i="2" s="1"/>
  <c r="J811" i="2"/>
  <c r="K811" i="2" s="1"/>
  <c r="J810" i="2"/>
  <c r="K810" i="2" s="1"/>
  <c r="J809" i="2"/>
  <c r="K809" i="2" s="1"/>
  <c r="J808" i="2"/>
  <c r="K808" i="2" s="1"/>
  <c r="J807" i="2"/>
  <c r="K807" i="2" s="1"/>
  <c r="J806" i="2"/>
  <c r="K806" i="2" s="1"/>
  <c r="J805" i="2"/>
  <c r="K805" i="2" s="1"/>
  <c r="J804" i="2"/>
  <c r="K804" i="2" s="1"/>
  <c r="J803" i="2"/>
  <c r="K803" i="2" s="1"/>
  <c r="J802" i="2"/>
  <c r="K802" i="2" s="1"/>
  <c r="J801" i="2"/>
  <c r="K801" i="2" s="1"/>
  <c r="J800" i="2"/>
  <c r="K800" i="2" s="1"/>
  <c r="J799" i="2"/>
  <c r="K799" i="2" s="1"/>
  <c r="J798" i="2"/>
  <c r="K798" i="2" s="1"/>
  <c r="J797" i="2"/>
  <c r="K797" i="2" s="1"/>
  <c r="J796" i="2"/>
  <c r="K796" i="2" s="1"/>
  <c r="J795" i="2"/>
  <c r="K795" i="2" s="1"/>
  <c r="J794" i="2"/>
  <c r="K794" i="2" s="1"/>
  <c r="J793" i="2"/>
  <c r="K793" i="2" s="1"/>
  <c r="J792" i="2"/>
  <c r="K792" i="2" s="1"/>
  <c r="J791" i="2"/>
  <c r="K791" i="2" s="1"/>
  <c r="J790" i="2"/>
  <c r="K790" i="2" s="1"/>
  <c r="J789" i="2"/>
  <c r="K789" i="2" s="1"/>
  <c r="J788" i="2"/>
  <c r="K788" i="2" s="1"/>
  <c r="J787" i="2"/>
  <c r="K787" i="2" s="1"/>
  <c r="J786" i="2"/>
  <c r="K786" i="2" s="1"/>
  <c r="J785" i="2"/>
  <c r="K785" i="2" s="1"/>
  <c r="J784" i="2"/>
  <c r="K784" i="2" s="1"/>
  <c r="J783" i="2"/>
  <c r="K783" i="2" s="1"/>
  <c r="J782" i="2"/>
  <c r="K782" i="2" s="1"/>
  <c r="J781" i="2"/>
  <c r="K781" i="2" s="1"/>
  <c r="J780" i="2"/>
  <c r="K780" i="2" s="1"/>
  <c r="J779" i="2"/>
  <c r="K779" i="2" s="1"/>
  <c r="J778" i="2"/>
  <c r="K778" i="2" s="1"/>
  <c r="J777" i="2"/>
  <c r="K777" i="2" s="1"/>
  <c r="J776" i="2"/>
  <c r="K776" i="2" s="1"/>
  <c r="J775" i="2"/>
  <c r="K775" i="2" s="1"/>
  <c r="J774" i="2"/>
  <c r="K774" i="2" s="1"/>
  <c r="J773" i="2"/>
  <c r="K773" i="2" s="1"/>
  <c r="J772" i="2"/>
  <c r="K772" i="2" s="1"/>
  <c r="J771" i="2"/>
  <c r="K771" i="2" s="1"/>
  <c r="J770" i="2"/>
  <c r="K770" i="2" s="1"/>
  <c r="J769" i="2"/>
  <c r="K769" i="2" s="1"/>
  <c r="J768" i="2"/>
  <c r="K768" i="2" s="1"/>
  <c r="J767" i="2"/>
  <c r="K767" i="2" s="1"/>
  <c r="J766" i="2"/>
  <c r="K766" i="2" s="1"/>
  <c r="J765" i="2"/>
  <c r="K765" i="2" s="1"/>
  <c r="J764" i="2"/>
  <c r="K764" i="2" s="1"/>
  <c r="J763" i="2"/>
  <c r="K763" i="2" s="1"/>
  <c r="J762" i="2"/>
  <c r="K762" i="2" s="1"/>
  <c r="J761" i="2"/>
  <c r="K761" i="2" s="1"/>
  <c r="J760" i="2"/>
  <c r="K760" i="2" s="1"/>
  <c r="J759" i="2"/>
  <c r="K759" i="2" s="1"/>
  <c r="J758" i="2"/>
  <c r="K758" i="2" s="1"/>
  <c r="J757" i="2"/>
  <c r="K757" i="2" s="1"/>
  <c r="J756" i="2"/>
  <c r="K756" i="2" s="1"/>
  <c r="J755" i="2"/>
  <c r="K755" i="2" s="1"/>
  <c r="J754" i="2"/>
  <c r="K754" i="2" s="1"/>
  <c r="J753" i="2"/>
  <c r="K753" i="2" s="1"/>
  <c r="J752" i="2"/>
  <c r="K752" i="2" s="1"/>
  <c r="J751" i="2"/>
  <c r="K751" i="2" s="1"/>
  <c r="J750" i="2"/>
  <c r="K750" i="2" s="1"/>
  <c r="J749" i="2"/>
  <c r="K749" i="2" s="1"/>
  <c r="J748" i="2"/>
  <c r="K748" i="2" s="1"/>
  <c r="J747" i="2"/>
  <c r="K747" i="2" s="1"/>
  <c r="J746" i="2"/>
  <c r="K746" i="2" s="1"/>
  <c r="J745" i="2"/>
  <c r="K745" i="2" s="1"/>
  <c r="J744" i="2"/>
  <c r="K744" i="2" s="1"/>
  <c r="J743" i="2"/>
  <c r="K743" i="2" s="1"/>
  <c r="J742" i="2"/>
  <c r="K742" i="2" s="1"/>
  <c r="J741" i="2"/>
  <c r="K741" i="2" s="1"/>
  <c r="J740" i="2"/>
  <c r="K740" i="2" s="1"/>
  <c r="J739" i="2"/>
  <c r="K739" i="2" s="1"/>
  <c r="J738" i="2"/>
  <c r="K738" i="2" s="1"/>
  <c r="J737" i="2"/>
  <c r="K737" i="2" s="1"/>
  <c r="J736" i="2"/>
  <c r="K736" i="2" s="1"/>
  <c r="J735" i="2"/>
  <c r="K735" i="2" s="1"/>
  <c r="J734" i="2"/>
  <c r="K734" i="2" s="1"/>
  <c r="J733" i="2"/>
  <c r="K733" i="2" s="1"/>
  <c r="J732" i="2"/>
  <c r="K732" i="2" s="1"/>
  <c r="J731" i="2"/>
  <c r="K731" i="2" s="1"/>
  <c r="J730" i="2"/>
  <c r="K730" i="2" s="1"/>
  <c r="J729" i="2"/>
  <c r="K729" i="2" s="1"/>
  <c r="J728" i="2"/>
  <c r="K728" i="2" s="1"/>
  <c r="J727" i="2"/>
  <c r="K727" i="2" s="1"/>
  <c r="J726" i="2"/>
  <c r="K726" i="2" s="1"/>
  <c r="J725" i="2"/>
  <c r="K725" i="2" s="1"/>
  <c r="J724" i="2"/>
  <c r="K724" i="2" s="1"/>
  <c r="J723" i="2"/>
  <c r="K723" i="2" s="1"/>
  <c r="J722" i="2"/>
  <c r="K722" i="2" s="1"/>
  <c r="J721" i="2"/>
  <c r="K721" i="2" s="1"/>
  <c r="J720" i="2"/>
  <c r="K720" i="2" s="1"/>
  <c r="J719" i="2"/>
  <c r="K719" i="2" s="1"/>
  <c r="J718" i="2"/>
  <c r="K718" i="2" s="1"/>
  <c r="J717" i="2"/>
  <c r="K717" i="2" s="1"/>
  <c r="J716" i="2"/>
  <c r="K716" i="2" s="1"/>
  <c r="J715" i="2"/>
  <c r="K715" i="2" s="1"/>
  <c r="J714" i="2"/>
  <c r="K714" i="2" s="1"/>
  <c r="J713" i="2"/>
  <c r="K713" i="2" s="1"/>
  <c r="J712" i="2"/>
  <c r="K712" i="2" s="1"/>
  <c r="J711" i="2"/>
  <c r="K711" i="2" s="1"/>
  <c r="J710" i="2"/>
  <c r="K710" i="2" s="1"/>
  <c r="J709" i="2"/>
  <c r="K709" i="2" s="1"/>
  <c r="J708" i="2"/>
  <c r="K708" i="2" s="1"/>
  <c r="J707" i="2"/>
  <c r="K707" i="2" s="1"/>
  <c r="J706" i="2"/>
  <c r="K706" i="2" s="1"/>
  <c r="J705" i="2"/>
  <c r="K705" i="2" s="1"/>
  <c r="J704" i="2"/>
  <c r="K704" i="2" s="1"/>
  <c r="J703" i="2"/>
  <c r="K703" i="2" s="1"/>
  <c r="J702" i="2"/>
  <c r="K702" i="2" s="1"/>
  <c r="J701" i="2"/>
  <c r="K701" i="2" s="1"/>
  <c r="J700" i="2"/>
  <c r="K700" i="2" s="1"/>
  <c r="J699" i="2"/>
  <c r="K699" i="2" s="1"/>
  <c r="J698" i="2"/>
  <c r="K698" i="2" s="1"/>
  <c r="J697" i="2"/>
  <c r="K697" i="2" s="1"/>
  <c r="J696" i="2"/>
  <c r="K696" i="2" s="1"/>
  <c r="J695" i="2"/>
  <c r="K695" i="2" s="1"/>
  <c r="J694" i="2"/>
  <c r="K694" i="2" s="1"/>
  <c r="J693" i="2"/>
  <c r="K693" i="2" s="1"/>
  <c r="J692" i="2"/>
  <c r="K692" i="2" s="1"/>
  <c r="J691" i="2"/>
  <c r="K691" i="2" s="1"/>
  <c r="J690" i="2"/>
  <c r="K690" i="2" s="1"/>
  <c r="J689" i="2"/>
  <c r="K689" i="2" s="1"/>
  <c r="J688" i="2"/>
  <c r="K688" i="2" s="1"/>
  <c r="J687" i="2"/>
  <c r="K687" i="2" s="1"/>
  <c r="J686" i="2"/>
  <c r="K686" i="2" s="1"/>
  <c r="J685" i="2"/>
  <c r="K685" i="2" s="1"/>
  <c r="J684" i="2"/>
  <c r="K684" i="2" s="1"/>
  <c r="J683" i="2"/>
  <c r="K683" i="2" s="1"/>
  <c r="J682" i="2"/>
  <c r="K682" i="2" s="1"/>
  <c r="J681" i="2"/>
  <c r="K681" i="2" s="1"/>
  <c r="J680" i="2"/>
  <c r="K680" i="2" s="1"/>
  <c r="J679" i="2"/>
  <c r="K679" i="2" s="1"/>
  <c r="J678" i="2"/>
  <c r="K678" i="2" s="1"/>
  <c r="J677" i="2"/>
  <c r="K677" i="2" s="1"/>
  <c r="J676" i="2"/>
  <c r="K676" i="2" s="1"/>
  <c r="J675" i="2"/>
  <c r="K675" i="2" s="1"/>
  <c r="J674" i="2"/>
  <c r="K674" i="2" s="1"/>
  <c r="J673" i="2"/>
  <c r="K673" i="2" s="1"/>
  <c r="J672" i="2"/>
  <c r="K672" i="2" s="1"/>
  <c r="J671" i="2"/>
  <c r="K671" i="2" s="1"/>
  <c r="J670" i="2"/>
  <c r="K670" i="2" s="1"/>
  <c r="J669" i="2"/>
  <c r="K669" i="2" s="1"/>
  <c r="J668" i="2"/>
  <c r="K668" i="2" s="1"/>
  <c r="J667" i="2"/>
  <c r="K667" i="2" s="1"/>
  <c r="J666" i="2"/>
  <c r="K666" i="2" s="1"/>
  <c r="J665" i="2"/>
  <c r="K665" i="2" s="1"/>
  <c r="J664" i="2"/>
  <c r="K664" i="2" s="1"/>
  <c r="J663" i="2"/>
  <c r="K663" i="2" s="1"/>
  <c r="J662" i="2"/>
  <c r="K662" i="2" s="1"/>
  <c r="J661" i="2"/>
  <c r="K661" i="2" s="1"/>
  <c r="J660" i="2"/>
  <c r="K660" i="2" s="1"/>
  <c r="J659" i="2"/>
  <c r="K659" i="2" s="1"/>
  <c r="J658" i="2"/>
  <c r="K658" i="2" s="1"/>
  <c r="J657" i="2"/>
  <c r="K657" i="2" s="1"/>
  <c r="J656" i="2"/>
  <c r="K656" i="2" s="1"/>
  <c r="J655" i="2"/>
  <c r="K655" i="2" s="1"/>
  <c r="J654" i="2"/>
  <c r="K654" i="2" s="1"/>
  <c r="J653" i="2"/>
  <c r="K653" i="2" s="1"/>
  <c r="J652" i="2"/>
  <c r="K652" i="2" s="1"/>
  <c r="J651" i="2"/>
  <c r="K651" i="2" s="1"/>
  <c r="J650" i="2"/>
  <c r="K650" i="2" s="1"/>
  <c r="J649" i="2"/>
  <c r="K649" i="2" s="1"/>
  <c r="J648" i="2"/>
  <c r="K648" i="2" s="1"/>
  <c r="J647" i="2"/>
  <c r="K647" i="2" s="1"/>
  <c r="J646" i="2"/>
  <c r="K646" i="2" s="1"/>
  <c r="J645" i="2"/>
  <c r="K645" i="2" s="1"/>
  <c r="J644" i="2"/>
  <c r="K644" i="2" s="1"/>
  <c r="J643" i="2"/>
  <c r="K643" i="2" s="1"/>
  <c r="J642" i="2"/>
  <c r="K642" i="2" s="1"/>
  <c r="J641" i="2"/>
  <c r="K641" i="2" s="1"/>
  <c r="J640" i="2"/>
  <c r="K640" i="2" s="1"/>
  <c r="J639" i="2"/>
  <c r="K639" i="2" s="1"/>
  <c r="J638" i="2"/>
  <c r="K638" i="2" s="1"/>
  <c r="J637" i="2"/>
  <c r="K637" i="2" s="1"/>
  <c r="J636" i="2"/>
  <c r="K636" i="2" s="1"/>
  <c r="J635" i="2"/>
  <c r="K635" i="2" s="1"/>
  <c r="J634" i="2"/>
  <c r="K634" i="2" s="1"/>
  <c r="J633" i="2"/>
  <c r="K633" i="2" s="1"/>
  <c r="J632" i="2"/>
  <c r="K632" i="2" s="1"/>
  <c r="J631" i="2"/>
  <c r="K631" i="2" s="1"/>
  <c r="J630" i="2"/>
  <c r="K630" i="2" s="1"/>
  <c r="J629" i="2"/>
  <c r="K629" i="2" s="1"/>
  <c r="J628" i="2"/>
  <c r="K628" i="2" s="1"/>
  <c r="J627" i="2"/>
  <c r="K627" i="2" s="1"/>
  <c r="J626" i="2"/>
  <c r="K626" i="2" s="1"/>
  <c r="J625" i="2"/>
  <c r="K625" i="2" s="1"/>
  <c r="J624" i="2"/>
  <c r="K624" i="2" s="1"/>
  <c r="J623" i="2"/>
  <c r="K623" i="2" s="1"/>
  <c r="J622" i="2"/>
  <c r="K622" i="2" s="1"/>
  <c r="J621" i="2"/>
  <c r="K621" i="2" s="1"/>
  <c r="J620" i="2"/>
  <c r="K620" i="2" s="1"/>
  <c r="J619" i="2"/>
  <c r="K619" i="2" s="1"/>
  <c r="J618" i="2"/>
  <c r="K618" i="2" s="1"/>
  <c r="J617" i="2"/>
  <c r="K617" i="2" s="1"/>
  <c r="J616" i="2"/>
  <c r="K616" i="2" s="1"/>
  <c r="J615" i="2"/>
  <c r="K615" i="2" s="1"/>
  <c r="J614" i="2"/>
  <c r="K614" i="2" s="1"/>
  <c r="J613" i="2"/>
  <c r="K613" i="2" s="1"/>
  <c r="J612" i="2"/>
  <c r="K612" i="2" s="1"/>
  <c r="J611" i="2"/>
  <c r="K611" i="2" s="1"/>
  <c r="J610" i="2"/>
  <c r="K610" i="2" s="1"/>
  <c r="J609" i="2"/>
  <c r="K609" i="2" s="1"/>
  <c r="J608" i="2"/>
  <c r="K608" i="2" s="1"/>
  <c r="J607" i="2"/>
  <c r="K607" i="2" s="1"/>
  <c r="J606" i="2"/>
  <c r="K606" i="2" s="1"/>
  <c r="J605" i="2"/>
  <c r="K605" i="2" s="1"/>
  <c r="J604" i="2"/>
  <c r="K604" i="2" s="1"/>
  <c r="J603" i="2"/>
  <c r="K603" i="2" s="1"/>
  <c r="J602" i="2"/>
  <c r="K602" i="2" s="1"/>
  <c r="J601" i="2"/>
  <c r="K601" i="2" s="1"/>
  <c r="J600" i="2"/>
  <c r="K600" i="2" s="1"/>
  <c r="J599" i="2"/>
  <c r="K599" i="2" s="1"/>
  <c r="J598" i="2"/>
  <c r="K598" i="2" s="1"/>
  <c r="J597" i="2"/>
  <c r="K597" i="2" s="1"/>
  <c r="J596" i="2"/>
  <c r="K596" i="2" s="1"/>
  <c r="J595" i="2"/>
  <c r="K595" i="2" s="1"/>
  <c r="J594" i="2"/>
  <c r="K594" i="2" s="1"/>
  <c r="J593" i="2"/>
  <c r="K593" i="2" s="1"/>
  <c r="J592" i="2"/>
  <c r="K592" i="2" s="1"/>
  <c r="J591" i="2"/>
  <c r="K591" i="2" s="1"/>
  <c r="J590" i="2"/>
  <c r="K590" i="2" s="1"/>
  <c r="J589" i="2"/>
  <c r="K589" i="2" s="1"/>
  <c r="J588" i="2"/>
  <c r="K588" i="2" s="1"/>
  <c r="J587" i="2"/>
  <c r="K587" i="2" s="1"/>
  <c r="J586" i="2"/>
  <c r="K586" i="2" s="1"/>
  <c r="J585" i="2"/>
  <c r="K585" i="2" s="1"/>
  <c r="J584" i="2"/>
  <c r="K584" i="2" s="1"/>
  <c r="J583" i="2"/>
  <c r="K583" i="2" s="1"/>
  <c r="J582" i="2"/>
  <c r="K582" i="2" s="1"/>
  <c r="J581" i="2"/>
  <c r="K581" i="2" s="1"/>
  <c r="J580" i="2"/>
  <c r="K580" i="2" s="1"/>
  <c r="J579" i="2"/>
  <c r="K579" i="2" s="1"/>
  <c r="J578" i="2"/>
  <c r="K578" i="2" s="1"/>
  <c r="J577" i="2"/>
  <c r="K577" i="2" s="1"/>
  <c r="J576" i="2"/>
  <c r="K576" i="2" s="1"/>
  <c r="J575" i="2"/>
  <c r="K575" i="2" s="1"/>
  <c r="J574" i="2"/>
  <c r="K574" i="2" s="1"/>
  <c r="J573" i="2"/>
  <c r="K573" i="2" s="1"/>
  <c r="J572" i="2"/>
  <c r="K572" i="2" s="1"/>
  <c r="J571" i="2"/>
  <c r="K571" i="2" s="1"/>
  <c r="J570" i="2"/>
  <c r="K570" i="2" s="1"/>
  <c r="J569" i="2"/>
  <c r="K569" i="2" s="1"/>
  <c r="J568" i="2"/>
  <c r="K568" i="2" s="1"/>
  <c r="J567" i="2"/>
  <c r="K567" i="2" s="1"/>
  <c r="J566" i="2"/>
  <c r="K566" i="2" s="1"/>
  <c r="J565" i="2"/>
  <c r="K565" i="2" s="1"/>
  <c r="J564" i="2"/>
  <c r="K564" i="2" s="1"/>
  <c r="J563" i="2"/>
  <c r="K563" i="2" s="1"/>
  <c r="J562" i="2"/>
  <c r="K562" i="2" s="1"/>
  <c r="J561" i="2"/>
  <c r="K561" i="2" s="1"/>
  <c r="J560" i="2"/>
  <c r="K560" i="2" s="1"/>
  <c r="J559" i="2"/>
  <c r="K559" i="2" s="1"/>
  <c r="J558" i="2"/>
  <c r="K558" i="2" s="1"/>
  <c r="J557" i="2"/>
  <c r="K557" i="2" s="1"/>
  <c r="J556" i="2"/>
  <c r="K556" i="2" s="1"/>
  <c r="J555" i="2"/>
  <c r="K555" i="2" s="1"/>
  <c r="J554" i="2"/>
  <c r="K554" i="2" s="1"/>
  <c r="J553" i="2"/>
  <c r="K553" i="2" s="1"/>
  <c r="J552" i="2"/>
  <c r="K552" i="2" s="1"/>
  <c r="J551" i="2"/>
  <c r="K551" i="2" s="1"/>
  <c r="J550" i="2"/>
  <c r="K550" i="2" s="1"/>
  <c r="J549" i="2"/>
  <c r="K549" i="2" s="1"/>
  <c r="J548" i="2"/>
  <c r="K548" i="2" s="1"/>
  <c r="J547" i="2"/>
  <c r="K547" i="2" s="1"/>
  <c r="J546" i="2"/>
  <c r="K546" i="2" s="1"/>
  <c r="J545" i="2"/>
  <c r="K545" i="2" s="1"/>
  <c r="J544" i="2"/>
  <c r="K544" i="2" s="1"/>
  <c r="J543" i="2"/>
  <c r="K543" i="2" s="1"/>
  <c r="J542" i="2"/>
  <c r="K542" i="2" s="1"/>
  <c r="J541" i="2"/>
  <c r="K541" i="2" s="1"/>
  <c r="J540" i="2"/>
  <c r="K540" i="2" s="1"/>
  <c r="J539" i="2"/>
  <c r="K539" i="2" s="1"/>
  <c r="J538" i="2"/>
  <c r="K538" i="2" s="1"/>
  <c r="J537" i="2"/>
  <c r="K537" i="2" s="1"/>
  <c r="J536" i="2"/>
  <c r="K536" i="2" s="1"/>
  <c r="J535" i="2"/>
  <c r="K535" i="2" s="1"/>
  <c r="J534" i="2"/>
  <c r="K534" i="2" s="1"/>
  <c r="J533" i="2"/>
  <c r="K533" i="2" s="1"/>
  <c r="J532" i="2"/>
  <c r="K532" i="2" s="1"/>
  <c r="J531" i="2"/>
  <c r="K531" i="2" s="1"/>
  <c r="J530" i="2"/>
  <c r="K530" i="2" s="1"/>
  <c r="J529" i="2"/>
  <c r="K529" i="2" s="1"/>
  <c r="J528" i="2"/>
  <c r="K528" i="2" s="1"/>
  <c r="J527" i="2"/>
  <c r="K527" i="2" s="1"/>
  <c r="J526" i="2"/>
  <c r="K526" i="2" s="1"/>
  <c r="J525" i="2"/>
  <c r="K525" i="2" s="1"/>
  <c r="J524" i="2"/>
  <c r="K524" i="2" s="1"/>
  <c r="J523" i="2"/>
  <c r="K523" i="2" s="1"/>
  <c r="J522" i="2"/>
  <c r="K522" i="2" s="1"/>
  <c r="J521" i="2"/>
  <c r="K521" i="2" s="1"/>
  <c r="J520" i="2"/>
  <c r="K520" i="2" s="1"/>
  <c r="J519" i="2"/>
  <c r="K519" i="2" s="1"/>
  <c r="J518" i="2"/>
  <c r="K518" i="2" s="1"/>
  <c r="J517" i="2"/>
  <c r="K517" i="2" s="1"/>
  <c r="J516" i="2"/>
  <c r="K516" i="2" s="1"/>
  <c r="J515" i="2"/>
  <c r="K515" i="2" s="1"/>
  <c r="J514" i="2"/>
  <c r="K514" i="2" s="1"/>
  <c r="J513" i="2"/>
  <c r="K513" i="2" s="1"/>
  <c r="J512" i="2"/>
  <c r="K512" i="2" s="1"/>
  <c r="J511" i="2"/>
  <c r="K511" i="2" s="1"/>
  <c r="J510" i="2"/>
  <c r="K510" i="2" s="1"/>
  <c r="J509" i="2"/>
  <c r="K509" i="2" s="1"/>
  <c r="J508" i="2"/>
  <c r="K508" i="2" s="1"/>
  <c r="J507" i="2"/>
  <c r="K507" i="2" s="1"/>
  <c r="J506" i="2"/>
  <c r="K506" i="2" s="1"/>
  <c r="J505" i="2"/>
  <c r="K505" i="2" s="1"/>
  <c r="J504" i="2"/>
  <c r="K504" i="2" s="1"/>
  <c r="J503" i="2"/>
  <c r="K503" i="2" s="1"/>
  <c r="J502" i="2"/>
  <c r="K502" i="2" s="1"/>
  <c r="J501" i="2"/>
  <c r="K501" i="2" s="1"/>
  <c r="J500" i="2"/>
  <c r="K500" i="2" s="1"/>
  <c r="J499" i="2"/>
  <c r="K499" i="2" s="1"/>
  <c r="J498" i="2"/>
  <c r="K498" i="2" s="1"/>
  <c r="J497" i="2"/>
  <c r="K497" i="2" s="1"/>
  <c r="J496" i="2"/>
  <c r="K496" i="2" s="1"/>
  <c r="J495" i="2"/>
  <c r="K495" i="2" s="1"/>
  <c r="J494" i="2"/>
  <c r="K494" i="2" s="1"/>
  <c r="J493" i="2"/>
  <c r="K493" i="2" s="1"/>
  <c r="J492" i="2"/>
  <c r="K492" i="2" s="1"/>
  <c r="J491" i="2"/>
  <c r="K491" i="2" s="1"/>
  <c r="J490" i="2"/>
  <c r="K490" i="2" s="1"/>
  <c r="J489" i="2"/>
  <c r="K489" i="2" s="1"/>
  <c r="J488" i="2"/>
  <c r="K488" i="2" s="1"/>
  <c r="J487" i="2"/>
  <c r="K487" i="2" s="1"/>
  <c r="J486" i="2"/>
  <c r="K486" i="2" s="1"/>
  <c r="J485" i="2"/>
  <c r="K485" i="2" s="1"/>
  <c r="J484" i="2"/>
  <c r="K484" i="2" s="1"/>
  <c r="J483" i="2"/>
  <c r="K483" i="2" s="1"/>
  <c r="J482" i="2"/>
  <c r="K482" i="2" s="1"/>
  <c r="J481" i="2"/>
  <c r="K481" i="2" s="1"/>
  <c r="J480" i="2"/>
  <c r="K480" i="2" s="1"/>
  <c r="J479" i="2"/>
  <c r="K479" i="2" s="1"/>
  <c r="J478" i="2"/>
  <c r="K478" i="2" s="1"/>
  <c r="J477" i="2"/>
  <c r="K477" i="2" s="1"/>
  <c r="J476" i="2"/>
  <c r="K476" i="2" s="1"/>
  <c r="J475" i="2"/>
  <c r="K475" i="2" s="1"/>
  <c r="J474" i="2"/>
  <c r="K474" i="2" s="1"/>
  <c r="J473" i="2"/>
  <c r="K473" i="2" s="1"/>
  <c r="J472" i="2"/>
  <c r="K472" i="2" s="1"/>
  <c r="J471" i="2"/>
  <c r="K471" i="2" s="1"/>
  <c r="J470" i="2"/>
  <c r="K470" i="2" s="1"/>
  <c r="J469" i="2"/>
  <c r="K469" i="2" s="1"/>
  <c r="J468" i="2"/>
  <c r="K468" i="2" s="1"/>
  <c r="J467" i="2"/>
  <c r="K467" i="2" s="1"/>
  <c r="J466" i="2"/>
  <c r="K466" i="2" s="1"/>
  <c r="J465" i="2"/>
  <c r="K465" i="2" s="1"/>
  <c r="J464" i="2"/>
  <c r="K464" i="2" s="1"/>
  <c r="J463" i="2"/>
  <c r="K463" i="2" s="1"/>
  <c r="J462" i="2"/>
  <c r="K462" i="2" s="1"/>
  <c r="J461" i="2"/>
  <c r="K461" i="2" s="1"/>
  <c r="J460" i="2"/>
  <c r="K460" i="2" s="1"/>
  <c r="J459" i="2"/>
  <c r="K459" i="2" s="1"/>
  <c r="J458" i="2"/>
  <c r="K458" i="2" s="1"/>
  <c r="J457" i="2"/>
  <c r="K457" i="2" s="1"/>
  <c r="J456" i="2"/>
  <c r="K456" i="2" s="1"/>
  <c r="J455" i="2"/>
  <c r="K455" i="2" s="1"/>
  <c r="J454" i="2"/>
  <c r="K454" i="2" s="1"/>
  <c r="J453" i="2"/>
  <c r="K453" i="2" s="1"/>
  <c r="J452" i="2"/>
  <c r="K452" i="2" s="1"/>
  <c r="J451" i="2"/>
  <c r="K451" i="2" s="1"/>
  <c r="J450" i="2"/>
  <c r="K450" i="2" s="1"/>
  <c r="J449" i="2"/>
  <c r="K449" i="2" s="1"/>
  <c r="J448" i="2"/>
  <c r="K448" i="2" s="1"/>
  <c r="J447" i="2"/>
  <c r="K447" i="2" s="1"/>
  <c r="J446" i="2"/>
  <c r="K446" i="2" s="1"/>
  <c r="J445" i="2"/>
  <c r="K445" i="2" s="1"/>
  <c r="J444" i="2"/>
  <c r="K444" i="2" s="1"/>
  <c r="J443" i="2"/>
  <c r="K443" i="2" s="1"/>
  <c r="J442" i="2"/>
  <c r="K442" i="2" s="1"/>
  <c r="J441" i="2"/>
  <c r="K441" i="2" s="1"/>
  <c r="J440" i="2"/>
  <c r="K440" i="2" s="1"/>
  <c r="J439" i="2"/>
  <c r="K439" i="2" s="1"/>
  <c r="J438" i="2"/>
  <c r="K438" i="2" s="1"/>
  <c r="J437" i="2"/>
  <c r="K437" i="2" s="1"/>
  <c r="J436" i="2"/>
  <c r="K436" i="2" s="1"/>
  <c r="J435" i="2"/>
  <c r="K435" i="2" s="1"/>
  <c r="J434" i="2"/>
  <c r="K434" i="2" s="1"/>
  <c r="J433" i="2"/>
  <c r="K433" i="2" s="1"/>
  <c r="J432" i="2"/>
  <c r="K432" i="2" s="1"/>
  <c r="J431" i="2"/>
  <c r="K431" i="2" s="1"/>
  <c r="J430" i="2"/>
  <c r="K430" i="2" s="1"/>
  <c r="J429" i="2"/>
  <c r="K429" i="2" s="1"/>
  <c r="J428" i="2"/>
  <c r="K428" i="2" s="1"/>
  <c r="J427" i="2"/>
  <c r="K427" i="2" s="1"/>
  <c r="J426" i="2"/>
  <c r="K426" i="2" s="1"/>
  <c r="J425" i="2"/>
  <c r="K425" i="2" s="1"/>
  <c r="J424" i="2"/>
  <c r="K424" i="2" s="1"/>
  <c r="J423" i="2"/>
  <c r="K423" i="2" s="1"/>
  <c r="J422" i="2"/>
  <c r="K422" i="2" s="1"/>
  <c r="J421" i="2"/>
  <c r="K421" i="2" s="1"/>
  <c r="J420" i="2"/>
  <c r="K420" i="2" s="1"/>
  <c r="J419" i="2"/>
  <c r="K419" i="2" s="1"/>
  <c r="J418" i="2"/>
  <c r="K418" i="2" s="1"/>
  <c r="J417" i="2"/>
  <c r="K417" i="2" s="1"/>
  <c r="J416" i="2"/>
  <c r="K416" i="2" s="1"/>
  <c r="J415" i="2"/>
  <c r="K415" i="2" s="1"/>
  <c r="J414" i="2"/>
  <c r="K414" i="2" s="1"/>
  <c r="J413" i="2"/>
  <c r="K413" i="2" s="1"/>
  <c r="J412" i="2"/>
  <c r="K412" i="2" s="1"/>
  <c r="J411" i="2"/>
  <c r="K411" i="2" s="1"/>
  <c r="J410" i="2"/>
  <c r="K410" i="2" s="1"/>
  <c r="J409" i="2"/>
  <c r="K409" i="2" s="1"/>
  <c r="J408" i="2"/>
  <c r="K408" i="2" s="1"/>
  <c r="J407" i="2"/>
  <c r="K407" i="2" s="1"/>
  <c r="J406" i="2"/>
  <c r="K406" i="2" s="1"/>
  <c r="J405" i="2"/>
  <c r="K405" i="2" s="1"/>
  <c r="J404" i="2"/>
  <c r="K404" i="2" s="1"/>
  <c r="J403" i="2"/>
  <c r="K403" i="2" s="1"/>
  <c r="J402" i="2"/>
  <c r="K402" i="2" s="1"/>
  <c r="J401" i="2"/>
  <c r="K401" i="2" s="1"/>
  <c r="J400" i="2"/>
  <c r="K400" i="2" s="1"/>
  <c r="J399" i="2"/>
  <c r="K399" i="2" s="1"/>
  <c r="J398" i="2"/>
  <c r="K398" i="2" s="1"/>
  <c r="J397" i="2"/>
  <c r="K397" i="2" s="1"/>
  <c r="J396" i="2"/>
  <c r="K396" i="2" s="1"/>
  <c r="J395" i="2"/>
  <c r="K395" i="2" s="1"/>
  <c r="J394" i="2"/>
  <c r="K394" i="2" s="1"/>
  <c r="J393" i="2"/>
  <c r="K393" i="2" s="1"/>
  <c r="J392" i="2"/>
  <c r="K392" i="2" s="1"/>
  <c r="J391" i="2"/>
  <c r="K391" i="2" s="1"/>
  <c r="J390" i="2"/>
  <c r="K390" i="2" s="1"/>
  <c r="J389" i="2"/>
  <c r="K389" i="2" s="1"/>
  <c r="J388" i="2"/>
  <c r="K388" i="2" s="1"/>
  <c r="J387" i="2"/>
  <c r="K387" i="2" s="1"/>
  <c r="J386" i="2"/>
  <c r="K386" i="2" s="1"/>
  <c r="J385" i="2"/>
  <c r="K385" i="2" s="1"/>
  <c r="J384" i="2"/>
  <c r="K384" i="2" s="1"/>
  <c r="J383" i="2"/>
  <c r="K383" i="2" s="1"/>
  <c r="J382" i="2"/>
  <c r="K382" i="2" s="1"/>
  <c r="J381" i="2"/>
  <c r="K381" i="2" s="1"/>
  <c r="J380" i="2"/>
  <c r="K380" i="2" s="1"/>
  <c r="J379" i="2"/>
  <c r="K379" i="2" s="1"/>
  <c r="J378" i="2"/>
  <c r="K378" i="2" s="1"/>
  <c r="J377" i="2"/>
  <c r="K377" i="2" s="1"/>
  <c r="J376" i="2"/>
  <c r="K376" i="2" s="1"/>
  <c r="J375" i="2"/>
  <c r="K375" i="2" s="1"/>
  <c r="J374" i="2"/>
  <c r="K374" i="2" s="1"/>
  <c r="J373" i="2"/>
  <c r="K373" i="2" s="1"/>
  <c r="J372" i="2"/>
  <c r="K372" i="2" s="1"/>
  <c r="J371" i="2"/>
  <c r="K371" i="2" s="1"/>
  <c r="J370" i="2"/>
  <c r="K370" i="2" s="1"/>
  <c r="J369" i="2"/>
  <c r="K369" i="2" s="1"/>
  <c r="J368" i="2"/>
  <c r="K368" i="2" s="1"/>
  <c r="J367" i="2"/>
  <c r="K367" i="2" s="1"/>
  <c r="J366" i="2"/>
  <c r="K366" i="2" s="1"/>
  <c r="J365" i="2"/>
  <c r="K365" i="2" s="1"/>
  <c r="J364" i="2"/>
  <c r="K364" i="2" s="1"/>
  <c r="J363" i="2"/>
  <c r="K363" i="2" s="1"/>
  <c r="J362" i="2"/>
  <c r="K362" i="2" s="1"/>
  <c r="J361" i="2"/>
  <c r="K361" i="2" s="1"/>
  <c r="J360" i="2"/>
  <c r="K360" i="2" s="1"/>
  <c r="J359" i="2"/>
  <c r="K359" i="2" s="1"/>
  <c r="J358" i="2"/>
  <c r="K358" i="2" s="1"/>
  <c r="J357" i="2"/>
  <c r="K357" i="2" s="1"/>
  <c r="J356" i="2"/>
  <c r="K356" i="2" s="1"/>
  <c r="J355" i="2"/>
  <c r="K355" i="2" s="1"/>
  <c r="J354" i="2"/>
  <c r="K354" i="2" s="1"/>
  <c r="J353" i="2"/>
  <c r="K353" i="2" s="1"/>
  <c r="J352" i="2"/>
  <c r="K352" i="2" s="1"/>
  <c r="J351" i="2"/>
  <c r="K351" i="2" s="1"/>
  <c r="J350" i="2"/>
  <c r="K350" i="2" s="1"/>
  <c r="J349" i="2"/>
  <c r="K349" i="2" s="1"/>
  <c r="J348" i="2"/>
  <c r="K348" i="2" s="1"/>
  <c r="J347" i="2"/>
  <c r="K347" i="2" s="1"/>
  <c r="J346" i="2"/>
  <c r="K346" i="2" s="1"/>
  <c r="J345" i="2"/>
  <c r="K345" i="2" s="1"/>
  <c r="J344" i="2"/>
  <c r="K344" i="2" s="1"/>
  <c r="J343" i="2"/>
  <c r="K343" i="2" s="1"/>
  <c r="J342" i="2"/>
  <c r="K342" i="2" s="1"/>
  <c r="J341" i="2"/>
  <c r="K341" i="2" s="1"/>
  <c r="J340" i="2"/>
  <c r="K340" i="2" s="1"/>
  <c r="J339" i="2"/>
  <c r="K339" i="2" s="1"/>
  <c r="J338" i="2"/>
  <c r="K338" i="2" s="1"/>
  <c r="J337" i="2"/>
  <c r="K337" i="2" s="1"/>
  <c r="J336" i="2"/>
  <c r="K336" i="2" s="1"/>
  <c r="J335" i="2"/>
  <c r="K335" i="2" s="1"/>
  <c r="J334" i="2"/>
  <c r="K334" i="2" s="1"/>
  <c r="J333" i="2"/>
  <c r="K333" i="2" s="1"/>
  <c r="J332" i="2"/>
  <c r="K332" i="2" s="1"/>
  <c r="J331" i="2"/>
  <c r="K331" i="2" s="1"/>
  <c r="J330" i="2"/>
  <c r="K330" i="2" s="1"/>
  <c r="J329" i="2"/>
  <c r="K329" i="2" s="1"/>
  <c r="J328" i="2"/>
  <c r="K328" i="2" s="1"/>
  <c r="J327" i="2"/>
  <c r="K327" i="2" s="1"/>
  <c r="J326" i="2"/>
  <c r="K326" i="2" s="1"/>
  <c r="J325" i="2"/>
  <c r="K325" i="2" s="1"/>
  <c r="J324" i="2"/>
  <c r="K324" i="2" s="1"/>
  <c r="J323" i="2"/>
  <c r="K323" i="2" s="1"/>
  <c r="J322" i="2"/>
  <c r="K322" i="2" s="1"/>
  <c r="J321" i="2"/>
  <c r="K321" i="2" s="1"/>
  <c r="J320" i="2"/>
  <c r="K320" i="2" s="1"/>
  <c r="J319" i="2"/>
  <c r="K319" i="2" s="1"/>
  <c r="J318" i="2"/>
  <c r="K318" i="2" s="1"/>
  <c r="J317" i="2"/>
  <c r="K317" i="2" s="1"/>
  <c r="J316" i="2"/>
  <c r="K316" i="2" s="1"/>
  <c r="J315" i="2"/>
  <c r="K315" i="2" s="1"/>
  <c r="J314" i="2"/>
  <c r="K314" i="2" s="1"/>
  <c r="J313" i="2"/>
  <c r="K313" i="2" s="1"/>
  <c r="J312" i="2"/>
  <c r="K312" i="2" s="1"/>
  <c r="J311" i="2"/>
  <c r="K311" i="2" s="1"/>
  <c r="J310" i="2"/>
  <c r="K310" i="2" s="1"/>
  <c r="J309" i="2"/>
  <c r="K309" i="2" s="1"/>
  <c r="J308" i="2"/>
  <c r="K308" i="2" s="1"/>
  <c r="J307" i="2"/>
  <c r="K307" i="2" s="1"/>
  <c r="J306" i="2"/>
  <c r="K306" i="2" s="1"/>
  <c r="J305" i="2"/>
  <c r="K305" i="2" s="1"/>
  <c r="J304" i="2"/>
  <c r="K304" i="2" s="1"/>
  <c r="J303" i="2"/>
  <c r="K303" i="2" s="1"/>
  <c r="J302" i="2"/>
  <c r="K302" i="2" s="1"/>
  <c r="J301" i="2"/>
  <c r="K301" i="2" s="1"/>
  <c r="J300" i="2"/>
  <c r="K300" i="2" s="1"/>
  <c r="J299" i="2"/>
  <c r="K299" i="2" s="1"/>
  <c r="J298" i="2"/>
  <c r="K298" i="2" s="1"/>
  <c r="J297" i="2"/>
  <c r="K297" i="2" s="1"/>
  <c r="J296" i="2"/>
  <c r="K296" i="2" s="1"/>
  <c r="J295" i="2"/>
  <c r="K295" i="2" s="1"/>
  <c r="J294" i="2"/>
  <c r="K294" i="2" s="1"/>
  <c r="J293" i="2"/>
  <c r="K293" i="2" s="1"/>
  <c r="J292" i="2"/>
  <c r="K292" i="2" s="1"/>
  <c r="J291" i="2"/>
  <c r="K291" i="2" s="1"/>
  <c r="J290" i="2"/>
  <c r="K290" i="2" s="1"/>
  <c r="J289" i="2"/>
  <c r="K289" i="2" s="1"/>
  <c r="J288" i="2"/>
  <c r="K288" i="2" s="1"/>
  <c r="J287" i="2"/>
  <c r="K287" i="2" s="1"/>
  <c r="J286" i="2"/>
  <c r="K286" i="2" s="1"/>
  <c r="J285" i="2"/>
  <c r="K285" i="2" s="1"/>
  <c r="J284" i="2"/>
  <c r="K284" i="2" s="1"/>
  <c r="J283" i="2"/>
  <c r="K283" i="2" s="1"/>
  <c r="J282" i="2"/>
  <c r="K282" i="2" s="1"/>
  <c r="J281" i="2"/>
  <c r="K281" i="2" s="1"/>
  <c r="J280" i="2"/>
  <c r="K280" i="2" s="1"/>
  <c r="J279" i="2"/>
  <c r="K279" i="2" s="1"/>
  <c r="J278" i="2"/>
  <c r="K278" i="2" s="1"/>
  <c r="J277" i="2"/>
  <c r="K277" i="2" s="1"/>
  <c r="J276" i="2"/>
  <c r="K276" i="2" s="1"/>
  <c r="J275" i="2"/>
  <c r="K275" i="2" s="1"/>
  <c r="J274" i="2"/>
  <c r="K274" i="2" s="1"/>
  <c r="J273" i="2"/>
  <c r="K273" i="2" s="1"/>
  <c r="J272" i="2"/>
  <c r="K272" i="2" s="1"/>
  <c r="J271" i="2"/>
  <c r="K271" i="2" s="1"/>
  <c r="J270" i="2"/>
  <c r="K270" i="2" s="1"/>
  <c r="J269" i="2"/>
  <c r="K269" i="2" s="1"/>
  <c r="J268" i="2"/>
  <c r="K268" i="2" s="1"/>
  <c r="J267" i="2"/>
  <c r="K267" i="2" s="1"/>
  <c r="J266" i="2"/>
  <c r="K266" i="2" s="1"/>
  <c r="J265" i="2"/>
  <c r="K265" i="2" s="1"/>
  <c r="J264" i="2"/>
  <c r="K264" i="2" s="1"/>
  <c r="J263" i="2"/>
  <c r="K263" i="2" s="1"/>
  <c r="J262" i="2"/>
  <c r="K262" i="2" s="1"/>
  <c r="J261" i="2"/>
  <c r="K261" i="2" s="1"/>
  <c r="J260" i="2"/>
  <c r="K260" i="2" s="1"/>
  <c r="J259" i="2"/>
  <c r="K259" i="2" s="1"/>
  <c r="J258" i="2"/>
  <c r="K258" i="2" s="1"/>
  <c r="J257" i="2"/>
  <c r="K257" i="2" s="1"/>
  <c r="J256" i="2"/>
  <c r="K256" i="2" s="1"/>
  <c r="J255" i="2"/>
  <c r="K255" i="2" s="1"/>
  <c r="J254" i="2"/>
  <c r="K254" i="2" s="1"/>
  <c r="J253" i="2"/>
  <c r="K253" i="2" s="1"/>
  <c r="J252" i="2"/>
  <c r="K252" i="2" s="1"/>
  <c r="J251" i="2"/>
  <c r="K251" i="2" s="1"/>
  <c r="J250" i="2"/>
  <c r="K250" i="2" s="1"/>
  <c r="J249" i="2"/>
  <c r="K249" i="2" s="1"/>
  <c r="J248" i="2"/>
  <c r="K248" i="2" s="1"/>
  <c r="J247" i="2"/>
  <c r="K247" i="2" s="1"/>
  <c r="J246" i="2"/>
  <c r="K246" i="2" s="1"/>
  <c r="J245" i="2"/>
  <c r="K245" i="2" s="1"/>
  <c r="J244" i="2"/>
  <c r="K244" i="2" s="1"/>
  <c r="J243" i="2"/>
  <c r="K243" i="2" s="1"/>
  <c r="J242" i="2"/>
  <c r="K242" i="2" s="1"/>
  <c r="J241" i="2"/>
  <c r="K241" i="2" s="1"/>
  <c r="J240" i="2"/>
  <c r="K240" i="2" s="1"/>
  <c r="J239" i="2"/>
  <c r="K239" i="2" s="1"/>
  <c r="J238" i="2"/>
  <c r="K238" i="2" s="1"/>
  <c r="J237" i="2"/>
  <c r="K237" i="2" s="1"/>
  <c r="J236" i="2"/>
  <c r="K236" i="2" s="1"/>
  <c r="J235" i="2"/>
  <c r="K235" i="2" s="1"/>
  <c r="J234" i="2"/>
  <c r="K234" i="2" s="1"/>
  <c r="J233" i="2"/>
  <c r="K233" i="2" s="1"/>
  <c r="J232" i="2"/>
  <c r="K232" i="2" s="1"/>
  <c r="J231" i="2"/>
  <c r="K231" i="2" s="1"/>
  <c r="J230" i="2"/>
  <c r="K230" i="2" s="1"/>
  <c r="J229" i="2"/>
  <c r="K229" i="2" s="1"/>
  <c r="J228" i="2"/>
  <c r="K228" i="2" s="1"/>
  <c r="J227" i="2"/>
  <c r="K227" i="2" s="1"/>
  <c r="J226" i="2"/>
  <c r="K226" i="2" s="1"/>
  <c r="J225" i="2"/>
  <c r="K225" i="2" s="1"/>
  <c r="J224" i="2"/>
  <c r="K224" i="2" s="1"/>
  <c r="J223" i="2"/>
  <c r="K223" i="2" s="1"/>
  <c r="J222" i="2"/>
  <c r="K222" i="2" s="1"/>
  <c r="J221" i="2"/>
  <c r="K221" i="2" s="1"/>
  <c r="J220" i="2"/>
  <c r="K220" i="2" s="1"/>
  <c r="J219" i="2"/>
  <c r="K219" i="2" s="1"/>
  <c r="J218" i="2"/>
  <c r="K218" i="2" s="1"/>
  <c r="J217" i="2"/>
  <c r="K217" i="2" s="1"/>
  <c r="J216" i="2"/>
  <c r="K216" i="2" s="1"/>
  <c r="J215" i="2"/>
  <c r="K215" i="2" s="1"/>
  <c r="J214" i="2"/>
  <c r="K214" i="2" s="1"/>
  <c r="J213" i="2"/>
  <c r="K213" i="2" s="1"/>
  <c r="J212" i="2"/>
  <c r="K212" i="2" s="1"/>
  <c r="J211" i="2"/>
  <c r="K211" i="2" s="1"/>
  <c r="J210" i="2"/>
  <c r="K210" i="2" s="1"/>
  <c r="J209" i="2"/>
  <c r="K209" i="2" s="1"/>
  <c r="J208" i="2"/>
  <c r="K208" i="2" s="1"/>
  <c r="J207" i="2"/>
  <c r="K207" i="2" s="1"/>
  <c r="J206" i="2"/>
  <c r="K206" i="2" s="1"/>
  <c r="J205" i="2"/>
  <c r="K205" i="2" s="1"/>
  <c r="J204" i="2"/>
  <c r="K204" i="2" s="1"/>
  <c r="J203" i="2"/>
  <c r="K203" i="2" s="1"/>
  <c r="J202" i="2"/>
  <c r="K202" i="2" s="1"/>
  <c r="J201" i="2"/>
  <c r="K201" i="2" s="1"/>
  <c r="J200" i="2"/>
  <c r="K200" i="2" s="1"/>
  <c r="J199" i="2"/>
  <c r="K199" i="2" s="1"/>
  <c r="J198" i="2"/>
  <c r="K198" i="2" s="1"/>
  <c r="J197" i="2"/>
  <c r="K197" i="2" s="1"/>
  <c r="J196" i="2"/>
  <c r="K196" i="2" s="1"/>
  <c r="J195" i="2"/>
  <c r="K195" i="2" s="1"/>
  <c r="J194" i="2"/>
  <c r="K194" i="2" s="1"/>
  <c r="J193" i="2"/>
  <c r="K193" i="2" s="1"/>
  <c r="J192" i="2"/>
  <c r="K192" i="2" s="1"/>
  <c r="J191" i="2"/>
  <c r="K191" i="2" s="1"/>
  <c r="J190" i="2"/>
  <c r="K190" i="2" s="1"/>
  <c r="J189" i="2"/>
  <c r="K189" i="2" s="1"/>
  <c r="J188" i="2"/>
  <c r="K188" i="2" s="1"/>
  <c r="J187" i="2"/>
  <c r="K187" i="2" s="1"/>
  <c r="J186" i="2"/>
  <c r="K186" i="2" s="1"/>
  <c r="J185" i="2"/>
  <c r="K185" i="2" s="1"/>
  <c r="J184" i="2"/>
  <c r="K184" i="2" s="1"/>
  <c r="J183" i="2"/>
  <c r="K183" i="2" s="1"/>
  <c r="J182" i="2"/>
  <c r="K182" i="2" s="1"/>
  <c r="J181" i="2"/>
  <c r="K181" i="2" s="1"/>
  <c r="J180" i="2"/>
  <c r="K180" i="2" s="1"/>
  <c r="J179" i="2"/>
  <c r="K179" i="2" s="1"/>
  <c r="J178" i="2"/>
  <c r="K178" i="2" s="1"/>
  <c r="J177" i="2"/>
  <c r="K177" i="2" s="1"/>
  <c r="J176" i="2"/>
  <c r="K176" i="2" s="1"/>
  <c r="J175" i="2"/>
  <c r="K175" i="2" s="1"/>
  <c r="J174" i="2"/>
  <c r="K174" i="2" s="1"/>
  <c r="J173" i="2"/>
  <c r="K173" i="2" s="1"/>
  <c r="J172" i="2"/>
  <c r="K172" i="2" s="1"/>
  <c r="J171" i="2"/>
  <c r="K171" i="2" s="1"/>
  <c r="J170" i="2"/>
  <c r="K170" i="2" s="1"/>
  <c r="J169" i="2"/>
  <c r="K169" i="2" s="1"/>
  <c r="J168" i="2"/>
  <c r="K168" i="2" s="1"/>
  <c r="J167" i="2"/>
  <c r="K167" i="2" s="1"/>
  <c r="J166" i="2"/>
  <c r="K166" i="2" s="1"/>
  <c r="J165" i="2"/>
  <c r="K165" i="2" s="1"/>
  <c r="J164" i="2"/>
  <c r="K164" i="2" s="1"/>
  <c r="J163" i="2"/>
  <c r="K163" i="2" s="1"/>
  <c r="J162" i="2"/>
  <c r="K162" i="2" s="1"/>
  <c r="J161" i="2"/>
  <c r="K161" i="2" s="1"/>
  <c r="J160" i="2"/>
  <c r="K160" i="2" s="1"/>
  <c r="J159" i="2"/>
  <c r="K159" i="2" s="1"/>
  <c r="J158" i="2"/>
  <c r="K158" i="2" s="1"/>
  <c r="J157" i="2"/>
  <c r="K157" i="2" s="1"/>
  <c r="J156" i="2"/>
  <c r="K156" i="2" s="1"/>
  <c r="J155" i="2"/>
  <c r="K155" i="2" s="1"/>
  <c r="J154" i="2"/>
  <c r="K154" i="2" s="1"/>
  <c r="J153" i="2"/>
  <c r="K153" i="2" s="1"/>
  <c r="J152" i="2"/>
  <c r="K152" i="2" s="1"/>
  <c r="J151" i="2"/>
  <c r="K151" i="2" s="1"/>
  <c r="J150" i="2"/>
  <c r="K150" i="2" s="1"/>
  <c r="J149" i="2"/>
  <c r="K149" i="2" s="1"/>
  <c r="J148" i="2"/>
  <c r="K148" i="2" s="1"/>
  <c r="J147" i="2"/>
  <c r="K147" i="2" s="1"/>
  <c r="J146" i="2"/>
  <c r="K146" i="2" s="1"/>
  <c r="J145" i="2"/>
  <c r="K145" i="2" s="1"/>
  <c r="J144" i="2"/>
  <c r="K144" i="2" s="1"/>
  <c r="J143" i="2"/>
  <c r="K143" i="2" s="1"/>
  <c r="J142" i="2"/>
  <c r="K142" i="2" s="1"/>
  <c r="J141" i="2"/>
  <c r="K141" i="2" s="1"/>
  <c r="J140" i="2"/>
  <c r="K140" i="2" s="1"/>
  <c r="J139" i="2"/>
  <c r="K139" i="2" s="1"/>
  <c r="J138" i="2"/>
  <c r="K138" i="2" s="1"/>
  <c r="J137" i="2"/>
  <c r="K137" i="2" s="1"/>
  <c r="J136" i="2"/>
  <c r="K136" i="2" s="1"/>
  <c r="J135" i="2"/>
  <c r="K135" i="2" s="1"/>
  <c r="J134" i="2"/>
  <c r="K134" i="2" s="1"/>
  <c r="J133" i="2"/>
  <c r="K133" i="2" s="1"/>
  <c r="J132" i="2"/>
  <c r="K132" i="2" s="1"/>
  <c r="J131" i="2"/>
  <c r="K131" i="2" s="1"/>
  <c r="J130" i="2"/>
  <c r="K130" i="2" s="1"/>
  <c r="J129" i="2"/>
  <c r="K129" i="2" s="1"/>
  <c r="J128" i="2"/>
  <c r="K128" i="2" s="1"/>
  <c r="J127" i="2"/>
  <c r="K127" i="2" s="1"/>
  <c r="J126" i="2"/>
  <c r="K126" i="2" s="1"/>
  <c r="J125" i="2"/>
  <c r="K125" i="2" s="1"/>
  <c r="J124" i="2"/>
  <c r="K124" i="2" s="1"/>
  <c r="J123" i="2"/>
  <c r="K123" i="2" s="1"/>
  <c r="J122" i="2"/>
  <c r="K122" i="2" s="1"/>
  <c r="J121" i="2"/>
  <c r="K121" i="2" s="1"/>
  <c r="J120" i="2"/>
  <c r="K120" i="2" s="1"/>
  <c r="J119" i="2"/>
  <c r="K119" i="2" s="1"/>
  <c r="J118" i="2"/>
  <c r="K118" i="2" s="1"/>
  <c r="J117" i="2"/>
  <c r="K117" i="2" s="1"/>
  <c r="J116" i="2"/>
  <c r="K116" i="2" s="1"/>
  <c r="J115" i="2"/>
  <c r="K115" i="2" s="1"/>
  <c r="J114" i="2"/>
  <c r="K114" i="2" s="1"/>
  <c r="J113" i="2"/>
  <c r="K113" i="2" s="1"/>
  <c r="J112" i="2"/>
  <c r="K112" i="2" s="1"/>
  <c r="J111" i="2"/>
  <c r="K111" i="2" s="1"/>
  <c r="J110" i="2"/>
  <c r="K110" i="2" s="1"/>
  <c r="J109" i="2"/>
  <c r="K109" i="2" s="1"/>
  <c r="J108" i="2"/>
  <c r="K108" i="2" s="1"/>
  <c r="J107" i="2"/>
  <c r="K107" i="2" s="1"/>
  <c r="J106" i="2"/>
  <c r="K106" i="2" s="1"/>
  <c r="J105" i="2"/>
  <c r="K105" i="2" s="1"/>
  <c r="J104" i="2"/>
  <c r="K104" i="2" s="1"/>
  <c r="J103" i="2"/>
  <c r="K103" i="2" s="1"/>
  <c r="J102" i="2"/>
  <c r="K102" i="2" s="1"/>
  <c r="J101" i="2"/>
  <c r="K101" i="2" s="1"/>
  <c r="J100" i="2"/>
  <c r="K100" i="2" s="1"/>
  <c r="J99" i="2"/>
  <c r="K99" i="2" s="1"/>
  <c r="J98" i="2"/>
  <c r="K98" i="2" s="1"/>
  <c r="J97" i="2"/>
  <c r="K97" i="2" s="1"/>
  <c r="J96" i="2"/>
  <c r="K96" i="2" s="1"/>
  <c r="J95" i="2"/>
  <c r="K95" i="2" s="1"/>
  <c r="J94" i="2"/>
  <c r="K94" i="2" s="1"/>
  <c r="J93" i="2"/>
  <c r="K93" i="2" s="1"/>
  <c r="J92" i="2"/>
  <c r="K92" i="2" s="1"/>
  <c r="J91" i="2"/>
  <c r="K91" i="2" s="1"/>
  <c r="J90" i="2"/>
  <c r="K90" i="2" s="1"/>
  <c r="J89" i="2"/>
  <c r="K89" i="2" s="1"/>
  <c r="J88" i="2"/>
  <c r="K88" i="2" s="1"/>
  <c r="J87" i="2"/>
  <c r="K87" i="2" s="1"/>
  <c r="J86" i="2"/>
  <c r="K86" i="2" s="1"/>
  <c r="J85" i="2"/>
  <c r="K85" i="2" s="1"/>
  <c r="J84" i="2"/>
  <c r="K84" i="2" s="1"/>
  <c r="J83" i="2"/>
  <c r="K83" i="2" s="1"/>
  <c r="J82" i="2"/>
  <c r="K82" i="2" s="1"/>
  <c r="J81" i="2"/>
  <c r="K81" i="2" s="1"/>
  <c r="J80" i="2"/>
  <c r="K80" i="2" s="1"/>
  <c r="J79" i="2"/>
  <c r="K79" i="2" s="1"/>
  <c r="J78" i="2"/>
  <c r="K78" i="2" s="1"/>
  <c r="J77" i="2"/>
  <c r="K77" i="2" s="1"/>
  <c r="J76" i="2"/>
  <c r="K76" i="2" s="1"/>
  <c r="J75" i="2"/>
  <c r="K75" i="2" s="1"/>
  <c r="J74" i="2"/>
  <c r="K74" i="2" s="1"/>
  <c r="J73" i="2"/>
  <c r="K73" i="2" s="1"/>
  <c r="J72" i="2"/>
  <c r="K72" i="2" s="1"/>
  <c r="J71" i="2"/>
  <c r="K71" i="2" s="1"/>
  <c r="J70" i="2"/>
  <c r="K70" i="2" s="1"/>
  <c r="J69" i="2"/>
  <c r="K69" i="2" s="1"/>
  <c r="J68" i="2"/>
  <c r="K68" i="2" s="1"/>
  <c r="J67" i="2"/>
  <c r="K67" i="2" s="1"/>
  <c r="J66" i="2"/>
  <c r="K66" i="2" s="1"/>
  <c r="J65" i="2"/>
  <c r="K65" i="2" s="1"/>
  <c r="J64" i="2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J50" i="2"/>
  <c r="K50" i="2" s="1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J4" i="2"/>
  <c r="K4" i="2" s="1"/>
  <c r="J3" i="2"/>
  <c r="K3" i="2" s="1"/>
  <c r="J2" i="2"/>
  <c r="K2" i="2" s="1"/>
  <c r="F4" i="7"/>
  <c r="B4" i="7"/>
  <c r="N4" i="7" l="1"/>
  <c r="U8" i="4"/>
  <c r="W8" i="4" s="1"/>
  <c r="X5" i="4"/>
  <c r="X6" i="4"/>
  <c r="I18" i="4"/>
  <c r="U7" i="4"/>
  <c r="W7" i="4" s="1"/>
  <c r="X9" i="4"/>
  <c r="I27" i="4"/>
  <c r="I24" i="4"/>
  <c r="U5" i="4"/>
  <c r="W5" i="4" s="1"/>
  <c r="J4" i="7"/>
  <c r="W9" i="4"/>
  <c r="O7" i="4"/>
  <c r="Q9" i="4"/>
  <c r="O6" i="4"/>
  <c r="O8" i="4"/>
  <c r="O9" i="4"/>
  <c r="Q8" i="4"/>
  <c r="Q7" i="4"/>
  <c r="Q6" i="4"/>
  <c r="O5" i="4"/>
  <c r="F10" i="4"/>
  <c r="I6" i="4"/>
  <c r="K6" i="4" s="1"/>
  <c r="F14" i="4"/>
  <c r="F11" i="4"/>
  <c r="F12" i="4"/>
  <c r="B12" i="4"/>
  <c r="F13" i="4"/>
  <c r="B8" i="4"/>
  <c r="B7" i="4"/>
  <c r="I7" i="4"/>
  <c r="K7" i="4" s="1"/>
  <c r="I9" i="4"/>
  <c r="K9" i="4" s="1"/>
  <c r="I11" i="4"/>
  <c r="K11" i="4" s="1"/>
  <c r="I12" i="4"/>
  <c r="K12" i="4" s="1"/>
  <c r="I13" i="4"/>
  <c r="K13" i="4" s="1"/>
  <c r="B10" i="4"/>
  <c r="I10" i="4"/>
  <c r="K10" i="4" s="1"/>
  <c r="I14" i="4"/>
  <c r="I8" i="4"/>
  <c r="B5" i="4"/>
  <c r="C12" i="4"/>
  <c r="K2002" i="9"/>
  <c r="R6" i="4" l="1"/>
  <c r="R7" i="4"/>
  <c r="R9" i="4"/>
  <c r="R8" i="4"/>
  <c r="B13" i="4"/>
  <c r="K8" i="4"/>
  <c r="L8" i="4"/>
  <c r="L7" i="4"/>
  <c r="L14" i="4"/>
  <c r="K14" i="4"/>
  <c r="L10" i="4"/>
  <c r="L6" i="4"/>
  <c r="L11" i="4"/>
  <c r="L9" i="4"/>
  <c r="L13" i="4"/>
  <c r="L12" i="4"/>
</calcChain>
</file>

<file path=xl/sharedStrings.xml><?xml version="1.0" encoding="utf-8"?>
<sst xmlns="http://schemas.openxmlformats.org/spreadsheetml/2006/main" count="31099" uniqueCount="833">
  <si>
    <t>📊  DATASET TRADEÇO — Guide d'utilisation</t>
  </si>
  <si>
    <t>Formation Analyse de Données Excel  •  by Medoune</t>
  </si>
  <si>
    <t>🎯 OBJECTIF PÉDAGOGIQUE</t>
  </si>
  <si>
    <t>B</t>
  </si>
  <si>
    <t>Ce fichier est le dataset fil rouge de votre formation. Il contient intentionnellement
des erreurs, incohérences et données manquantes que vous allez corriger séance après séance.</t>
  </si>
  <si>
    <t>📁 STRUCTURE DU FICHIER</t>
  </si>
  <si>
    <t>Feuille</t>
  </si>
  <si>
    <t>Description</t>
  </si>
  <si>
    <t>📋 README</t>
  </si>
  <si>
    <t>Ce guide d'utilisation</t>
  </si>
  <si>
    <t>🗂️ Données_Brutes</t>
  </si>
  <si>
    <t>~2 045 lignes de données volontairement 'sales' — NE PAS MODIFIER</t>
  </si>
  <si>
    <t>✅ Données_Propres</t>
  </si>
  <si>
    <t>Feuille vide — vous y copierez vos données nettoyées (Séance 2-3)</t>
  </si>
  <si>
    <t>📊 Analyse</t>
  </si>
  <si>
    <t>Feuille vide — vos formules et KPIs (Séance 4)</t>
  </si>
  <si>
    <t>🔄 TCD</t>
  </si>
  <si>
    <t>Feuille vide — vos tableaux croisés dynamiques (Séance 5)</t>
  </si>
  <si>
    <t>📈 Graphiques</t>
  </si>
  <si>
    <t>Feuille vide — vos visualisations (Séance 6)</t>
  </si>
  <si>
    <t>🏆 DASHBOARD</t>
  </si>
  <si>
    <t>Feuille vide — votre dashboard final (Séance 7)</t>
  </si>
  <si>
    <t>🚨 PROBLÈMES DANS LES DONNÉES BRUTES</t>
  </si>
  <si>
    <t>Problème</t>
  </si>
  <si>
    <t>Description &amp; Exemples</t>
  </si>
  <si>
    <t>Doublons</t>
  </si>
  <si>
    <t>~45 lignes dupliquées (même commande saisie 2 fois)</t>
  </si>
  <si>
    <t>Noms incohérents</t>
  </si>
  <si>
    <t>Ex: 'Amadou Diallo' / 'amadou diallo' / 'AMADOU DIALLO' / 'A. Diallo'</t>
  </si>
  <si>
    <t>Régions mal orthographiées</t>
  </si>
  <si>
    <t>Ex: 'Dakar' / 'dakar' / 'DAKAR' / 'Dkr' / 'Dakar '</t>
  </si>
  <si>
    <t>Catégories inconsistantes</t>
  </si>
  <si>
    <t>Ex: 'Électronique' / 'electronique' / 'Elec' / 'ÉLECTRONIQUE'</t>
  </si>
  <si>
    <t>Dates multi-formats</t>
  </si>
  <si>
    <t>Ex: 15/03/2023 / 2023/03/15 / '15 mars 2023' / '3/15/2023'</t>
  </si>
  <si>
    <t>Prix en texte</t>
  </si>
  <si>
    <t>Ex: '85 000 FCFA' au lieu du nombre 85000</t>
  </si>
  <si>
    <t>Statuts incohérents</t>
  </si>
  <si>
    <t>Ex: 'Livré' / 'livré' / 'LIVRÉ' / 'Livre'</t>
  </si>
  <si>
    <t>Valeurs manquantes</t>
  </si>
  <si>
    <t>Cellules vides dans : Région, Mode paiement, Remise%</t>
  </si>
  <si>
    <t>Quantités négatives</t>
  </si>
  <si>
    <t>Quelques lignes avec quantité négative (erreur de saisie)</t>
  </si>
  <si>
    <t>📐 DESCRIPTION DES COLONNES</t>
  </si>
  <si>
    <t>Colonne</t>
  </si>
  <si>
    <t>ID_Commande</t>
  </si>
  <si>
    <t>Identifiant unique de la commande (entier)</t>
  </si>
  <si>
    <t>Date_Commande</t>
  </si>
  <si>
    <t>Date de la commande (janv. 2023 – déc. 2024)</t>
  </si>
  <si>
    <t>Vendeur</t>
  </si>
  <si>
    <t>Nom du commercial responsable (10 vendeurs)</t>
  </si>
  <si>
    <t>Région</t>
  </si>
  <si>
    <t>Zone géographique de vente (5 régions Sénégal)</t>
  </si>
  <si>
    <t>Catégorie</t>
  </si>
  <si>
    <t>Famille de produits (5 catégories)</t>
  </si>
  <si>
    <t>Produit</t>
  </si>
  <si>
    <t>Nom du produit vendu (40 produits au total)</t>
  </si>
  <si>
    <t>Quantité</t>
  </si>
  <si>
    <t>Nombre d'unités vendues</t>
  </si>
  <si>
    <t>Prix_Unitaire</t>
  </si>
  <si>
    <t>Prix de vente unitaire en FCFA</t>
  </si>
  <si>
    <t>Remise_%</t>
  </si>
  <si>
    <t>Taux de remise accordé (0%, 5%, 10%, 15%, 20%)</t>
  </si>
  <si>
    <t>CA_Brut</t>
  </si>
  <si>
    <t>Formule : Quantité × Prix_Unitaire</t>
  </si>
  <si>
    <t>CA_Net</t>
  </si>
  <si>
    <t>Formule : CA_Brut × (1 - Remise_% / 100)</t>
  </si>
  <si>
    <t>Statut_Commande</t>
  </si>
  <si>
    <t>État de la commande (Livré / En cours / Annulé / En attente)</t>
  </si>
  <si>
    <t>Mode_Paiement</t>
  </si>
  <si>
    <t>Moyen de paiement utilisé</t>
  </si>
  <si>
    <t>⚠️  NE JAMAIS MODIFIER LA FEUILLE 'Données_Brutes' — elle est votre référence de départ !</t>
  </si>
  <si>
    <t>fatou ndiaye</t>
  </si>
  <si>
    <t>Dakar</t>
  </si>
  <si>
    <t>Habillement</t>
  </si>
  <si>
    <t>Jeans slim 32</t>
  </si>
  <si>
    <t>Livré</t>
  </si>
  <si>
    <t>Espèces</t>
  </si>
  <si>
    <t>Amadou Diallo</t>
  </si>
  <si>
    <t>Électronique</t>
  </si>
  <si>
    <t>Chargeur rapide 65W</t>
  </si>
  <si>
    <t>Mobile Money</t>
  </si>
  <si>
    <t>Ousmane Kane</t>
  </si>
  <si>
    <t>Saint-Louis</t>
  </si>
  <si>
    <t>Alimentation</t>
  </si>
  <si>
    <t>Tomate concentrée x12</t>
  </si>
  <si>
    <t>En cours</t>
  </si>
  <si>
    <t>2024/03/08</t>
  </si>
  <si>
    <t>Mariama Traoré</t>
  </si>
  <si>
    <t>ziguinchor</t>
  </si>
  <si>
    <t>Sucre roux 2kg</t>
  </si>
  <si>
    <t>Chèque</t>
  </si>
  <si>
    <t>3 jan 2024</t>
  </si>
  <si>
    <t>Kaolack</t>
  </si>
  <si>
    <t>Boubou brodé homme</t>
  </si>
  <si>
    <t>ibrahima fall</t>
  </si>
  <si>
    <t>Virement bancaire</t>
  </si>
  <si>
    <t>Fatou Ndiaye</t>
  </si>
  <si>
    <t>SAINT-LOUIS</t>
  </si>
  <si>
    <t>Chaussettes coton x5</t>
  </si>
  <si>
    <t>11/17/2024</t>
  </si>
  <si>
    <t>Ibrahima Fall</t>
  </si>
  <si>
    <t>Cosmétique</t>
  </si>
  <si>
    <t>Huile d'argan 50ml</t>
  </si>
  <si>
    <t>Thies</t>
  </si>
  <si>
    <t>33 500 FCFA</t>
  </si>
  <si>
    <t>Aïssatou Ba</t>
  </si>
  <si>
    <t>Annulé</t>
  </si>
  <si>
    <t>Moussa Sow</t>
  </si>
  <si>
    <t>Thiès</t>
  </si>
  <si>
    <t>Parfum Oriental 50ml</t>
  </si>
  <si>
    <t>Mobilier</t>
  </si>
  <si>
    <t>Chaise ergonomique</t>
  </si>
  <si>
    <t>11/27/2024</t>
  </si>
  <si>
    <t>Cheikh Diop</t>
  </si>
  <si>
    <t>Souris sans fil</t>
  </si>
  <si>
    <t>Ousmane  Kane</t>
  </si>
  <si>
    <t>Ziguinchor</t>
  </si>
  <si>
    <t>Robe wax femme</t>
  </si>
  <si>
    <t>Rokhaya Cissé</t>
  </si>
  <si>
    <t>Clé USB 64Go</t>
  </si>
  <si>
    <t>Fatou Ndiayé</t>
  </si>
  <si>
    <t>Écouteurs Bluetooth</t>
  </si>
  <si>
    <t>En Attente</t>
  </si>
  <si>
    <t>Adja Sarr</t>
  </si>
  <si>
    <t>En attente</t>
  </si>
  <si>
    <t>2024/06/13</t>
  </si>
  <si>
    <t>Dkr</t>
  </si>
  <si>
    <t>Farine de blé 10kg</t>
  </si>
  <si>
    <t xml:space="preserve">livré </t>
  </si>
  <si>
    <t>29 avr 2024</t>
  </si>
  <si>
    <t>Tablette Lenovo</t>
  </si>
  <si>
    <t>Cadre photo 40x60</t>
  </si>
  <si>
    <t>Alim.</t>
  </si>
  <si>
    <t>Lait concentré x24</t>
  </si>
  <si>
    <t>Armoire 2 portes</t>
  </si>
  <si>
    <t>Smartphone Samsung A15</t>
  </si>
  <si>
    <t>Savon karité 100g</t>
  </si>
  <si>
    <t>Crème hydratante 200ml</t>
  </si>
  <si>
    <t>29-07-2023</t>
  </si>
  <si>
    <t>Chapeau de paille</t>
  </si>
  <si>
    <t>3/16/2023</t>
  </si>
  <si>
    <t>Chemise Oxford L</t>
  </si>
  <si>
    <t xml:space="preserve">Dakar </t>
  </si>
  <si>
    <t>28 mars 2024</t>
  </si>
  <si>
    <t>cosmetique</t>
  </si>
  <si>
    <t xml:space="preserve">6000 </t>
  </si>
  <si>
    <t>14 jan 2024</t>
  </si>
  <si>
    <t>Café soluble 200g</t>
  </si>
  <si>
    <t>HABILLEMENT</t>
  </si>
  <si>
    <t>Huile de palme 5L</t>
  </si>
  <si>
    <t>Rouge à lèvres mat</t>
  </si>
  <si>
    <t>25-09-2023</t>
  </si>
  <si>
    <t>M. Sow</t>
  </si>
  <si>
    <t>12 sep 2024</t>
  </si>
  <si>
    <t>mobilier</t>
  </si>
  <si>
    <t>Table basse salon</t>
  </si>
  <si>
    <t>Fond de teint N°30</t>
  </si>
  <si>
    <t>119 400 FCFA</t>
  </si>
  <si>
    <t>Lampe de bureau LED</t>
  </si>
  <si>
    <t>Moussa  Sow</t>
  </si>
  <si>
    <t>4/20/2023</t>
  </si>
  <si>
    <t>Alimentaion</t>
  </si>
  <si>
    <t>7/15/2024</t>
  </si>
  <si>
    <t>Livre</t>
  </si>
  <si>
    <t>Miroir rond 60cm</t>
  </si>
  <si>
    <t>Étagère murale 3 niveaux</t>
  </si>
  <si>
    <t>31-07-2024</t>
  </si>
  <si>
    <t>2024/12/17</t>
  </si>
  <si>
    <t>Ibrahima  Fall</t>
  </si>
  <si>
    <t>2024/10/25</t>
  </si>
  <si>
    <t>6/6/2023</t>
  </si>
  <si>
    <t>Clavier mécanique</t>
  </si>
  <si>
    <t>alimentation</t>
  </si>
  <si>
    <t>LIVRÉ</t>
  </si>
  <si>
    <t>03-05-2023</t>
  </si>
  <si>
    <t>ALIMENTATION</t>
  </si>
  <si>
    <t xml:space="preserve">5000 </t>
  </si>
  <si>
    <t xml:space="preserve">Thiès </t>
  </si>
  <si>
    <t>Câble USB-C 2m</t>
  </si>
  <si>
    <t>Cosm.</t>
  </si>
  <si>
    <t>Shampoing cheveux secs</t>
  </si>
  <si>
    <t>8/25/2024</t>
  </si>
  <si>
    <t>2023/08/05</t>
  </si>
  <si>
    <t xml:space="preserve">33500 </t>
  </si>
  <si>
    <t xml:space="preserve">3500 </t>
  </si>
  <si>
    <t>Saint Louis</t>
  </si>
  <si>
    <t>En Cours</t>
  </si>
  <si>
    <t>01-04-2023</t>
  </si>
  <si>
    <t>annulé</t>
  </si>
  <si>
    <t>Sneakers blancs T42</t>
  </si>
  <si>
    <t>MOBILIER</t>
  </si>
  <si>
    <t>Bureau en bois 120cm</t>
  </si>
  <si>
    <t>26-03-2024</t>
  </si>
  <si>
    <t>Rokhaya Cisse</t>
  </si>
  <si>
    <t>DAKAR</t>
  </si>
  <si>
    <t>43 000 FCFA</t>
  </si>
  <si>
    <t>Gel douche jasmin 400ml</t>
  </si>
  <si>
    <t>2023/04/10</t>
  </si>
  <si>
    <t>Amadou  Diallo</t>
  </si>
  <si>
    <t>Thé Lipton x100</t>
  </si>
  <si>
    <t>8 mai 2024</t>
  </si>
  <si>
    <t>12-02-2024</t>
  </si>
  <si>
    <t>COSMÉTIQUE</t>
  </si>
  <si>
    <t>6 300 FCFA</t>
  </si>
  <si>
    <t>28-06-2023</t>
  </si>
  <si>
    <t>Riz parfumé 25kg</t>
  </si>
  <si>
    <t xml:space="preserve">18100 </t>
  </si>
  <si>
    <t>9/3/2024</t>
  </si>
  <si>
    <t xml:space="preserve">16600 </t>
  </si>
  <si>
    <t>12-11-2024</t>
  </si>
  <si>
    <t>2024/01/17</t>
  </si>
  <si>
    <t>Ceinture cuir</t>
  </si>
  <si>
    <t>Cosmetique</t>
  </si>
  <si>
    <t>adja sarr</t>
  </si>
  <si>
    <t>2024/12/07</t>
  </si>
  <si>
    <t>F.Ndiaye</t>
  </si>
  <si>
    <t>22 oct 2024</t>
  </si>
  <si>
    <t>EN ATTENTE</t>
  </si>
  <si>
    <t>12/4/2023</t>
  </si>
  <si>
    <t>en attente</t>
  </si>
  <si>
    <t>17-11-2024</t>
  </si>
  <si>
    <t xml:space="preserve">41700 </t>
  </si>
  <si>
    <t>cheikh diop</t>
  </si>
  <si>
    <t>Rokhaya CISSÉ</t>
  </si>
  <si>
    <t xml:space="preserve">2400 </t>
  </si>
  <si>
    <t>2023/02/18</t>
  </si>
  <si>
    <t xml:space="preserve">6100 </t>
  </si>
  <si>
    <t>25 800 FCFA</t>
  </si>
  <si>
    <t>livré</t>
  </si>
  <si>
    <t>2024/03/12</t>
  </si>
  <si>
    <t>2024/09/14</t>
  </si>
  <si>
    <t>03-02-2023</t>
  </si>
  <si>
    <t>5/17/2024</t>
  </si>
  <si>
    <t>29 nov 2024</t>
  </si>
  <si>
    <t>Mariama Traore</t>
  </si>
  <si>
    <t>1/6/2024</t>
  </si>
  <si>
    <t>OUSMANE KANE</t>
  </si>
  <si>
    <t>ADJA SARR</t>
  </si>
  <si>
    <t>27 nov 2024</t>
  </si>
  <si>
    <t xml:space="preserve">20500 </t>
  </si>
  <si>
    <t>31 juil 2024</t>
  </si>
  <si>
    <t>2023/05/25</t>
  </si>
  <si>
    <t>1/31/2024</t>
  </si>
  <si>
    <t xml:space="preserve">8700 </t>
  </si>
  <si>
    <t xml:space="preserve">4500 </t>
  </si>
  <si>
    <t>ousmane kane</t>
  </si>
  <si>
    <t>encours</t>
  </si>
  <si>
    <t>10 mai 2024</t>
  </si>
  <si>
    <t>THIÈS</t>
  </si>
  <si>
    <t>en cours</t>
  </si>
  <si>
    <t>AÏSSATOU BA</t>
  </si>
  <si>
    <t>11 fév 2024</t>
  </si>
  <si>
    <t xml:space="preserve">4300 </t>
  </si>
  <si>
    <t>8 600 FCFA</t>
  </si>
  <si>
    <t>habillement</t>
  </si>
  <si>
    <t>A. Diallo</t>
  </si>
  <si>
    <t>10-10-2023</t>
  </si>
  <si>
    <t>9 500 FCFA</t>
  </si>
  <si>
    <t xml:space="preserve">6200 </t>
  </si>
  <si>
    <t>amadou diallo</t>
  </si>
  <si>
    <t>Kaolak</t>
  </si>
  <si>
    <t>13-12-2024</t>
  </si>
  <si>
    <t>Moblier</t>
  </si>
  <si>
    <t>EN COURS</t>
  </si>
  <si>
    <t>2/11/2024</t>
  </si>
  <si>
    <t>St-Louis</t>
  </si>
  <si>
    <t>1/20/2024</t>
  </si>
  <si>
    <t>dakar</t>
  </si>
  <si>
    <t>9/4/2024</t>
  </si>
  <si>
    <t>Habillment</t>
  </si>
  <si>
    <t xml:space="preserve">3800 </t>
  </si>
  <si>
    <t>2023/11/25</t>
  </si>
  <si>
    <t>10 déc 2024</t>
  </si>
  <si>
    <t>FATOU NDIAYE</t>
  </si>
  <si>
    <t>2024/03/09</t>
  </si>
  <si>
    <t>1 800 FCFA</t>
  </si>
  <si>
    <t>2023/01/26</t>
  </si>
  <si>
    <t>7 sep 2023</t>
  </si>
  <si>
    <t>thiès</t>
  </si>
  <si>
    <t>10/16/2024</t>
  </si>
  <si>
    <t xml:space="preserve">18800 </t>
  </si>
  <si>
    <t>mariama traore</t>
  </si>
  <si>
    <t>7 500 FCFA</t>
  </si>
  <si>
    <t>kaolack</t>
  </si>
  <si>
    <t>31 500 FCFA</t>
  </si>
  <si>
    <t>MARIAMA TRAORÉ</t>
  </si>
  <si>
    <t>27-06-2024</t>
  </si>
  <si>
    <t>2024/02/01</t>
  </si>
  <si>
    <t>9 juin 2023</t>
  </si>
  <si>
    <t>Moussa SOW</t>
  </si>
  <si>
    <t>17 fév 2023</t>
  </si>
  <si>
    <t>electronique</t>
  </si>
  <si>
    <t>31 jan 2023</t>
  </si>
  <si>
    <t>2/5/2023</t>
  </si>
  <si>
    <t>4 600 FCFA</t>
  </si>
  <si>
    <t xml:space="preserve">3700 </t>
  </si>
  <si>
    <t>4 100 FCFA</t>
  </si>
  <si>
    <t>13 août 2023</t>
  </si>
  <si>
    <t>14 avr 2023</t>
  </si>
  <si>
    <t>KAOLACK</t>
  </si>
  <si>
    <t>06-12-2024</t>
  </si>
  <si>
    <t>Ibrahima FALL</t>
  </si>
  <si>
    <t>9 100 FCFA</t>
  </si>
  <si>
    <t>2024/04/07</t>
  </si>
  <si>
    <t>Annule</t>
  </si>
  <si>
    <t>31 200 FCFA</t>
  </si>
  <si>
    <t>25 fév 2023</t>
  </si>
  <si>
    <t>01-02-2024</t>
  </si>
  <si>
    <t>30-04-2024</t>
  </si>
  <si>
    <t>20 600 FCFA</t>
  </si>
  <si>
    <t>115 400 FCFA</t>
  </si>
  <si>
    <t>3 600 FCFA</t>
  </si>
  <si>
    <t>Ziginchor</t>
  </si>
  <si>
    <t>3 avr 2023</t>
  </si>
  <si>
    <t>10/2/2023</t>
  </si>
  <si>
    <t>30-01-2024</t>
  </si>
  <si>
    <t>3/2/2024</t>
  </si>
  <si>
    <t>2024/10/20</t>
  </si>
  <si>
    <t>4 700 FCFA</t>
  </si>
  <si>
    <t>2/25/2023</t>
  </si>
  <si>
    <t xml:space="preserve">31000 </t>
  </si>
  <si>
    <t>8 300 FCFA</t>
  </si>
  <si>
    <t>2024/09/15</t>
  </si>
  <si>
    <t>Electronique</t>
  </si>
  <si>
    <t>17 avr 2023</t>
  </si>
  <si>
    <t>9/25/2024</t>
  </si>
  <si>
    <t>moussa sow</t>
  </si>
  <si>
    <t>A.Ba</t>
  </si>
  <si>
    <t>03-08-2024</t>
  </si>
  <si>
    <t xml:space="preserve">13500 </t>
  </si>
  <si>
    <t>ANNULÉ</t>
  </si>
  <si>
    <t>10 août 2023</t>
  </si>
  <si>
    <t>09-04-2023</t>
  </si>
  <si>
    <t>2024/09/20</t>
  </si>
  <si>
    <t>4/30/2023</t>
  </si>
  <si>
    <t>5 900 FCFA</t>
  </si>
  <si>
    <t>11 300 FCFA</t>
  </si>
  <si>
    <t>rokhaya cisse</t>
  </si>
  <si>
    <t>94 500 FCFA</t>
  </si>
  <si>
    <t>9 200 FCFA</t>
  </si>
  <si>
    <t>3/18/2024</t>
  </si>
  <si>
    <t>8 oct 2024</t>
  </si>
  <si>
    <t>129 000 FCFA</t>
  </si>
  <si>
    <t>9/15/2023</t>
  </si>
  <si>
    <t xml:space="preserve">4400 </t>
  </si>
  <si>
    <t>2 000 FCFA</t>
  </si>
  <si>
    <t>23 août 2023</t>
  </si>
  <si>
    <t>22 800 FCFA</t>
  </si>
  <si>
    <t xml:space="preserve">11700 </t>
  </si>
  <si>
    <t>27-10-2023</t>
  </si>
  <si>
    <t>11-08-2023</t>
  </si>
  <si>
    <t>24 mars 2023</t>
  </si>
  <si>
    <t>11/13/2024</t>
  </si>
  <si>
    <t xml:space="preserve">8500 </t>
  </si>
  <si>
    <t>10/17/2023</t>
  </si>
  <si>
    <t>19-11-2023</t>
  </si>
  <si>
    <t>1/11/2024</t>
  </si>
  <si>
    <t>19-10-2024</t>
  </si>
  <si>
    <t>2 100 FCFA</t>
  </si>
  <si>
    <t>15 mars 2023</t>
  </si>
  <si>
    <t>8 500 FCFA</t>
  </si>
  <si>
    <t>3/5/2023</t>
  </si>
  <si>
    <t xml:space="preserve">annulé </t>
  </si>
  <si>
    <t>27-01-2024</t>
  </si>
  <si>
    <t>04-12-2023</t>
  </si>
  <si>
    <t>1 900 FCFA</t>
  </si>
  <si>
    <t>Elec</t>
  </si>
  <si>
    <t>ÉLECTRONIQUE</t>
  </si>
  <si>
    <t>2023/03/31</t>
  </si>
  <si>
    <t>125 100 FCFA</t>
  </si>
  <si>
    <t>9/22/2024</t>
  </si>
  <si>
    <t>2 500 FCFA</t>
  </si>
  <si>
    <t xml:space="preserve">6300 </t>
  </si>
  <si>
    <t>18-08-2023</t>
  </si>
  <si>
    <t>8 000 FCFA</t>
  </si>
  <si>
    <t>04-09-2024</t>
  </si>
  <si>
    <t xml:space="preserve">7700 </t>
  </si>
  <si>
    <t>7/22/2024</t>
  </si>
  <si>
    <t>4/11/2024</t>
  </si>
  <si>
    <t>12/30/2023</t>
  </si>
  <si>
    <t>aissatou ba</t>
  </si>
  <si>
    <t xml:space="preserve">99200 </t>
  </si>
  <si>
    <t>3/23/2023</t>
  </si>
  <si>
    <t>2024/04/09</t>
  </si>
  <si>
    <t>14-08-2024</t>
  </si>
  <si>
    <t>10/29/2024</t>
  </si>
  <si>
    <t>3/13/2024</t>
  </si>
  <si>
    <t>2023/06/02</t>
  </si>
  <si>
    <t>25 déc 2024</t>
  </si>
  <si>
    <t>3 juil 2024</t>
  </si>
  <si>
    <t>24-12-2024</t>
  </si>
  <si>
    <t>6 avr 2024</t>
  </si>
  <si>
    <t>11/5/2023</t>
  </si>
  <si>
    <t>8/16/2023</t>
  </si>
  <si>
    <t>1/23/2023</t>
  </si>
  <si>
    <t>2023/09/01</t>
  </si>
  <si>
    <t>2/19/2024</t>
  </si>
  <si>
    <t>12 oct 2023</t>
  </si>
  <si>
    <t xml:space="preserve">7300 </t>
  </si>
  <si>
    <t>17-04-2024</t>
  </si>
  <si>
    <t>2023/05/21</t>
  </si>
  <si>
    <t>5/6/2024</t>
  </si>
  <si>
    <t>27-12-2024</t>
  </si>
  <si>
    <t xml:space="preserve">38100 </t>
  </si>
  <si>
    <t>24-07-2023</t>
  </si>
  <si>
    <t>7 300 FCFA</t>
  </si>
  <si>
    <t>10/21/2024</t>
  </si>
  <si>
    <t xml:space="preserve">44400 </t>
  </si>
  <si>
    <t>2024/01/21</t>
  </si>
  <si>
    <t>6/18/2023</t>
  </si>
  <si>
    <t>23-05-2024</t>
  </si>
  <si>
    <t>28 juil 2023</t>
  </si>
  <si>
    <t>2023/02/07</t>
  </si>
  <si>
    <t>Cheikh  Diop</t>
  </si>
  <si>
    <t>2024/02/23</t>
  </si>
  <si>
    <t>8 200 FCFA</t>
  </si>
  <si>
    <t>16-10-2023</t>
  </si>
  <si>
    <t>24 jan 2023</t>
  </si>
  <si>
    <t xml:space="preserve">2900 </t>
  </si>
  <si>
    <t>4/27/2024</t>
  </si>
  <si>
    <t>18-11-2024</t>
  </si>
  <si>
    <t>18 juin 2023</t>
  </si>
  <si>
    <t>4/26/2024</t>
  </si>
  <si>
    <t>7/28/2024</t>
  </si>
  <si>
    <t>18 oct 2023</t>
  </si>
  <si>
    <t>07-08-2024</t>
  </si>
  <si>
    <t>34 400 FCFA</t>
  </si>
  <si>
    <t>2024/10/24</t>
  </si>
  <si>
    <t>06-09-2023</t>
  </si>
  <si>
    <t>12/7/2024</t>
  </si>
  <si>
    <t xml:space="preserve">96200 </t>
  </si>
  <si>
    <t>3/28/2023</t>
  </si>
  <si>
    <t>94 400 FCFA</t>
  </si>
  <si>
    <t>2023/06/16</t>
  </si>
  <si>
    <t xml:space="preserve">5800 </t>
  </si>
  <si>
    <t xml:space="preserve">9000 </t>
  </si>
  <si>
    <t>2023/11/24</t>
  </si>
  <si>
    <t>21 fév 2024</t>
  </si>
  <si>
    <t xml:space="preserve">9500 </t>
  </si>
  <si>
    <t>4/20/2024</t>
  </si>
  <si>
    <t xml:space="preserve">10700 </t>
  </si>
  <si>
    <t xml:space="preserve">2100 </t>
  </si>
  <si>
    <t>AMADOU DIALLO</t>
  </si>
  <si>
    <t>17 400 FCFA</t>
  </si>
  <si>
    <t>13 juin 2024</t>
  </si>
  <si>
    <t>19-07-2023</t>
  </si>
  <si>
    <t>25 jan 2023</t>
  </si>
  <si>
    <t>Adja  Sarr</t>
  </si>
  <si>
    <t>2023/11/05</t>
  </si>
  <si>
    <t>18 juil 2023</t>
  </si>
  <si>
    <t>ZIGUINCHOR</t>
  </si>
  <si>
    <t xml:space="preserve">8400 </t>
  </si>
  <si>
    <t>2024/09/22</t>
  </si>
  <si>
    <t>2023/08/13</t>
  </si>
  <si>
    <t>Aissatou Ba</t>
  </si>
  <si>
    <t>2024/05/24</t>
  </si>
  <si>
    <t>23 500 FCFA</t>
  </si>
  <si>
    <t>CHEIKH DIOP</t>
  </si>
  <si>
    <t>2023/06/25</t>
  </si>
  <si>
    <t>2024/06/14</t>
  </si>
  <si>
    <t>7 déc 2024</t>
  </si>
  <si>
    <t>02-09-2023</t>
  </si>
  <si>
    <t xml:space="preserve">7100 </t>
  </si>
  <si>
    <t>2024/09/12</t>
  </si>
  <si>
    <t>5/16/2024</t>
  </si>
  <si>
    <t>11-09-2024</t>
  </si>
  <si>
    <t>5 avr 2023</t>
  </si>
  <si>
    <t>3 août 2024</t>
  </si>
  <si>
    <t xml:space="preserve">3400 </t>
  </si>
  <si>
    <t>2023/05/29</t>
  </si>
  <si>
    <t>27 déc 2024</t>
  </si>
  <si>
    <t>2023/05/09</t>
  </si>
  <si>
    <t>4 nov 2023</t>
  </si>
  <si>
    <t>6 400 FCFA</t>
  </si>
  <si>
    <t>25-11-2024</t>
  </si>
  <si>
    <t>28 300 FCFA</t>
  </si>
  <si>
    <t>2023/10/16</t>
  </si>
  <si>
    <t>8/28/2024</t>
  </si>
  <si>
    <t>5 déc 2024</t>
  </si>
  <si>
    <t>9/12/2023</t>
  </si>
  <si>
    <t>11 juil 2024</t>
  </si>
  <si>
    <t>2/14/2023</t>
  </si>
  <si>
    <t>2024/10/31</t>
  </si>
  <si>
    <t>2023/03/27</t>
  </si>
  <si>
    <t>31 août 2024</t>
  </si>
  <si>
    <t>18-07-2024</t>
  </si>
  <si>
    <t>7/19/2023</t>
  </si>
  <si>
    <t>2023/03/11</t>
  </si>
  <si>
    <t>13 300 FCFA</t>
  </si>
  <si>
    <t>11/11/2024</t>
  </si>
  <si>
    <t>12-08-2023</t>
  </si>
  <si>
    <t>5 600 FCFA</t>
  </si>
  <si>
    <t>2023/01/12</t>
  </si>
  <si>
    <t>18 juin 2024</t>
  </si>
  <si>
    <t>8 oct 2023</t>
  </si>
  <si>
    <t>22-10-2024</t>
  </si>
  <si>
    <t>3 mai 2023</t>
  </si>
  <si>
    <t>4/2/2024</t>
  </si>
  <si>
    <t>14 août 2024</t>
  </si>
  <si>
    <t>1 oct 2023</t>
  </si>
  <si>
    <t>3/9/2023</t>
  </si>
  <si>
    <t>97 100 FCFA</t>
  </si>
  <si>
    <t>10 déc 2023</t>
  </si>
  <si>
    <t>5/15/2024</t>
  </si>
  <si>
    <t>22 août 2024</t>
  </si>
  <si>
    <t>8/3/2024</t>
  </si>
  <si>
    <t>7/29/2023</t>
  </si>
  <si>
    <t xml:space="preserve">2300 </t>
  </si>
  <si>
    <t>05-11-2024</t>
  </si>
  <si>
    <t>26-02-2023</t>
  </si>
  <si>
    <t>31-12-2024</t>
  </si>
  <si>
    <t>21 mai 2024</t>
  </si>
  <si>
    <t>2024/08/12</t>
  </si>
  <si>
    <t>2/22/2024</t>
  </si>
  <si>
    <t>1/16/2023</t>
  </si>
  <si>
    <t>2023/11/01</t>
  </si>
  <si>
    <t xml:space="preserve">23000 </t>
  </si>
  <si>
    <t>19-06-2023</t>
  </si>
  <si>
    <t>4/19/2023</t>
  </si>
  <si>
    <t>12 mars 2024</t>
  </si>
  <si>
    <t>05-06-2023</t>
  </si>
  <si>
    <t>27-04-2023</t>
  </si>
  <si>
    <t xml:space="preserve">129700 </t>
  </si>
  <si>
    <t>30 900 FCFA</t>
  </si>
  <si>
    <t>115 300 FCFA</t>
  </si>
  <si>
    <t>06-06-2023</t>
  </si>
  <si>
    <t>3 300 FCFA</t>
  </si>
  <si>
    <t>7/17/2023</t>
  </si>
  <si>
    <t>01-06-2024</t>
  </si>
  <si>
    <t>10 000 FCFA</t>
  </si>
  <si>
    <t>saint-louis</t>
  </si>
  <si>
    <t>3/7/2024</t>
  </si>
  <si>
    <t>17-03-2024</t>
  </si>
  <si>
    <t>9/16/2024</t>
  </si>
  <si>
    <t>4 300 FCFA</t>
  </si>
  <si>
    <t>2024/10/11</t>
  </si>
  <si>
    <t xml:space="preserve">32000 </t>
  </si>
  <si>
    <t>2024/11/11</t>
  </si>
  <si>
    <t>8 700 FCFA</t>
  </si>
  <si>
    <t>29-03-2024</t>
  </si>
  <si>
    <t>2023/09/09</t>
  </si>
  <si>
    <t>2023/04/26</t>
  </si>
  <si>
    <t>2024/04/13</t>
  </si>
  <si>
    <t>2024/09/11</t>
  </si>
  <si>
    <t>2024/01/05</t>
  </si>
  <si>
    <t>2023/06/09</t>
  </si>
  <si>
    <t xml:space="preserve">1900 </t>
  </si>
  <si>
    <t>10-06-2024</t>
  </si>
  <si>
    <t>15 400 FCFA</t>
  </si>
  <si>
    <t>14 oct 2024</t>
  </si>
  <si>
    <t>10/17/2024</t>
  </si>
  <si>
    <t xml:space="preserve">131800 </t>
  </si>
  <si>
    <t>7 400 FCFA</t>
  </si>
  <si>
    <t>27-01-2023</t>
  </si>
  <si>
    <t>14 800 FCFA</t>
  </si>
  <si>
    <t>30-01-2023</t>
  </si>
  <si>
    <t>14-04-2024</t>
  </si>
  <si>
    <t>2024/05/26</t>
  </si>
  <si>
    <t>18-12-2024</t>
  </si>
  <si>
    <t>26 mars 2024</t>
  </si>
  <si>
    <t xml:space="preserve">39200 </t>
  </si>
  <si>
    <t>09-11-2024</t>
  </si>
  <si>
    <t>2023/12/16</t>
  </si>
  <si>
    <t>6 900 FCFA</t>
  </si>
  <si>
    <t>9 mai 2023</t>
  </si>
  <si>
    <t>15 juil 2023</t>
  </si>
  <si>
    <t>2024/09/30</t>
  </si>
  <si>
    <t>7/29/2024</t>
  </si>
  <si>
    <t>2024/02/08</t>
  </si>
  <si>
    <t xml:space="preserve">32600 </t>
  </si>
  <si>
    <t>2023/04/04</t>
  </si>
  <si>
    <t>6/26/2024</t>
  </si>
  <si>
    <t>7/9/2023</t>
  </si>
  <si>
    <t>16-03-2024</t>
  </si>
  <si>
    <t>23 oct 2024</t>
  </si>
  <si>
    <t>02-10-2024</t>
  </si>
  <si>
    <t xml:space="preserve">8600 </t>
  </si>
  <si>
    <t>24 fév 2023</t>
  </si>
  <si>
    <t>6 100 FCFA</t>
  </si>
  <si>
    <t>7 200 FCFA</t>
  </si>
  <si>
    <t>2024/04/08</t>
  </si>
  <si>
    <t>27-07-2024</t>
  </si>
  <si>
    <t>3 mars 2023</t>
  </si>
  <si>
    <t>6/9/2024</t>
  </si>
  <si>
    <t>12-10-2024</t>
  </si>
  <si>
    <t>12/12/2023</t>
  </si>
  <si>
    <t>05-12-2024</t>
  </si>
  <si>
    <t xml:space="preserve">7600 </t>
  </si>
  <si>
    <t>2023/05/08</t>
  </si>
  <si>
    <t>20 500 FCFA</t>
  </si>
  <si>
    <t>2023/02/10</t>
  </si>
  <si>
    <t>2024/08/16</t>
  </si>
  <si>
    <t>6/3/2023</t>
  </si>
  <si>
    <t>5/28/2023</t>
  </si>
  <si>
    <t>131 200 FCFA</t>
  </si>
  <si>
    <t>137 500 FCFA</t>
  </si>
  <si>
    <t>17 mars 2023</t>
  </si>
  <si>
    <t xml:space="preserve">34600 </t>
  </si>
  <si>
    <t>5 juin 2024</t>
  </si>
  <si>
    <t>22-03-2024</t>
  </si>
  <si>
    <t>2023/11/12</t>
  </si>
  <si>
    <t>2023/03/26</t>
  </si>
  <si>
    <t>17 300 FCFA</t>
  </si>
  <si>
    <t>4/5/2024</t>
  </si>
  <si>
    <t>12 juil 2024</t>
  </si>
  <si>
    <t xml:space="preserve">27700 </t>
  </si>
  <si>
    <t>08-01-2023</t>
  </si>
  <si>
    <t>11-02-2023</t>
  </si>
  <si>
    <t>28-08-2024</t>
  </si>
  <si>
    <t>2023/04/28</t>
  </si>
  <si>
    <t>12-09-2023</t>
  </si>
  <si>
    <t xml:space="preserve">14300 </t>
  </si>
  <si>
    <t>2024/03/13</t>
  </si>
  <si>
    <t>5/16/2023</t>
  </si>
  <si>
    <t>19 jan 2024</t>
  </si>
  <si>
    <t>2023/03/08</t>
  </si>
  <si>
    <t>12/5/2024</t>
  </si>
  <si>
    <t>30-12-2023</t>
  </si>
  <si>
    <t xml:space="preserve">10000 </t>
  </si>
  <si>
    <t>21-12-2023</t>
  </si>
  <si>
    <t xml:space="preserve">9900 </t>
  </si>
  <si>
    <t>28 juil 2024</t>
  </si>
  <si>
    <t>6 jan 2023</t>
  </si>
  <si>
    <t>2024/10/01</t>
  </si>
  <si>
    <t>29-01-2024</t>
  </si>
  <si>
    <t>2/12/2024</t>
  </si>
  <si>
    <t>23-11-2024</t>
  </si>
  <si>
    <t>01-07-2023</t>
  </si>
  <si>
    <t>32 000 FCFA</t>
  </si>
  <si>
    <t>24-01-2023</t>
  </si>
  <si>
    <t xml:space="preserve">7500 </t>
  </si>
  <si>
    <t>26-10-2023</t>
  </si>
  <si>
    <t>07-06-2023</t>
  </si>
  <si>
    <t>26 avr 2023</t>
  </si>
  <si>
    <t>5 avr 2024</t>
  </si>
  <si>
    <t>4 avr 2024</t>
  </si>
  <si>
    <t>25 jan 2024</t>
  </si>
  <si>
    <t xml:space="preserve">2000 </t>
  </si>
  <si>
    <t>11/12/2023</t>
  </si>
  <si>
    <t>2024/03/20</t>
  </si>
  <si>
    <t>2/27/2024</t>
  </si>
  <si>
    <t>3/23/2024</t>
  </si>
  <si>
    <t>2023/02/02</t>
  </si>
  <si>
    <t xml:space="preserve">4900 </t>
  </si>
  <si>
    <t>02-04-2023</t>
  </si>
  <si>
    <t>12-07-2024</t>
  </si>
  <si>
    <t>38 600 FCFA</t>
  </si>
  <si>
    <t>5 nov 2024</t>
  </si>
  <si>
    <t>2023/07/29</t>
  </si>
  <si>
    <t>02-06-2024</t>
  </si>
  <si>
    <t>2024/09/02</t>
  </si>
  <si>
    <t>21-01-2024</t>
  </si>
  <si>
    <t>3/22/2023</t>
  </si>
  <si>
    <t>2 400 FCFA</t>
  </si>
  <si>
    <t xml:space="preserve">  ✅ Données_Propres  —  Feuille de travail</t>
  </si>
  <si>
    <t>👉 Copiez ici vos données nettoyées depuis 'Données_Brutes' (Séances 2 &amp; 3)</t>
  </si>
  <si>
    <t xml:space="preserve">  🔄 TCD  —  Feuille de travail</t>
  </si>
  <si>
    <t>👉 Insérez ici vos Tableaux Croisés Dynamiques et Segments (Séance 5)</t>
  </si>
  <si>
    <t xml:space="preserve">  📈 Graphiques  —  Feuille de travail</t>
  </si>
  <si>
    <t>👉 Créez ici vos 5 graphiques professionnels (Séance 6)</t>
  </si>
  <si>
    <t>COLONNES</t>
  </si>
  <si>
    <t>TYPE DE PROBLEME</t>
  </si>
  <si>
    <t>ACTION PREVUE</t>
  </si>
  <si>
    <t xml:space="preserve">Corriger et mettre en forme </t>
  </si>
  <si>
    <t>EXEMPLE</t>
  </si>
  <si>
    <t xml:space="preserve">NB DE LIGNES </t>
  </si>
  <si>
    <t xml:space="preserve">Corriger </t>
  </si>
  <si>
    <t>il y'a fcfa devant</t>
  </si>
  <si>
    <t>nombre négatif</t>
  </si>
  <si>
    <t>c'est aligné à gauche au lieu d'a droite</t>
  </si>
  <si>
    <t>Mauvais format (est mal écrit)</t>
  </si>
  <si>
    <t>le mot est abreger</t>
  </si>
  <si>
    <t>le mot mal écrire</t>
  </si>
  <si>
    <t>Corriger</t>
  </si>
  <si>
    <t>Bien écrire</t>
  </si>
  <si>
    <t>Ecrire sans le FCFA</t>
  </si>
  <si>
    <t>Changer le format</t>
  </si>
  <si>
    <t>Bien écrire le mot</t>
  </si>
  <si>
    <t>C'est écrit "Adja  Sarr" au lieu de "Adja Sarr"</t>
  </si>
  <si>
    <t>Il y'a de l'espace entre les deux noms</t>
  </si>
  <si>
    <t>C'est écrit" Kaolak" au lieu de "Kaolack"</t>
  </si>
  <si>
    <t>C'est écrit "Alim." au lieu de "Alimantation"</t>
  </si>
  <si>
    <t>c'est écrit "94 400 FCFA" au lieu de "94 400"</t>
  </si>
  <si>
    <t>c'est écrit " -50" au lieu de "50"</t>
  </si>
  <si>
    <t>c'est écrit "encours" au lieu de "en cours"</t>
  </si>
  <si>
    <t>C'est écrit "Dkr" au lieu de Dakar</t>
  </si>
  <si>
    <t>C'est écrit "Moblier" au lieu de "Mobilier"</t>
  </si>
  <si>
    <t>RESUME</t>
  </si>
  <si>
    <t>Nombre total de lignes du dataset</t>
  </si>
  <si>
    <t>Nombre de colonnes</t>
  </si>
  <si>
    <t>Nombre estimé de doublons</t>
  </si>
  <si>
    <t>Les 3 problèmes les plus critiques</t>
  </si>
  <si>
    <t>Pas au même format que les autres dates</t>
  </si>
  <si>
    <t>Toutes les dates n'ont pas le même format ; Il y'a des quantités négatives ; le FCFA devant certains prix</t>
  </si>
  <si>
    <t>Non renseigne</t>
  </si>
  <si>
    <t>Mini rapport</t>
  </si>
  <si>
    <t>Nombre de lignes avant et après nettoyage</t>
  </si>
  <si>
    <t xml:space="preserve"> Liste des corrections effectuées</t>
  </si>
  <si>
    <t>Difficultés rencontrées</t>
  </si>
  <si>
    <t>Nombres avant : 2045; nombre après : 2000</t>
  </si>
  <si>
    <t>Mettre toutes les dates au même format; suppression des doublons; remplacement des valeurs manquantes; mettre tout les prix au format nombre; suppression des espaces;</t>
  </si>
  <si>
    <t xml:space="preserve">Pas de difficultés </t>
  </si>
  <si>
    <t>Non Renseigne</t>
  </si>
  <si>
    <t>Trimestre</t>
  </si>
  <si>
    <t>Mois_Num</t>
  </si>
  <si>
    <t>Année</t>
  </si>
  <si>
    <t>Mois_Année</t>
  </si>
  <si>
    <t>Tranche_CA</t>
  </si>
  <si>
    <t>10/2024</t>
  </si>
  <si>
    <t>08/2024</t>
  </si>
  <si>
    <t>03/2024</t>
  </si>
  <si>
    <t>07/2024</t>
  </si>
  <si>
    <t>08/2023</t>
  </si>
  <si>
    <t>11/2024</t>
  </si>
  <si>
    <t>09/2023</t>
  </si>
  <si>
    <t>04/2023</t>
  </si>
  <si>
    <t>02/2023</t>
  </si>
  <si>
    <t>11/2023</t>
  </si>
  <si>
    <t>03/2023</t>
  </si>
  <si>
    <t>06/2024</t>
  </si>
  <si>
    <t>01/2023</t>
  </si>
  <si>
    <t>04/2024</t>
  </si>
  <si>
    <t>06/2023</t>
  </si>
  <si>
    <t>07/2023</t>
  </si>
  <si>
    <t>12/2023</t>
  </si>
  <si>
    <t>10/2023</t>
  </si>
  <si>
    <t>01/2024</t>
  </si>
  <si>
    <t>12/2024</t>
  </si>
  <si>
    <t>02/2024</t>
  </si>
  <si>
    <t>05/2023</t>
  </si>
  <si>
    <t>09/2024</t>
  </si>
  <si>
    <t>05/2024</t>
  </si>
  <si>
    <t>T4</t>
  </si>
  <si>
    <t>T3</t>
  </si>
  <si>
    <t>T1</t>
  </si>
  <si>
    <t>T2</t>
  </si>
  <si>
    <t>Grande</t>
  </si>
  <si>
    <t>Petite</t>
  </si>
  <si>
    <t>Moyenne</t>
  </si>
  <si>
    <t>Résolu</t>
  </si>
  <si>
    <t>Avant</t>
  </si>
  <si>
    <t>Après</t>
  </si>
  <si>
    <t xml:space="preserve">Nb lignes </t>
  </si>
  <si>
    <t>Nb colonnes</t>
  </si>
  <si>
    <t>Nb de valeurs uniques par colonne clé</t>
  </si>
  <si>
    <t>TABLEAU DE BORD KPIs TradeCo</t>
  </si>
  <si>
    <t>Nombre total de commandes</t>
  </si>
  <si>
    <t xml:space="preserve">CA Net total (toutes commandes confondues) </t>
  </si>
  <si>
    <t xml:space="preserve">Nombre de commandes livrées </t>
  </si>
  <si>
    <t>CA Net des commandes livrées uniquement</t>
  </si>
  <si>
    <t xml:space="preserve"> Taux de livraison (%) = Nb livrées / Nb total formatez en pourcentage </t>
  </si>
  <si>
    <t xml:space="preserve">Nombre de commandes annulées </t>
  </si>
  <si>
    <t xml:space="preserve">CA perdu sur annulations = SOMME.SI sur statut='Annulé' </t>
  </si>
  <si>
    <t xml:space="preserve">Nombre de commandes en 2023 vs en 2024 </t>
  </si>
  <si>
    <t xml:space="preserve">CA Net en 2023 vs en 2024 </t>
  </si>
  <si>
    <t>Variation CA 2023→2024 en % = (CA2024-CA2023)/CA2023 formatez en %</t>
  </si>
  <si>
    <t xml:space="preserve">CA_Net_Total </t>
  </si>
  <si>
    <t xml:space="preserve"> Nb_Commandes </t>
  </si>
  <si>
    <t>Panier_Moyen Rang</t>
  </si>
  <si>
    <t>Rang</t>
  </si>
  <si>
    <t>KPIs</t>
  </si>
  <si>
    <t>Nb total de commandes</t>
  </si>
  <si>
    <t>Nb commandes à Dakar</t>
  </si>
  <si>
    <t>Nb commandes livrées</t>
  </si>
  <si>
    <t>Nb commandes Dakar ET livrées</t>
  </si>
  <si>
    <t>Nb commandes en 2024</t>
  </si>
  <si>
    <t>CA Net total</t>
  </si>
  <si>
    <t>CA Net région Dakar</t>
  </si>
  <si>
    <t>CA Net commandes livrées</t>
  </si>
  <si>
    <t>CA Net vendeur Amadou Diallo</t>
  </si>
  <si>
    <t>CA Net Électronique en 2024</t>
  </si>
  <si>
    <t>Formule</t>
  </si>
  <si>
    <t xml:space="preserve"> Rang</t>
  </si>
  <si>
    <t>Nb_commandes</t>
  </si>
  <si>
    <t xml:space="preserve"> %_du_CA_total</t>
  </si>
  <si>
    <t>CA_NET</t>
  </si>
  <si>
    <t>Quantité_totale</t>
  </si>
  <si>
    <t>Panier_moyen</t>
  </si>
  <si>
    <t>%_du_CA_total</t>
  </si>
  <si>
    <t>TABLEAU 1 : KPIs Globaux (10 indicateurs vus en cours)</t>
  </si>
  <si>
    <t>TABLEAU 2 : Analyse par Vendeur (vue en exercice)</t>
  </si>
  <si>
    <t>TABLEAU 3 : Analyse par Région</t>
  </si>
  <si>
    <t>TABLEAU 4 : Analyse par Catégorie</t>
  </si>
  <si>
    <t>Total général</t>
  </si>
  <si>
    <t>Somme de CA_Net</t>
  </si>
  <si>
    <t>REGION</t>
  </si>
  <si>
    <t>Nombre de ID_Commande</t>
  </si>
  <si>
    <t>VENDEUR</t>
  </si>
  <si>
    <t>CATEGORIE</t>
  </si>
  <si>
    <t>TRIMESTRE</t>
  </si>
  <si>
    <t>STATUT_COMMANDE</t>
  </si>
  <si>
    <t>MODE_PAIEMENT</t>
  </si>
  <si>
    <t>Nombre de Statut_Commande</t>
  </si>
  <si>
    <t>PRODUIT</t>
  </si>
  <si>
    <t>Réponse aux question</t>
  </si>
  <si>
    <t>La région qui génère le plus de CA sur les commandes Livrées en 2024 est : Dakar</t>
  </si>
  <si>
    <t>La catégorie qui a le taux d'annulation le plus élevé est : Mobilier</t>
  </si>
  <si>
    <t xml:space="preserve">Panier moyen </t>
  </si>
  <si>
    <t>Le vendeur qui a le meilleur panier moyen (CA moyen par commande) est : Amadou Diallo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</si>
  <si>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</si>
  <si>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</si>
  <si>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</si>
  <si>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</si>
  <si>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</si>
  <si>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</si>
  <si>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</si>
  <si>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</si>
  <si>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</si>
  <si>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</si>
  <si>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</si>
  <si>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</si>
  <si>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MOIS</t>
  </si>
  <si>
    <t>JANVIER</t>
  </si>
  <si>
    <t>FÉVRIER</t>
  </si>
  <si>
    <t>MARS</t>
  </si>
  <si>
    <t>AVRIL</t>
  </si>
  <si>
    <t>MAI</t>
  </si>
  <si>
    <t>JUIN</t>
  </si>
  <si>
    <t>ANNEE</t>
  </si>
  <si>
    <t>Le mois d'octobre a réalisé le plus grand chiffre d'affaire avec une valeur de 133870590</t>
  </si>
  <si>
    <t xml:space="preserve">Rokhaya Cissé a réalisé le plus grand chiffre d'affaire avec 145036980, Suivie de Cheikh Diop avec un CA de 114857455. </t>
  </si>
  <si>
    <t xml:space="preserve">Le mobilier domine avec 45% du CA, suivie de electronique avec 29% du CA. </t>
  </si>
  <si>
    <t xml:space="preserve">Dakar est la région qui a réalisé le plus grand CA, suivie de Saint-Louis.  </t>
  </si>
  <si>
    <t xml:space="preserve">Dakar a réalisé le plus grand chiffre d'affaire et Thiès a réalisé le grand nombre de commande qui est de 411, suis de près par par Saint-Louis avec 410 commandes.    </t>
  </si>
  <si>
    <t xml:space="preserve">2024 domine largement avec 1039 commandes. </t>
  </si>
  <si>
    <t>CA NET TOTAL</t>
  </si>
  <si>
    <t>Nb Commande</t>
  </si>
  <si>
    <t>Panier moyen</t>
  </si>
  <si>
    <t>Taux de livraison</t>
  </si>
  <si>
    <t>Top région</t>
  </si>
  <si>
    <t>TABLEAU DE BORD TRADECO 2023/2024</t>
  </si>
  <si>
    <t xml:space="preserve">SOUARE FATOUMATA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</si>
</sst>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2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C62828"/>
      <name val="Arial"/>
      <charset val="1"/>
    </font>
    <font>
      <b/>
      <sz val="16"/>
      <color rgb="FFFFFFFF"/>
      <name val="Arial"/>
      <charset val="1"/>
    </font>
    <font>
      <i/>
      <sz val="11"/>
      <color rgb="FF555555"/>
      <name val="Arial"/>
      <charset val="1"/>
    </font>
    <font>
      <b/>
      <sz val="11"/>
      <color rgb="FFFFFFFF"/>
      <name val="Arial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24"/>
      <color theme="0"/>
      <name val="Calibri"/>
      <family val="2"/>
    </font>
    <font>
      <sz val="11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4"/>
      <color theme="1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  <charset val="1"/>
    </font>
    <font>
      <sz val="18"/>
      <color rgb="FF000000"/>
      <name val="Calibri"/>
      <family val="2"/>
      <charset val="1"/>
    </font>
    <font>
      <i/>
      <sz val="28"/>
      <color rgb="FF006C31"/>
      <name val="Calibri"/>
      <family val="2"/>
      <scheme val="minor"/>
    </font>
    <font>
      <sz val="11"/>
      <color theme="1"/>
      <name val="Calibri"/>
      <family val="2"/>
    </font>
    <font>
      <sz val="11"/>
      <color theme="0" tint="-0.34998626667073579"/>
      <name val="Calibri"/>
      <family val="2"/>
    </font>
    <font>
      <sz val="11"/>
      <color theme="0" tint="-0.34998626667073579"/>
      <name val="Calibri"/>
      <family val="2"/>
      <charset val="1"/>
    </font>
    <font>
      <sz val="28"/>
      <color rgb="FF006C31"/>
      <name val="Calibri"/>
      <family val="2"/>
      <charset val="1"/>
    </font>
    <font>
      <sz val="48"/>
      <color theme="0"/>
      <name val="Calibri"/>
      <family val="2"/>
    </font>
    <font>
      <sz val="16"/>
      <color theme="1"/>
      <name val="Calibri"/>
      <family val="2"/>
      <charset val="1"/>
    </font>
    <font>
      <b/>
      <sz val="14"/>
      <color theme="1"/>
      <name val="Cambria"/>
      <family val="1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1D6F42"/>
        <bgColor rgb="FF2E7D32"/>
      </patternFill>
    </fill>
    <fill>
      <patternFill patternType="solid">
        <fgColor rgb="FF2E7D32"/>
        <bgColor rgb="FF1D6F42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F5F5F5"/>
      </patternFill>
    </fill>
    <fill>
      <patternFill patternType="solid">
        <fgColor rgb="FFF5F5F5"/>
        <bgColor rgb="FFF9F9F9"/>
      </patternFill>
    </fill>
    <fill>
      <patternFill patternType="solid">
        <fgColor rgb="FFE65100"/>
        <bgColor rgb="FFC62828"/>
      </patternFill>
    </fill>
    <fill>
      <patternFill patternType="solid">
        <fgColor rgb="FFFFEBEE"/>
        <bgColor rgb="FFF5F5F5"/>
      </patternFill>
    </fill>
    <fill>
      <patternFill patternType="solid">
        <fgColor rgb="FFF9F9F9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rgb="FF006C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theme="1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00B050"/>
        <bgColor rgb="FFF5F5F5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04">
    <xf numFmtId="0" fontId="0" fillId="0" borderId="0" xfId="0"/>
    <xf numFmtId="0" fontId="4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right" vertical="center"/>
    </xf>
    <xf numFmtId="14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14" fontId="4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right" vertical="center"/>
    </xf>
    <xf numFmtId="15" fontId="4" fillId="4" borderId="1" xfId="0" applyNumberFormat="1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10" fillId="10" borderId="2" xfId="0" applyFont="1" applyFill="1" applyBorder="1" applyAlignment="1">
      <alignment horizontal="center"/>
    </xf>
    <xf numFmtId="0" fontId="11" fillId="0" borderId="0" xfId="0" applyFont="1"/>
    <xf numFmtId="0" fontId="12" fillId="0" borderId="2" xfId="0" applyFont="1" applyFill="1" applyBorder="1"/>
    <xf numFmtId="0" fontId="12" fillId="0" borderId="2" xfId="0" applyFont="1" applyBorder="1"/>
    <xf numFmtId="0" fontId="13" fillId="0" borderId="2" xfId="0" applyFont="1" applyFill="1" applyBorder="1" applyAlignment="1">
      <alignment vertical="center"/>
    </xf>
    <xf numFmtId="14" fontId="12" fillId="0" borderId="2" xfId="0" applyNumberFormat="1" applyFont="1" applyBorder="1"/>
    <xf numFmtId="0" fontId="13" fillId="0" borderId="2" xfId="0" applyFont="1" applyFill="1" applyBorder="1" applyAlignment="1">
      <alignment horizontal="left" vertical="center"/>
    </xf>
    <xf numFmtId="0" fontId="12" fillId="0" borderId="0" xfId="0" applyFont="1"/>
    <xf numFmtId="0" fontId="10" fillId="0" borderId="0" xfId="0" applyFont="1"/>
    <xf numFmtId="1" fontId="9" fillId="2" borderId="0" xfId="0" applyNumberFormat="1" applyFont="1" applyFill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right" vertical="center"/>
    </xf>
    <xf numFmtId="1" fontId="4" fillId="4" borderId="1" xfId="0" applyNumberFormat="1" applyFont="1" applyFill="1" applyBorder="1" applyAlignment="1">
      <alignment horizontal="right" vertical="center"/>
    </xf>
    <xf numFmtId="1" fontId="0" fillId="0" borderId="0" xfId="0" applyNumberFormat="1"/>
    <xf numFmtId="14" fontId="9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0" fontId="14" fillId="4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vertical="center"/>
    </xf>
    <xf numFmtId="0" fontId="0" fillId="0" borderId="2" xfId="0" applyBorder="1"/>
    <xf numFmtId="0" fontId="14" fillId="6" borderId="5" xfId="0" applyFont="1" applyFill="1" applyBorder="1" applyAlignment="1">
      <alignment horizontal="right" vertical="center"/>
    </xf>
    <xf numFmtId="0" fontId="14" fillId="6" borderId="5" xfId="0" applyFont="1" applyFill="1" applyBorder="1" applyAlignment="1">
      <alignment vertical="center"/>
    </xf>
    <xf numFmtId="0" fontId="0" fillId="10" borderId="0" xfId="0" applyFill="1"/>
    <xf numFmtId="0" fontId="15" fillId="0" borderId="2" xfId="0" applyFont="1" applyFill="1" applyBorder="1" applyAlignment="1">
      <alignment horizontal="center" vertical="center" wrapText="1"/>
    </xf>
    <xf numFmtId="14" fontId="15" fillId="0" borderId="2" xfId="0" applyNumberFormat="1" applyFont="1" applyFill="1" applyBorder="1" applyAlignment="1">
      <alignment horizontal="center" vertical="center" wrapText="1"/>
    </xf>
    <xf numFmtId="1" fontId="15" fillId="0" borderId="2" xfId="0" applyNumberFormat="1" applyFont="1" applyFill="1" applyBorder="1" applyAlignment="1">
      <alignment horizontal="center" vertical="center" wrapText="1"/>
    </xf>
    <xf numFmtId="0" fontId="16" fillId="0" borderId="4" xfId="0" applyFont="1" applyBorder="1"/>
    <xf numFmtId="0" fontId="16" fillId="0" borderId="2" xfId="0" applyFont="1" applyBorder="1"/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19" fillId="0" borderId="2" xfId="0" applyFont="1" applyBorder="1"/>
    <xf numFmtId="0" fontId="19" fillId="0" borderId="0" xfId="0" applyFont="1"/>
    <xf numFmtId="0" fontId="19" fillId="0" borderId="2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9" fontId="19" fillId="0" borderId="2" xfId="0" applyNumberFormat="1" applyFont="1" applyBorder="1"/>
    <xf numFmtId="0" fontId="19" fillId="0" borderId="6" xfId="0" applyFont="1" applyBorder="1"/>
    <xf numFmtId="0" fontId="21" fillId="0" borderId="0" xfId="0" applyFont="1" applyFill="1" applyBorder="1" applyAlignment="1">
      <alignment vertical="center"/>
    </xf>
    <xf numFmtId="9" fontId="0" fillId="0" borderId="0" xfId="1" applyFont="1"/>
    <xf numFmtId="9" fontId="19" fillId="0" borderId="7" xfId="1" applyFont="1" applyBorder="1"/>
    <xf numFmtId="0" fontId="20" fillId="0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/>
    </xf>
    <xf numFmtId="0" fontId="0" fillId="0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13" borderId="0" xfId="0" applyNumberFormat="1" applyFill="1"/>
    <xf numFmtId="0" fontId="0" fillId="14" borderId="0" xfId="0" applyNumberFormat="1" applyFill="1"/>
    <xf numFmtId="0" fontId="23" fillId="14" borderId="0" xfId="0" applyFont="1" applyFill="1" applyAlignment="1">
      <alignment horizontal="center"/>
    </xf>
    <xf numFmtId="0" fontId="0" fillId="0" borderId="0" xfId="0" applyBorder="1"/>
    <xf numFmtId="0" fontId="24" fillId="0" borderId="2" xfId="0" applyFont="1" applyBorder="1"/>
    <xf numFmtId="0" fontId="0" fillId="0" borderId="10" xfId="0" applyBorder="1"/>
    <xf numFmtId="0" fontId="0" fillId="0" borderId="11" xfId="0" applyBorder="1"/>
    <xf numFmtId="0" fontId="24" fillId="0" borderId="0" xfId="0" applyFont="1" applyBorder="1"/>
    <xf numFmtId="0" fontId="4" fillId="16" borderId="2" xfId="0" applyFont="1" applyFill="1" applyBorder="1" applyAlignment="1">
      <alignment vertical="center"/>
    </xf>
    <xf numFmtId="0" fontId="0" fillId="17" borderId="2" xfId="0" applyFont="1" applyFill="1" applyBorder="1"/>
    <xf numFmtId="0" fontId="0" fillId="13" borderId="2" xfId="0" applyFont="1" applyFill="1" applyBorder="1"/>
    <xf numFmtId="0" fontId="26" fillId="15" borderId="2" xfId="0" applyFont="1" applyFill="1" applyBorder="1" applyAlignment="1">
      <alignment horizontal="center"/>
    </xf>
    <xf numFmtId="0" fontId="27" fillId="0" borderId="0" xfId="0" applyFont="1" applyAlignment="1">
      <alignment horizontal="center" vertical="center" readingOrder="1"/>
    </xf>
    <xf numFmtId="0" fontId="24" fillId="0" borderId="9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6" fillId="0" borderId="0" xfId="0" applyFont="1" applyAlignment="1">
      <alignment horizontal="center"/>
    </xf>
    <xf numFmtId="0" fontId="3" fillId="2" borderId="0" xfId="0" applyFont="1" applyFill="1" applyBorder="1" applyAlignment="1">
      <alignment horizontal="left" vertical="center" indent="2"/>
    </xf>
    <xf numFmtId="0" fontId="3" fillId="7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 indent="2"/>
    </xf>
    <xf numFmtId="0" fontId="2" fillId="3" borderId="0" xfId="0" applyFont="1" applyFill="1" applyBorder="1" applyAlignment="1">
      <alignment horizontal="left" vertical="center" indent="2"/>
    </xf>
    <xf numFmtId="0" fontId="3" fillId="7" borderId="0" xfId="0" applyFont="1" applyFill="1" applyBorder="1" applyAlignment="1">
      <alignment horizontal="left" vertical="center" indent="2"/>
    </xf>
    <xf numFmtId="0" fontId="7" fillId="2" borderId="0" xfId="0" applyFont="1" applyFill="1" applyBorder="1" applyAlignment="1">
      <alignment horizontal="left" vertical="center"/>
    </xf>
    <xf numFmtId="0" fontId="8" fillId="9" borderId="0" xfId="0" applyFont="1" applyFill="1" applyBorder="1" applyAlignment="1">
      <alignment horizontal="left" vertical="center"/>
    </xf>
    <xf numFmtId="0" fontId="18" fillId="11" borderId="0" xfId="0" applyFont="1" applyFill="1" applyAlignment="1">
      <alignment horizontal="center"/>
    </xf>
    <xf numFmtId="0" fontId="22" fillId="12" borderId="0" xfId="0" applyFont="1" applyFill="1" applyBorder="1" applyAlignment="1">
      <alignment horizontal="center" vertical="center"/>
    </xf>
    <xf numFmtId="0" fontId="7" fillId="12" borderId="0" xfId="0" applyFont="1" applyFill="1" applyBorder="1" applyAlignment="1">
      <alignment horizontal="center" vertical="center"/>
    </xf>
    <xf numFmtId="0" fontId="16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27" fillId="0" borderId="0" xfId="0" applyFont="1" applyAlignment="1">
      <alignment horizontal="center" vertical="center" readingOrder="1"/>
    </xf>
    <xf numFmtId="0" fontId="27" fillId="0" borderId="0" xfId="0" applyFont="1" applyAlignment="1">
      <alignment horizontal="center"/>
    </xf>
    <xf numFmtId="0" fontId="35" fillId="19" borderId="0" xfId="0" applyFont="1" applyFill="1" applyAlignment="1">
      <alignment horizontal="center" vertical="center"/>
    </xf>
    <xf numFmtId="0" fontId="28" fillId="18" borderId="0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28" fillId="12" borderId="0" xfId="0" applyFont="1" applyFill="1" applyBorder="1" applyAlignment="1">
      <alignment horizontal="center" vertical="center"/>
    </xf>
    <xf numFmtId="0" fontId="33" fillId="11" borderId="0" xfId="0" applyFont="1" applyFill="1" applyAlignment="1">
      <alignment horizontal="center"/>
    </xf>
    <xf numFmtId="0" fontId="29" fillId="11" borderId="0" xfId="0" applyFont="1" applyFill="1" applyAlignment="1">
      <alignment horizontal="center"/>
    </xf>
    <xf numFmtId="14" fontId="34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0" fontId="32" fillId="12" borderId="0" xfId="0" applyFont="1" applyFill="1" applyAlignment="1">
      <alignment horizontal="center" vertical="center"/>
    </xf>
    <xf numFmtId="9" fontId="32" fillId="12" borderId="0" xfId="1" applyFont="1" applyFill="1" applyAlignment="1">
      <alignment horizontal="center" vertical="center"/>
    </xf>
    <xf numFmtId="9" fontId="31" fillId="0" borderId="0" xfId="1" applyFont="1" applyAlignment="1">
      <alignment horizontal="center"/>
    </xf>
    <xf numFmtId="0" fontId="3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urcentage" xfId="1" builtinId="5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9F9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9F9"/>
          <bgColor rgb="FFF5F5F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0" formatCode="General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9F9"/>
          <bgColor rgb="FFF5F5F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9F9F9"/>
          <bgColor rgb="FFF5F5F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9F9"/>
          <bgColor rgb="FFF5F5F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9F9F9"/>
          <bgColor rgb="FFF5F5F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9F9"/>
          <bgColor rgb="FFF5F5F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9F9F9"/>
          <bgColor rgb="FFF5F5F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9F9"/>
          <bgColor rgb="FFF5F5F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9F9F9"/>
          <bgColor rgb="FFF5F5F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9F9"/>
          <bgColor rgb="FFF5F5F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9F9F9"/>
          <bgColor rgb="FFF5F5F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9F9"/>
          <bgColor rgb="FFF5F5F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" formatCode="0"/>
      <fill>
        <patternFill patternType="solid">
          <fgColor rgb="FFF9F9F9"/>
          <bgColor rgb="FFF5F5F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9F9"/>
          <bgColor rgb="FFF5F5F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9F9F9"/>
          <bgColor rgb="FFF5F5F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9F9"/>
          <bgColor rgb="FFF5F5F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9F9F9"/>
          <bgColor rgb="FFF5F5F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9F9"/>
          <bgColor rgb="FFF5F5F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9F9F9"/>
          <bgColor rgb="FFF5F5F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9F9"/>
          <bgColor rgb="FFF5F5F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9F9F9"/>
          <bgColor rgb="FFF5F5F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9F9"/>
          <bgColor rgb="FFF5F5F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9F9F9"/>
          <bgColor rgb="FFF5F5F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9F9"/>
          <bgColor rgb="FFF5F5F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9" formatCode="dd/mm/yyyy"/>
      <fill>
        <patternFill patternType="solid">
          <fgColor rgb="FFF9F9F9"/>
          <bgColor rgb="FFF5F5F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9F9"/>
          <bgColor rgb="FFF5F5F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9F9F9"/>
          <bgColor rgb="FFF5F5F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2E7D32"/>
          <bgColor rgb="FF1D6F42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1D6F42"/>
      <rgbColor rgb="FFCCCCCC"/>
      <rgbColor rgb="FF808080"/>
      <rgbColor rgb="FF9999FF"/>
      <rgbColor rgb="FFAD1457"/>
      <rgbColor rgb="FFF9F9F9"/>
      <rgbColor rgb="FFF5F5F5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555555"/>
      <rgbColor rgb="FF969696"/>
      <rgbColor rgb="FF1A237E"/>
      <rgbColor rgb="FF2E7D32"/>
      <rgbColor rgb="FF003300"/>
      <rgbColor rgb="FF33330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C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206645838201382"/>
          <c:y val="0.17967149483061651"/>
          <c:w val="0.81326657321481055"/>
          <c:h val="0.57751991268903069"/>
        </c:manualLayout>
      </c:layout>
      <c:lineChart>
        <c:grouping val="standard"/>
        <c:varyColors val="0"/>
        <c:ser>
          <c:idx val="0"/>
          <c:order val="0"/>
          <c:tx>
            <c:strRef>
              <c:f>'📊 Analyse'!$I$17</c:f>
              <c:strCache>
                <c:ptCount val="1"/>
                <c:pt idx="0">
                  <c:v>CA_Net_Total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'📊 Analyse'!$H$18:$H$27</c:f>
              <c:strCache>
                <c:ptCount val="10"/>
                <c:pt idx="0">
                  <c:v>Rokhaya Cissé</c:v>
                </c:pt>
                <c:pt idx="1">
                  <c:v>Cheikh Diop</c:v>
                </c:pt>
                <c:pt idx="2">
                  <c:v>Mariama Traoré</c:v>
                </c:pt>
                <c:pt idx="3">
                  <c:v>Aïssatou Ba</c:v>
                </c:pt>
                <c:pt idx="4">
                  <c:v>Moussa Sow</c:v>
                </c:pt>
                <c:pt idx="5">
                  <c:v>Adja Sarr</c:v>
                </c:pt>
                <c:pt idx="6">
                  <c:v>Amadou Diallo</c:v>
                </c:pt>
                <c:pt idx="7">
                  <c:v>Ousmane Kane</c:v>
                </c:pt>
                <c:pt idx="8">
                  <c:v>Ibrahima Fall</c:v>
                </c:pt>
                <c:pt idx="9">
                  <c:v>Fatou Ndiaye</c:v>
                </c:pt>
              </c:strCache>
            </c:strRef>
          </c:cat>
          <c:val>
            <c:numRef>
              <c:f>'📊 Analyse'!$I$18:$I$27</c:f>
              <c:numCache>
                <c:formatCode>General</c:formatCode>
                <c:ptCount val="10"/>
                <c:pt idx="0">
                  <c:v>145036980</c:v>
                </c:pt>
                <c:pt idx="1">
                  <c:v>114857455</c:v>
                </c:pt>
                <c:pt idx="2">
                  <c:v>113672465</c:v>
                </c:pt>
                <c:pt idx="3">
                  <c:v>112381120</c:v>
                </c:pt>
                <c:pt idx="4">
                  <c:v>111121845</c:v>
                </c:pt>
                <c:pt idx="5">
                  <c:v>110677790</c:v>
                </c:pt>
                <c:pt idx="6">
                  <c:v>108239840</c:v>
                </c:pt>
                <c:pt idx="7">
                  <c:v>108086075</c:v>
                </c:pt>
                <c:pt idx="8">
                  <c:v>108000090</c:v>
                </c:pt>
                <c:pt idx="9">
                  <c:v>107588290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39-4D9F-BF7C-3754CC660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064304"/>
        <c:axId val="1944058064"/>
      </c:lineChart>
      <c:catAx>
        <c:axId val="194406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4058064"/>
        <c:crosses val="autoZero"/>
        <c:auto val="1"/>
        <c:lblAlgn val="ctr"/>
        <c:lblOffset val="100"/>
        <c:noMultiLvlLbl val="0"/>
      </c:catAx>
      <c:valAx>
        <c:axId val="194405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406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[TradeCo_Dataset_Formation.xlsx]📊 TCD!Évolution du CA Net mensuel TradeCo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u="none" strike="noStrike" baseline="0"/>
              <a:t>Évolution du CA Net mensuel TradeCo </a:t>
            </a:r>
          </a:p>
        </c:rich>
      </c:tx>
      <c:layout>
        <c:manualLayout>
          <c:xMode val="edge"/>
          <c:yMode val="edge"/>
          <c:x val="0.11444344600602603"/>
          <c:y val="8.45390784363036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'📊 TCD'!$N$17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'📊 TCD'!$M$18:$M$30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'📊 TCD'!$N$18:$N$30</c:f>
              <c:numCache>
                <c:formatCode>General</c:formatCode>
                <c:ptCount val="12"/>
                <c:pt idx="0">
                  <c:v>78554965</c:v>
                </c:pt>
                <c:pt idx="1">
                  <c:v>78748575</c:v>
                </c:pt>
                <c:pt idx="2">
                  <c:v>121384040</c:v>
                </c:pt>
                <c:pt idx="3">
                  <c:v>77021470</c:v>
                </c:pt>
                <c:pt idx="4">
                  <c:v>108799130</c:v>
                </c:pt>
                <c:pt idx="5">
                  <c:v>81704725</c:v>
                </c:pt>
                <c:pt idx="6">
                  <c:v>96210585</c:v>
                </c:pt>
                <c:pt idx="7">
                  <c:v>66238655</c:v>
                </c:pt>
                <c:pt idx="8">
                  <c:v>106010820</c:v>
                </c:pt>
                <c:pt idx="9">
                  <c:v>133870590</c:v>
                </c:pt>
                <c:pt idx="10">
                  <c:v>95173780</c:v>
                </c:pt>
                <c:pt idx="11">
                  <c:v>95944615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50-4AD9-82FB-8AC855936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1137871"/>
        <c:axId val="1951138351"/>
      </c:lineChart>
      <c:catAx>
        <c:axId val="195113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1138351"/>
        <c:crosses val="autoZero"/>
        <c:auto val="1"/>
        <c:lblAlgn val="ctr"/>
        <c:lblOffset val="100"/>
        <c:noMultiLvlLbl val="0"/>
      </c:catAx>
      <c:valAx>
        <c:axId val="1951138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113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[TradeCo_Dataset_Formation.xlsx]📊 TCD!'Classement des vendeurs par CA Net'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u="none" strike="noStrike" baseline="0">
                <a:solidFill>
                  <a:schemeClr val="tx1"/>
                </a:solidFill>
              </a:rPr>
              <a:t>Classement des vendeurs par CA Net 	</a:t>
            </a:r>
          </a:p>
        </c:rich>
      </c:tx>
      <c:layout>
        <c:manualLayout>
          <c:xMode val="edge"/>
          <c:yMode val="edge"/>
          <c:x val="0.1595057387893154"/>
          <c:y val="3.15623525918247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TCD'!$F$3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TCD'!$E$4:$E$14</c:f>
              <c:strCache>
                <c:ptCount val="10"/>
                <c:pt idx="0">
                  <c:v>Rokhaya Cissé</c:v>
                </c:pt>
                <c:pt idx="1">
                  <c:v>Cheikh Diop</c:v>
                </c:pt>
                <c:pt idx="2">
                  <c:v>Mariama Traoré</c:v>
                </c:pt>
                <c:pt idx="3">
                  <c:v>Aïssatou Ba</c:v>
                </c:pt>
                <c:pt idx="4">
                  <c:v>Moussa Sow</c:v>
                </c:pt>
                <c:pt idx="5">
                  <c:v>Adja Sarr</c:v>
                </c:pt>
                <c:pt idx="6">
                  <c:v>Amadou Diallo</c:v>
                </c:pt>
                <c:pt idx="7">
                  <c:v>Ousmane Kane</c:v>
                </c:pt>
                <c:pt idx="8">
                  <c:v>Ibrahima Fall</c:v>
                </c:pt>
                <c:pt idx="9">
                  <c:v>Fatou Ndiaye</c:v>
                </c:pt>
              </c:strCache>
            </c:strRef>
          </c:cat>
          <c:val>
            <c:numRef>
              <c:f>'📊 TCD'!$F$4:$F$14</c:f>
              <c:numCache>
                <c:formatCode>General</c:formatCode>
                <c:ptCount val="10"/>
                <c:pt idx="0">
                  <c:v>145036980</c:v>
                </c:pt>
                <c:pt idx="1">
                  <c:v>114857455</c:v>
                </c:pt>
                <c:pt idx="2">
                  <c:v>113672465</c:v>
                </c:pt>
                <c:pt idx="3">
                  <c:v>112381120</c:v>
                </c:pt>
                <c:pt idx="4">
                  <c:v>111121845</c:v>
                </c:pt>
                <c:pt idx="5">
                  <c:v>110677790</c:v>
                </c:pt>
                <c:pt idx="6">
                  <c:v>108239840</c:v>
                </c:pt>
                <c:pt idx="7">
                  <c:v>108086075</c:v>
                </c:pt>
                <c:pt idx="8">
                  <c:v>108000090</c:v>
                </c:pt>
                <c:pt idx="9">
                  <c:v>107588290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5-4422-A4BE-3B593D08C9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07170239"/>
        <c:axId val="2107190879"/>
      </c:barChart>
      <c:catAx>
        <c:axId val="21071702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7190879"/>
        <c:crosses val="autoZero"/>
        <c:auto val="1"/>
        <c:lblAlgn val="ctr"/>
        <c:lblOffset val="100"/>
        <c:noMultiLvlLbl val="0"/>
      </c:catAx>
      <c:valAx>
        <c:axId val="2107190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717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[TradeCo_Dataset_Formation.xlsx]📊 TCD!Tableau croisé dynamique12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u="none" strike="noStrike" baseline="0">
                <a:solidFill>
                  <a:schemeClr val="tx1"/>
                </a:solidFill>
              </a:rPr>
              <a:t>Part de CA par catégorie de produit 	</a:t>
            </a:r>
          </a:p>
        </c:rich>
      </c:tx>
      <c:layout>
        <c:manualLayout>
          <c:xMode val="edge"/>
          <c:yMode val="edge"/>
          <c:x val="0.18903702973051437"/>
          <c:y val="3.62342901090619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Candara" panose="020E0502030303020204" pitchFamily="34" charset="0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855355263546844"/>
          <c:y val="0.3145214393401915"/>
          <c:w val="0.43002744212432897"/>
          <c:h val="0.58862794874068813"/>
        </c:manualLayout>
      </c:layout>
      <c:pieChart>
        <c:varyColors val="1"/>
        <c:ser>
          <c:idx val="0"/>
          <c:order val="0"/>
          <c:tx>
            <c:strRef>
              <c:f>'📊 TCD'!$B$17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0A-4BF3-BF38-9253A71251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0A-4BF3-BF38-9253A71251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0A-4BF3-BF38-9253A71251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0A-4BF3-BF38-9253A71251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E0A-4BF3-BF38-9253A71251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Candara" panose="020E0502030303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'📊 TCD'!$A$18:$A$23</c:f>
              <c:strCache>
                <c:ptCount val="5"/>
                <c:pt idx="0">
                  <c:v>Alimentation</c:v>
                </c:pt>
                <c:pt idx="1">
                  <c:v>Cosmétique</c:v>
                </c:pt>
                <c:pt idx="2">
                  <c:v>Habillement</c:v>
                </c:pt>
                <c:pt idx="3">
                  <c:v>Électronique</c:v>
                </c:pt>
                <c:pt idx="4">
                  <c:v>Mobilier</c:v>
                </c:pt>
              </c:strCache>
            </c:strRef>
          </c:cat>
          <c:val>
            <c:numRef>
              <c:f>'📊 TCD'!$B$18:$B$23</c:f>
              <c:numCache>
                <c:formatCode>General</c:formatCode>
                <c:ptCount val="5"/>
                <c:pt idx="0">
                  <c:v>61509630</c:v>
                </c:pt>
                <c:pt idx="1">
                  <c:v>84003965</c:v>
                </c:pt>
                <c:pt idx="2">
                  <c:v>161036695</c:v>
                </c:pt>
                <c:pt idx="3">
                  <c:v>323926160</c:v>
                </c:pt>
                <c:pt idx="4">
                  <c:v>509185500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0A-4BF3-BF38-9253A712510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[TradeCo_Dataset_Formation.xlsx]📊 TCD!Tableau croisé dynamique13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u="none" strike="noStrike" baseline="0">
                <a:solidFill>
                  <a:schemeClr val="tx1"/>
                </a:solidFill>
              </a:rPr>
              <a:t>CA Net par Région et Statut de commande</a:t>
            </a:r>
          </a:p>
        </c:rich>
      </c:tx>
      <c:layout>
        <c:manualLayout>
          <c:xMode val="edge"/>
          <c:yMode val="edge"/>
          <c:x val="0.15585029386705324"/>
          <c:y val="7.48175900862538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02865673211997"/>
          <c:y val="0.33644654771028293"/>
          <c:w val="0.51743058351339744"/>
          <c:h val="0.6098640523636088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'📊 TCD'!$C$30</c:f>
              <c:strCache>
                <c:ptCount val="1"/>
                <c:pt idx="0">
                  <c:v>Somme de CA_Net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'📊 TCD'!$A$31:$A$37</c:f>
              <c:strCache>
                <c:ptCount val="6"/>
                <c:pt idx="0">
                  <c:v>Dakar</c:v>
                </c:pt>
                <c:pt idx="1">
                  <c:v>Kaolack</c:v>
                </c:pt>
                <c:pt idx="2">
                  <c:v>Non Renseigne</c:v>
                </c:pt>
                <c:pt idx="3">
                  <c:v>Saint-Louis</c:v>
                </c:pt>
                <c:pt idx="4">
                  <c:v>Thiès</c:v>
                </c:pt>
                <c:pt idx="5">
                  <c:v>Ziguinchor</c:v>
                </c:pt>
              </c:strCache>
            </c:strRef>
          </c:cat>
          <c:val>
            <c:numRef>
              <c:f>'📊 TCD'!$C$31:$C$37</c:f>
              <c:numCache>
                <c:formatCode>General</c:formatCode>
                <c:ptCount val="6"/>
                <c:pt idx="0">
                  <c:v>262620540</c:v>
                </c:pt>
                <c:pt idx="1">
                  <c:v>237491675</c:v>
                </c:pt>
                <c:pt idx="2">
                  <c:v>34223660</c:v>
                </c:pt>
                <c:pt idx="3">
                  <c:v>211356405</c:v>
                </c:pt>
                <c:pt idx="4">
                  <c:v>202374380</c:v>
                </c:pt>
                <c:pt idx="5">
                  <c:v>191595290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2-4E03-B8A6-720395D3D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07174559"/>
        <c:axId val="2107188479"/>
      </c:barChart>
      <c:lineChart>
        <c:grouping val="standard"/>
        <c:varyColors val="0"/>
        <c:ser>
          <c:idx val="0"/>
          <c:order val="0"/>
          <c:tx>
            <c:strRef>
              <c:f>'📊 TCD'!$B$30</c:f>
              <c:strCache>
                <c:ptCount val="1"/>
                <c:pt idx="0">
                  <c:v>Nombre de Statut_Commande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'📊 TCD'!$A$31:$A$37</c:f>
              <c:strCache>
                <c:ptCount val="6"/>
                <c:pt idx="0">
                  <c:v>Dakar</c:v>
                </c:pt>
                <c:pt idx="1">
                  <c:v>Kaolack</c:v>
                </c:pt>
                <c:pt idx="2">
                  <c:v>Non Renseigne</c:v>
                </c:pt>
                <c:pt idx="3">
                  <c:v>Saint-Louis</c:v>
                </c:pt>
                <c:pt idx="4">
                  <c:v>Thiès</c:v>
                </c:pt>
                <c:pt idx="5">
                  <c:v>Ziguinchor</c:v>
                </c:pt>
              </c:strCache>
            </c:strRef>
          </c:cat>
          <c:val>
            <c:numRef>
              <c:f>'📊 TCD'!$B$31:$B$37</c:f>
              <c:numCache>
                <c:formatCode>General</c:formatCode>
                <c:ptCount val="6"/>
                <c:pt idx="0">
                  <c:v>371</c:v>
                </c:pt>
                <c:pt idx="1">
                  <c:v>386</c:v>
                </c:pt>
                <c:pt idx="2">
                  <c:v>47</c:v>
                </c:pt>
                <c:pt idx="3">
                  <c:v>410</c:v>
                </c:pt>
                <c:pt idx="4">
                  <c:v>411</c:v>
                </c:pt>
                <c:pt idx="5">
                  <c:v>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22-4E03-B8A6-720395D3D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458000"/>
        <c:axId val="550463280"/>
      </c:lineChart>
      <c:valAx>
        <c:axId val="2107188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7174559"/>
        <c:crosses val="autoZero"/>
        <c:crossBetween val="between"/>
      </c:valAx>
      <c:catAx>
        <c:axId val="210717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7188479"/>
        <c:crosses val="autoZero"/>
        <c:auto val="1"/>
        <c:lblAlgn val="ctr"/>
        <c:lblOffset val="100"/>
        <c:noMultiLvlLbl val="0"/>
      </c:catAx>
      <c:valAx>
        <c:axId val="5504632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0458000"/>
        <c:crosses val="max"/>
        <c:crossBetween val="between"/>
      </c:valAx>
      <c:catAx>
        <c:axId val="550458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0463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757795287720331"/>
          <c:y val="0.43934882440009621"/>
          <c:w val="0.24222631660766961"/>
          <c:h val="0.126402725242717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[TradeCo_Dataset_Formation.xlsx]📊 TCD!Tableau croisé dynamique14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u="none" strike="noStrike" baseline="0">
                <a:solidFill>
                  <a:schemeClr val="tx1"/>
                </a:solidFill>
              </a:rPr>
              <a:t>CA Net et volume de commandes par Région </a:t>
            </a:r>
          </a:p>
        </c:rich>
      </c:tx>
      <c:layout>
        <c:manualLayout>
          <c:xMode val="edge"/>
          <c:yMode val="edge"/>
          <c:x val="0.19706498049876536"/>
          <c:y val="2.030650907883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913210195896963"/>
          <c:y val="0.28387657013196149"/>
          <c:w val="0.59256596345886337"/>
          <c:h val="0.6039406548438115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'📊 TCD'!$F$19</c:f>
              <c:strCache>
                <c:ptCount val="1"/>
                <c:pt idx="0">
                  <c:v>Somme de CA_Net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'📊 TCD'!$E$20:$E$26</c:f>
              <c:strCache>
                <c:ptCount val="6"/>
                <c:pt idx="0">
                  <c:v>Dakar</c:v>
                </c:pt>
                <c:pt idx="1">
                  <c:v>Kaolack</c:v>
                </c:pt>
                <c:pt idx="2">
                  <c:v>Non Renseigne</c:v>
                </c:pt>
                <c:pt idx="3">
                  <c:v>Saint-Louis</c:v>
                </c:pt>
                <c:pt idx="4">
                  <c:v>Thiès</c:v>
                </c:pt>
                <c:pt idx="5">
                  <c:v>Ziguinchor</c:v>
                </c:pt>
              </c:strCache>
            </c:strRef>
          </c:cat>
          <c:val>
            <c:numRef>
              <c:f>'📊 TCD'!$F$20:$F$26</c:f>
              <c:numCache>
                <c:formatCode>General</c:formatCode>
                <c:ptCount val="6"/>
                <c:pt idx="0">
                  <c:v>262620540</c:v>
                </c:pt>
                <c:pt idx="1">
                  <c:v>237491675</c:v>
                </c:pt>
                <c:pt idx="2">
                  <c:v>34223660</c:v>
                </c:pt>
                <c:pt idx="3">
                  <c:v>211356405</c:v>
                </c:pt>
                <c:pt idx="4">
                  <c:v>202374380</c:v>
                </c:pt>
                <c:pt idx="5">
                  <c:v>191595290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6-4678-949E-A7FFF0484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07177439"/>
        <c:axId val="2107179359"/>
      </c:barChart>
      <c:lineChart>
        <c:grouping val="standard"/>
        <c:varyColors val="0"/>
        <c:ser>
          <c:idx val="1"/>
          <c:order val="1"/>
          <c:tx>
            <c:strRef>
              <c:f>'📊 TCD'!$G$19</c:f>
              <c:strCache>
                <c:ptCount val="1"/>
                <c:pt idx="0">
                  <c:v>Nombre de ID_Commande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'📊 TCD'!$E$20:$E$26</c:f>
              <c:strCache>
                <c:ptCount val="6"/>
                <c:pt idx="0">
                  <c:v>Dakar</c:v>
                </c:pt>
                <c:pt idx="1">
                  <c:v>Kaolack</c:v>
                </c:pt>
                <c:pt idx="2">
                  <c:v>Non Renseigne</c:v>
                </c:pt>
                <c:pt idx="3">
                  <c:v>Saint-Louis</c:v>
                </c:pt>
                <c:pt idx="4">
                  <c:v>Thiès</c:v>
                </c:pt>
                <c:pt idx="5">
                  <c:v>Ziguinchor</c:v>
                </c:pt>
              </c:strCache>
            </c:strRef>
          </c:cat>
          <c:val>
            <c:numRef>
              <c:f>'📊 TCD'!$G$20:$G$26</c:f>
              <c:numCache>
                <c:formatCode>General</c:formatCode>
                <c:ptCount val="6"/>
                <c:pt idx="0">
                  <c:v>371</c:v>
                </c:pt>
                <c:pt idx="1">
                  <c:v>386</c:v>
                </c:pt>
                <c:pt idx="2">
                  <c:v>47</c:v>
                </c:pt>
                <c:pt idx="3">
                  <c:v>410</c:v>
                </c:pt>
                <c:pt idx="4">
                  <c:v>411</c:v>
                </c:pt>
                <c:pt idx="5">
                  <c:v>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56-4678-949E-A7FFF0484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1526607"/>
        <c:axId val="1991517007"/>
      </c:lineChart>
      <c:catAx>
        <c:axId val="2107177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7179359"/>
        <c:crosses val="autoZero"/>
        <c:auto val="1"/>
        <c:lblAlgn val="ctr"/>
        <c:lblOffset val="100"/>
        <c:noMultiLvlLbl val="0"/>
      </c:catAx>
      <c:valAx>
        <c:axId val="210717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7177439"/>
        <c:crosses val="autoZero"/>
        <c:crossBetween val="between"/>
      </c:valAx>
      <c:valAx>
        <c:axId val="19915170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1526607"/>
        <c:crosses val="max"/>
        <c:crossBetween val="between"/>
      </c:valAx>
      <c:catAx>
        <c:axId val="19915266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15170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[TradeCo_Dataset_Formation.xlsx]📊 TCD!Tableau croisé dynamique7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 sz="1800" b="0">
                <a:solidFill>
                  <a:schemeClr val="tx1"/>
                </a:solidFill>
              </a:rPr>
              <a:t>Nonbre</a:t>
            </a:r>
            <a:r>
              <a:rPr lang="fr-FR" sz="1800" b="0" baseline="0">
                <a:solidFill>
                  <a:schemeClr val="tx1"/>
                </a:solidFill>
              </a:rPr>
              <a:t> de commande par année</a:t>
            </a:r>
          </a:p>
        </c:rich>
      </c:tx>
      <c:layout>
        <c:manualLayout>
          <c:xMode val="edge"/>
          <c:yMode val="edge"/>
          <c:x val="0.27354783766423679"/>
          <c:y val="3.5461890653439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16392032251144"/>
          <c:y val="0.29717512627969855"/>
          <c:w val="0.8148472473150874"/>
          <c:h val="0.391033781300428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'📊 TCD'!$S$18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'📊 TCD'!$R$19:$R$21</c:f>
              <c:strCache>
                <c:ptCount val="2"/>
                <c:pt idx="0">
                  <c:v>2024</c:v>
                </c:pt>
                <c:pt idx="1">
                  <c:v>2023</c:v>
                </c:pt>
              </c:strCache>
            </c:strRef>
          </c:cat>
          <c:val>
            <c:numRef>
              <c:f>'📊 TCD'!$S$19:$S$21</c:f>
              <c:numCache>
                <c:formatCode>General</c:formatCode>
                <c:ptCount val="2"/>
                <c:pt idx="0">
                  <c:v>1039</c:v>
                </c:pt>
                <c:pt idx="1">
                  <c:v>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9-4EC0-9402-686F1AA9A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5368320"/>
        <c:axId val="1965347200"/>
      </c:barChart>
      <c:catAx>
        <c:axId val="1965368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5347200"/>
        <c:crosses val="autoZero"/>
        <c:auto val="1"/>
        <c:lblAlgn val="ctr"/>
        <c:lblOffset val="100"/>
        <c:noMultiLvlLbl val="0"/>
      </c:catAx>
      <c:valAx>
        <c:axId val="196534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53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'📊 TCD'!$AI$15:$AO$15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61-4637-ADDA-BA023019368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'📊 TCD'!$AI$16:$AO$16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15000</c:v>
                </c:pt>
                <c:pt idx="3">
                  <c:v>8000</c:v>
                </c:pt>
                <c:pt idx="4">
                  <c:v>9000</c:v>
                </c:pt>
                <c:pt idx="5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61-4637-ADDA-BA0230193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527087"/>
        <c:axId val="1991524687"/>
      </c:lineChart>
      <c:catAx>
        <c:axId val="1991527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1524687"/>
        <c:crosses val="autoZero"/>
        <c:auto val="1"/>
        <c:lblAlgn val="ctr"/>
        <c:lblOffset val="100"/>
        <c:noMultiLvlLbl val="0"/>
      </c:catAx>
      <c:valAx>
        <c:axId val="199152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152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[TradeCo_Dataset_Formation.xlsx]📊 TCD!Évolution du CA Net mensuel TradeCo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u="none" strike="noStrike" baseline="0"/>
              <a:t>Évolution du CA Net mensuel TradeCo </a:t>
            </a:r>
          </a:p>
        </c:rich>
      </c:tx>
      <c:layout>
        <c:manualLayout>
          <c:xMode val="edge"/>
          <c:yMode val="edge"/>
          <c:x val="0.11444344600602603"/>
          <c:y val="8.45390784363036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532698178852513"/>
          <c:y val="0.33542921454848157"/>
          <c:w val="0.8739427488426218"/>
          <c:h val="0.46082410537141111"/>
        </c:manualLayout>
      </c:layout>
      <c:lineChart>
        <c:grouping val="standard"/>
        <c:varyColors val="0"/>
        <c:ser>
          <c:idx val="0"/>
          <c:order val="0"/>
          <c:tx>
            <c:strRef>
              <c:f>'📊 TCD'!$N$17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'📊 TCD'!$M$18:$M$30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'📊 TCD'!$N$18:$N$30</c:f>
              <c:numCache>
                <c:formatCode>General</c:formatCode>
                <c:ptCount val="12"/>
                <c:pt idx="0">
                  <c:v>78554965</c:v>
                </c:pt>
                <c:pt idx="1">
                  <c:v>78748575</c:v>
                </c:pt>
                <c:pt idx="2">
                  <c:v>121384040</c:v>
                </c:pt>
                <c:pt idx="3">
                  <c:v>77021470</c:v>
                </c:pt>
                <c:pt idx="4">
                  <c:v>108799130</c:v>
                </c:pt>
                <c:pt idx="5">
                  <c:v>81704725</c:v>
                </c:pt>
                <c:pt idx="6">
                  <c:v>96210585</c:v>
                </c:pt>
                <c:pt idx="7">
                  <c:v>66238655</c:v>
                </c:pt>
                <c:pt idx="8">
                  <c:v>106010820</c:v>
                </c:pt>
                <c:pt idx="9">
                  <c:v>133870590</c:v>
                </c:pt>
                <c:pt idx="10">
                  <c:v>95173780</c:v>
                </c:pt>
                <c:pt idx="11">
                  <c:v>95944615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79-4EFC-B333-C9F7284B6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1137871"/>
        <c:axId val="1951138351"/>
      </c:lineChart>
      <c:catAx>
        <c:axId val="195113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1138351"/>
        <c:crosses val="autoZero"/>
        <c:auto val="1"/>
        <c:lblAlgn val="ctr"/>
        <c:lblOffset val="100"/>
        <c:noMultiLvlLbl val="0"/>
      </c:catAx>
      <c:valAx>
        <c:axId val="1951138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113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[TradeCo_Dataset_Formation.xlsx]📊 TCD!'Classement des vendeurs par CA Net'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u="none" strike="noStrike" baseline="0">
                <a:solidFill>
                  <a:schemeClr val="tx1"/>
                </a:solidFill>
              </a:rPr>
              <a:t>Classement des vendeurs par CA Net 	</a:t>
            </a:r>
          </a:p>
        </c:rich>
      </c:tx>
      <c:layout>
        <c:manualLayout>
          <c:xMode val="edge"/>
          <c:yMode val="edge"/>
          <c:x val="0.1595057387893154"/>
          <c:y val="3.15623525918247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TCD'!$F$3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TCD'!$E$4:$E$14</c:f>
              <c:strCache>
                <c:ptCount val="10"/>
                <c:pt idx="0">
                  <c:v>Rokhaya Cissé</c:v>
                </c:pt>
                <c:pt idx="1">
                  <c:v>Cheikh Diop</c:v>
                </c:pt>
                <c:pt idx="2">
                  <c:v>Mariama Traoré</c:v>
                </c:pt>
                <c:pt idx="3">
                  <c:v>Aïssatou Ba</c:v>
                </c:pt>
                <c:pt idx="4">
                  <c:v>Moussa Sow</c:v>
                </c:pt>
                <c:pt idx="5">
                  <c:v>Adja Sarr</c:v>
                </c:pt>
                <c:pt idx="6">
                  <c:v>Amadou Diallo</c:v>
                </c:pt>
                <c:pt idx="7">
                  <c:v>Ousmane Kane</c:v>
                </c:pt>
                <c:pt idx="8">
                  <c:v>Ibrahima Fall</c:v>
                </c:pt>
                <c:pt idx="9">
                  <c:v>Fatou Ndiaye</c:v>
                </c:pt>
              </c:strCache>
            </c:strRef>
          </c:cat>
          <c:val>
            <c:numRef>
              <c:f>'📊 TCD'!$F$4:$F$14</c:f>
              <c:numCache>
                <c:formatCode>General</c:formatCode>
                <c:ptCount val="10"/>
                <c:pt idx="0">
                  <c:v>145036980</c:v>
                </c:pt>
                <c:pt idx="1">
                  <c:v>114857455</c:v>
                </c:pt>
                <c:pt idx="2">
                  <c:v>113672465</c:v>
                </c:pt>
                <c:pt idx="3">
                  <c:v>112381120</c:v>
                </c:pt>
                <c:pt idx="4">
                  <c:v>111121845</c:v>
                </c:pt>
                <c:pt idx="5">
                  <c:v>110677790</c:v>
                </c:pt>
                <c:pt idx="6">
                  <c:v>108239840</c:v>
                </c:pt>
                <c:pt idx="7">
                  <c:v>108086075</c:v>
                </c:pt>
                <c:pt idx="8">
                  <c:v>108000090</c:v>
                </c:pt>
                <c:pt idx="9">
                  <c:v>107588290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C-4643-B711-1B9B03E3FD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07170239"/>
        <c:axId val="2107190879"/>
      </c:barChart>
      <c:catAx>
        <c:axId val="21071702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7190879"/>
        <c:crosses val="autoZero"/>
        <c:auto val="1"/>
        <c:lblAlgn val="ctr"/>
        <c:lblOffset val="100"/>
        <c:noMultiLvlLbl val="0"/>
      </c:catAx>
      <c:valAx>
        <c:axId val="2107190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717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[TradeCo_Dataset_Formation.xlsx]📊 TCD!Tableau croisé dynamique12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u="none" strike="noStrike" baseline="0">
                <a:solidFill>
                  <a:schemeClr val="tx1"/>
                </a:solidFill>
              </a:rPr>
              <a:t>Part de CA par catégorie de produit 	</a:t>
            </a:r>
          </a:p>
        </c:rich>
      </c:tx>
      <c:layout>
        <c:manualLayout>
          <c:xMode val="edge"/>
          <c:yMode val="edge"/>
          <c:x val="0.18903702973051437"/>
          <c:y val="3.62342901090619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Candara" panose="020E0502030303020204" pitchFamily="34" charset="0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Candara" panose="020E0502030303020204" pitchFamily="34" charset="0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Candara" panose="020E0502030303020204" pitchFamily="34" charset="0"/>
                  <a:ea typeface="+mn-ea"/>
                  <a:cs typeface="+mn-cs"/>
                </a:defRPr>
              </a:pPr>
              <a:endParaRPr lang="fr-F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855355263546844"/>
          <c:y val="0.3145214393401915"/>
          <c:w val="0.43002744212432897"/>
          <c:h val="0.58862794874068813"/>
        </c:manualLayout>
      </c:layout>
      <c:pieChart>
        <c:varyColors val="1"/>
        <c:ser>
          <c:idx val="0"/>
          <c:order val="0"/>
          <c:tx>
            <c:strRef>
              <c:f>'📊 TCD'!$B$17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71-4768-89A6-DCB758804D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71-4768-89A6-DCB758804D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71-4768-89A6-DCB758804D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71-4768-89A6-DCB758804D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C71-4768-89A6-DCB758804D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Candara" panose="020E0502030303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'📊 TCD'!$A$18:$A$23</c:f>
              <c:strCache>
                <c:ptCount val="5"/>
                <c:pt idx="0">
                  <c:v>Alimentation</c:v>
                </c:pt>
                <c:pt idx="1">
                  <c:v>Cosmétique</c:v>
                </c:pt>
                <c:pt idx="2">
                  <c:v>Habillement</c:v>
                </c:pt>
                <c:pt idx="3">
                  <c:v>Électronique</c:v>
                </c:pt>
                <c:pt idx="4">
                  <c:v>Mobilier</c:v>
                </c:pt>
              </c:strCache>
            </c:strRef>
          </c:cat>
          <c:val>
            <c:numRef>
              <c:f>'📊 TCD'!$B$18:$B$23</c:f>
              <c:numCache>
                <c:formatCode>General</c:formatCode>
                <c:ptCount val="5"/>
                <c:pt idx="0">
                  <c:v>61509630</c:v>
                </c:pt>
                <c:pt idx="1">
                  <c:v>84003965</c:v>
                </c:pt>
                <c:pt idx="2">
                  <c:v>161036695</c:v>
                </c:pt>
                <c:pt idx="3">
                  <c:v>323926160</c:v>
                </c:pt>
                <c:pt idx="4">
                  <c:v>509185500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71-4768-89A6-DCB758804DA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107674</xdr:colOff>
      <xdr:row>16</xdr:row>
      <xdr:rowOff>7662</xdr:rowOff>
    </xdr:from>
    <xdr:to>
      <xdr:col>6</xdr:col>
      <xdr:colOff>225701</xdr:colOff>
      <xdr:row>30</xdr:row>
      <xdr:rowOff>83862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1B9BCAE-80B9-52E9-BABA-34288284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185478</xdr:colOff>
      <xdr:row>6</xdr:row>
      <xdr:rowOff>20213</xdr:rowOff>
    </xdr:from>
    <xdr:to>
      <xdr:col>4</xdr:col>
      <xdr:colOff>313481</xdr:colOff>
      <xdr:row>30</xdr:row>
      <xdr:rowOff>42649</xdr:rowOff>
    </xdr:to>
    <xdr:graphicFrame macro="">
      <xdr:nvGraphicFramePr>
        <xdr:cNvPr id="3" name="Évolution du CA Net mensuel TradeCo  ">
          <a:extLst>
            <a:ext uri="{FF2B5EF4-FFF2-40B4-BE49-F238E27FC236}">
              <a16:creationId xmlns:a16="http://schemas.microsoft.com/office/drawing/2014/main" id="{08B2CF93-ECA9-4BC2-AAEC-74488C864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496195</xdr:colOff>
      <xdr:row>7</xdr:row>
      <xdr:rowOff>143447</xdr:rowOff>
    </xdr:from>
    <xdr:to>
      <xdr:col>23</xdr:col>
      <xdr:colOff>74064</xdr:colOff>
      <xdr:row>30</xdr:row>
      <xdr:rowOff>32735</xdr:rowOff>
    </xdr:to>
    <xdr:graphicFrame macro="">
      <xdr:nvGraphicFramePr>
        <xdr:cNvPr id="4" name="'Classement des vendeurs par CA Net">
          <a:extLst>
            <a:ext uri="{FF2B5EF4-FFF2-40B4-BE49-F238E27FC236}">
              <a16:creationId xmlns:a16="http://schemas.microsoft.com/office/drawing/2014/main" id="{70D81174-CE43-4C6A-9015-ACF7FDA8F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348792</xdr:colOff>
      <xdr:row>7</xdr:row>
      <xdr:rowOff>30193</xdr:rowOff>
    </xdr:from>
    <xdr:to>
      <xdr:col>37</xdr:col>
      <xdr:colOff>142629</xdr:colOff>
      <xdr:row>34</xdr:row>
      <xdr:rowOff>12957</xdr:rowOff>
    </xdr:to>
    <xdr:graphicFrame macro="">
      <xdr:nvGraphicFramePr>
        <xdr:cNvPr id="5" name=" 'Part de CA par catégorie de produit">
          <a:extLst>
            <a:ext uri="{FF2B5EF4-FFF2-40B4-BE49-F238E27FC236}">
              <a16:creationId xmlns:a16="http://schemas.microsoft.com/office/drawing/2014/main" id="{3976A5CF-7ED8-49AA-A895-248476B89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423320</xdr:colOff>
      <xdr:row>5</xdr:row>
      <xdr:rowOff>14566</xdr:rowOff>
    </xdr:from>
    <xdr:to>
      <xdr:col>58</xdr:col>
      <xdr:colOff>167105</xdr:colOff>
      <xdr:row>32</xdr:row>
      <xdr:rowOff>33421</xdr:rowOff>
    </xdr:to>
    <xdr:graphicFrame macro="">
      <xdr:nvGraphicFramePr>
        <xdr:cNvPr id="6" name="CA Net par Région et Statut de commande">
          <a:extLst>
            <a:ext uri="{FF2B5EF4-FFF2-40B4-BE49-F238E27FC236}">
              <a16:creationId xmlns:a16="http://schemas.microsoft.com/office/drawing/2014/main" id="{6AC1AEDC-066E-4B81-8E75-89503A9C9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62</xdr:col>
      <xdr:colOff>521398</xdr:colOff>
      <xdr:row>4</xdr:row>
      <xdr:rowOff>88019</xdr:rowOff>
    </xdr:from>
    <xdr:to>
      <xdr:col>82</xdr:col>
      <xdr:colOff>66312</xdr:colOff>
      <xdr:row>32</xdr:row>
      <xdr:rowOff>140377</xdr:rowOff>
    </xdr:to>
    <xdr:graphicFrame macro="">
      <xdr:nvGraphicFramePr>
        <xdr:cNvPr id="7" name="CA Net et volume de commandes par Région">
          <a:extLst>
            <a:ext uri="{FF2B5EF4-FFF2-40B4-BE49-F238E27FC236}">
              <a16:creationId xmlns:a16="http://schemas.microsoft.com/office/drawing/2014/main" id="{7C359FA4-0A0E-4B53-9A0A-B3FC412CD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91</xdr:col>
      <xdr:colOff>104206</xdr:colOff>
      <xdr:row>7</xdr:row>
      <xdr:rowOff>128322</xdr:rowOff>
    </xdr:from>
    <xdr:to>
      <xdr:col>104</xdr:col>
      <xdr:colOff>562370</xdr:colOff>
      <xdr:row>27</xdr:row>
      <xdr:rowOff>164492</xdr:rowOff>
    </xdr:to>
    <xdr:graphicFrame macro="">
      <xdr:nvGraphicFramePr>
        <xdr:cNvPr id="8" name="Evolution du nombre de commande par produit entre 2023 et 2024">
          <a:extLst>
            <a:ext uri="{FF2B5EF4-FFF2-40B4-BE49-F238E27FC236}">
              <a16:creationId xmlns:a16="http://schemas.microsoft.com/office/drawing/2014/main" id="{6BF54755-E4AB-40F6-B86A-FEA96C9C9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307432</xdr:colOff>
      <xdr:row>30</xdr:row>
      <xdr:rowOff>203702</xdr:rowOff>
    </xdr:from>
    <xdr:to>
      <xdr:col>5</xdr:col>
      <xdr:colOff>1090480</xdr:colOff>
      <xdr:row>44</xdr:row>
      <xdr:rowOff>39659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égion">
              <a:extLst>
                <a:ext uri="{FF2B5EF4-FFF2-40B4-BE49-F238E27FC236}">
                  <a16:creationId xmlns:a16="http://schemas.microsoft.com/office/drawing/2014/main" id="{6C106996-FAE6-59F3-A6C2-274467B5D0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é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0891" y="6261472"/>
              <a:ext cx="1787740" cy="2585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698750</xdr:colOff>
      <xdr:row>30</xdr:row>
      <xdr:rowOff>84479</xdr:rowOff>
    </xdr:from>
    <xdr:to>
      <xdr:col>9</xdr:col>
      <xdr:colOff>302016</xdr:colOff>
      <xdr:row>43</xdr:row>
      <xdr:rowOff>129888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tégorie">
              <a:extLst>
                <a:ext uri="{FF2B5EF4-FFF2-40B4-BE49-F238E27FC236}">
                  <a16:creationId xmlns:a16="http://schemas.microsoft.com/office/drawing/2014/main" id="{13B6203A-C7CD-00FC-06CF-881088F303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égori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49846" y="6151774"/>
              <a:ext cx="1886656" cy="25897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357251</xdr:colOff>
      <xdr:row>30</xdr:row>
      <xdr:rowOff>200861</xdr:rowOff>
    </xdr:from>
    <xdr:to>
      <xdr:col>7</xdr:col>
      <xdr:colOff>476851</xdr:colOff>
      <xdr:row>44</xdr:row>
      <xdr:rowOff>36818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tatut_Commande">
              <a:extLst>
                <a:ext uri="{FF2B5EF4-FFF2-40B4-BE49-F238E27FC236}">
                  <a16:creationId xmlns:a16="http://schemas.microsoft.com/office/drawing/2014/main" id="{FC61A455-E541-5EAD-CD2B-1A1B4E919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t_Comman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77148" y="6258631"/>
              <a:ext cx="1828881" cy="2585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96257</xdr:colOff>
      <xdr:row>15</xdr:row>
      <xdr:rowOff>170319</xdr:rowOff>
    </xdr:from>
    <xdr:to>
      <xdr:col>10</xdr:col>
      <xdr:colOff>1575933</xdr:colOff>
      <xdr:row>28</xdr:row>
      <xdr:rowOff>119371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Date_Commande">
              <a:extLst>
                <a:ext uri="{FF2B5EF4-FFF2-40B4-BE49-F238E27FC236}">
                  <a16:creationId xmlns:a16="http://schemas.microsoft.com/office/drawing/2014/main" id="{563E8278-1C8F-ADDD-52F3-995826C02E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_Comman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12901" y="3301826"/>
              <a:ext cx="4402416" cy="24934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>
    <xdr:from>
      <xdr:col>33</xdr:col>
      <xdr:colOff>122938</xdr:colOff>
      <xdr:row>8</xdr:row>
      <xdr:rowOff>134679</xdr:rowOff>
    </xdr:from>
    <xdr:to>
      <xdr:col>36</xdr:col>
      <xdr:colOff>587006</xdr:colOff>
      <xdr:row>17</xdr:row>
      <xdr:rowOff>22151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530E7160-0192-13C4-AC09-62A2A543C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13</xdr:row>
      <xdr:rowOff>35719</xdr:rowOff>
    </xdr:from>
    <xdr:to>
      <xdr:col>5</xdr:col>
      <xdr:colOff>321470</xdr:colOff>
      <xdr:row>26</xdr:row>
      <xdr:rowOff>11906</xdr:rowOff>
    </xdr:to>
    <xdr:graphicFrame macro="">
      <xdr:nvGraphicFramePr>
        <xdr:cNvPr id="2" name="Évolution du CA Net mensuel TradeCo  ">
          <a:extLst>
            <a:ext uri="{FF2B5EF4-FFF2-40B4-BE49-F238E27FC236}">
              <a16:creationId xmlns:a16="http://schemas.microsoft.com/office/drawing/2014/main" id="{F7FDFDC0-05CA-40EC-8369-4F8028D11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108317</xdr:colOff>
      <xdr:row>2</xdr:row>
      <xdr:rowOff>94596</xdr:rowOff>
    </xdr:from>
    <xdr:to>
      <xdr:col>24</xdr:col>
      <xdr:colOff>145838</xdr:colOff>
      <xdr:row>6</xdr:row>
      <xdr:rowOff>151006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égion 1">
              <a:extLst>
                <a:ext uri="{FF2B5EF4-FFF2-40B4-BE49-F238E27FC236}">
                  <a16:creationId xmlns:a16="http://schemas.microsoft.com/office/drawing/2014/main" id="{42CC3FD2-38DE-4B6A-A2BD-5BD36E65E4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é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52043" y="921294"/>
              <a:ext cx="1762804" cy="10987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378942</xdr:colOff>
      <xdr:row>2</xdr:row>
      <xdr:rowOff>79568</xdr:rowOff>
    </xdr:from>
    <xdr:to>
      <xdr:col>31</xdr:col>
      <xdr:colOff>515379</xdr:colOff>
      <xdr:row>7</xdr:row>
      <xdr:rowOff>11616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égorie 1">
              <a:extLst>
                <a:ext uri="{FF2B5EF4-FFF2-40B4-BE49-F238E27FC236}">
                  <a16:creationId xmlns:a16="http://schemas.microsoft.com/office/drawing/2014/main" id="{9918DA98-B5C1-4146-9355-F82854C1A5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égori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48329" y="906266"/>
              <a:ext cx="1861720" cy="1172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7523</xdr:colOff>
      <xdr:row>2</xdr:row>
      <xdr:rowOff>103663</xdr:rowOff>
    </xdr:from>
    <xdr:to>
      <xdr:col>28</xdr:col>
      <xdr:colOff>86185</xdr:colOff>
      <xdr:row>6</xdr:row>
      <xdr:rowOff>174238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tatut_Commande 1">
              <a:extLst>
                <a:ext uri="{FF2B5EF4-FFF2-40B4-BE49-F238E27FC236}">
                  <a16:creationId xmlns:a16="http://schemas.microsoft.com/office/drawing/2014/main" id="{EC6455CA-3D3C-4B68-80B1-77966A25A8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t_Command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51627" y="930361"/>
              <a:ext cx="1803945" cy="11129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12</xdr:row>
      <xdr:rowOff>143774</xdr:rowOff>
    </xdr:from>
    <xdr:to>
      <xdr:col>19</xdr:col>
      <xdr:colOff>341462</xdr:colOff>
      <xdr:row>24</xdr:row>
      <xdr:rowOff>143774</xdr:rowOff>
    </xdr:to>
    <xdr:graphicFrame macro="">
      <xdr:nvGraphicFramePr>
        <xdr:cNvPr id="6" name="'Classement des vendeurs par CA Net">
          <a:extLst>
            <a:ext uri="{FF2B5EF4-FFF2-40B4-BE49-F238E27FC236}">
              <a16:creationId xmlns:a16="http://schemas.microsoft.com/office/drawing/2014/main" id="{46756045-7BEA-43C8-89B6-E0B7D0F2B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179717</xdr:colOff>
      <xdr:row>12</xdr:row>
      <xdr:rowOff>53915</xdr:rowOff>
    </xdr:from>
    <xdr:to>
      <xdr:col>31</xdr:col>
      <xdr:colOff>503208</xdr:colOff>
      <xdr:row>24</xdr:row>
      <xdr:rowOff>89858</xdr:rowOff>
    </xdr:to>
    <xdr:graphicFrame macro="">
      <xdr:nvGraphicFramePr>
        <xdr:cNvPr id="7" name=" 'Part de CA par catégorie de produit">
          <a:extLst>
            <a:ext uri="{FF2B5EF4-FFF2-40B4-BE49-F238E27FC236}">
              <a16:creationId xmlns:a16="http://schemas.microsoft.com/office/drawing/2014/main" id="{D8869659-541F-4488-927F-C2A51B50C3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47.896681597224" createdVersion="8" refreshedVersion="8" minRefreshableVersion="3" recordCount="2000" xr:uid="{4C2E426D-0DC2-4CBB-851F-DA6CB79BF06F}">
  <cacheSource type="worksheet">
    <worksheetSource name="Ventes_TradeCo"/>
  </cacheSource>
  <cacheFields count="21">
    <cacheField name="ID_Commande" numFmtId="0">
      <sharedItems containsSemiMixedTypes="0" containsString="0" containsNumber="1" containsInteger="1" minValue="1" maxValue="2000"/>
    </cacheField>
    <cacheField name="Date_Commande" numFmtId="14">
      <sharedItems containsSemiMixedTypes="0" containsNonDate="0" containsDate="1" containsString="0" minDate="2023-01-02T00:00:00" maxDate="2025-01-01T00:00:00" count="692">
        <d v="2024-10-16T00:00:00"/>
        <d v="2024-08-03T00:00:00"/>
        <d v="2024-10-27T00:00:00"/>
        <d v="2024-03-01T00:00:00"/>
        <d v="2024-07-19T00:00:00"/>
        <d v="2023-08-27T00:00:00"/>
        <d v="2024-11-17T00:00:00"/>
        <d v="2024-10-17T00:00:00"/>
        <d v="2023-09-03T00:00:00"/>
        <d v="2023-09-29T00:00:00"/>
        <d v="2023-08-13T00:00:00"/>
        <d v="2024-11-27T00:00:00"/>
        <d v="2023-04-28T00:00:00"/>
        <d v="2023-02-07T00:00:00"/>
        <d v="2023-11-28T00:00:00"/>
        <d v="2023-03-22T00:00:00"/>
        <d v="2024-06-24T00:00:00"/>
        <d v="2024-06-13T00:00:00"/>
        <d v="2023-08-14T00:00:00"/>
        <d v="2023-01-09T00:00:00"/>
        <d v="2024-04-29T00:00:00"/>
        <d v="2023-02-25T00:00:00"/>
        <d v="2024-04-04T00:00:00"/>
        <d v="2024-10-29T00:00:00"/>
        <d v="2023-06-18T00:00:00"/>
        <d v="2023-07-14T00:00:00"/>
        <d v="2024-06-27T00:00:00"/>
        <d v="2023-03-05T00:00:00"/>
        <d v="2023-07-29T00:00:00"/>
        <d v="2023-03-16T00:00:00"/>
        <d v="2023-12-03T00:00:00"/>
        <d v="2024-07-21T00:00:00"/>
        <d v="2023-10-16T00:00:00"/>
        <d v="2023-02-22T00:00:00"/>
        <d v="2024-03-28T00:00:00"/>
        <d v="2024-01-14T00:00:00"/>
        <d v="2023-04-08T00:00:00"/>
        <d v="2023-06-16T00:00:00"/>
        <d v="2024-11-16T00:00:00"/>
        <d v="2024-04-16T00:00:00"/>
        <d v="2023-03-13T00:00:00"/>
        <d v="2023-09-25T00:00:00"/>
        <d v="2024-12-09T00:00:00"/>
        <d v="2024-03-17T00:00:00"/>
        <d v="2023-11-13T00:00:00"/>
        <d v="2023-06-28T00:00:00"/>
        <d v="2024-08-16T00:00:00"/>
        <d v="2023-03-28T00:00:00"/>
        <d v="2023-07-23T00:00:00"/>
        <d v="2024-02-29T00:00:00"/>
        <d v="2023-04-20T00:00:00"/>
        <d v="2023-05-17T00:00:00"/>
        <d v="2024-07-15T00:00:00"/>
        <d v="2024-06-17T00:00:00"/>
        <d v="2024-07-07T00:00:00"/>
        <d v="2024-02-22T00:00:00"/>
        <d v="2024-12-08T00:00:00"/>
        <d v="2024-07-13T00:00:00"/>
        <d v="2024-11-26T00:00:00"/>
        <d v="2024-07-31T00:00:00"/>
        <d v="2023-05-08T00:00:00"/>
        <d v="2023-01-20T00:00:00"/>
        <d v="2023-01-02T00:00:00"/>
        <d v="2024-12-17T00:00:00"/>
        <d v="2023-01-27T00:00:00"/>
        <d v="2024-10-31T00:00:00"/>
        <d v="2024-12-14T00:00:00"/>
        <d v="2024-10-25T00:00:00"/>
        <d v="2023-06-06T00:00:00"/>
        <d v="2024-08-29T00:00:00"/>
        <d v="2024-09-16T00:00:00"/>
        <d v="2023-09-22T00:00:00"/>
        <d v="2024-02-21T00:00:00"/>
        <d v="2023-10-29T00:00:00"/>
        <d v="2024-07-17T00:00:00"/>
        <d v="2023-07-18T00:00:00"/>
        <d v="2024-03-27T00:00:00"/>
        <d v="2024-05-18T00:00:00"/>
        <d v="2023-02-05T00:00:00"/>
        <d v="2024-08-25T00:00:00"/>
        <d v="2024-06-12T00:00:00"/>
        <d v="2024-04-12T00:00:00"/>
        <d v="2023-05-26T00:00:00"/>
        <d v="2024-04-24T00:00:00"/>
        <d v="2023-11-27T00:00:00"/>
        <d v="2024-11-19T00:00:00"/>
        <d v="2024-08-22T00:00:00"/>
        <d v="2023-06-14T00:00:00"/>
        <d v="2023-01-04T00:00:00"/>
        <d v="2024-09-07T00:00:00"/>
        <d v="2023-01-30T00:00:00"/>
        <d v="2023-04-27T00:00:00"/>
        <d v="2024-09-05T00:00:00"/>
        <d v="2023-02-06T00:00:00"/>
        <d v="2023-07-13T00:00:00"/>
        <d v="2024-01-26T00:00:00"/>
        <d v="2024-03-26T00:00:00"/>
        <d v="2024-04-25T00:00:00"/>
        <d v="2024-03-10T00:00:00"/>
        <d v="2023-03-04T00:00:00"/>
        <d v="2023-02-27T00:00:00"/>
        <d v="2023-06-29T00:00:00"/>
        <d v="2023-09-18T00:00:00"/>
        <d v="2023-12-20T00:00:00"/>
        <d v="2023-09-01T00:00:00"/>
        <d v="2023-12-27T00:00:00"/>
        <d v="2023-04-13T00:00:00"/>
        <d v="2024-10-30T00:00:00"/>
        <d v="2023-10-04T00:00:00"/>
        <d v="2024-01-03T00:00:00"/>
        <d v="2024-08-05T00:00:00"/>
        <d v="2024-11-23T00:00:00"/>
        <d v="2024-01-13T00:00:00"/>
        <d v="2023-08-15T00:00:00"/>
        <d v="2023-04-29T00:00:00"/>
        <d v="2023-08-06T00:00:00"/>
        <d v="2024-03-30T00:00:00"/>
        <d v="2024-12-02T00:00:00"/>
        <d v="2023-08-12T00:00:00"/>
        <d v="2024-08-30T00:00:00"/>
        <d v="2024-10-20T00:00:00"/>
        <d v="2023-03-24T00:00:00"/>
        <d v="2024-09-03T00:00:00"/>
        <d v="2024-07-04T00:00:00"/>
        <d v="2024-12-11T00:00:00"/>
        <d v="2024-01-17T00:00:00"/>
        <d v="2023-04-21T00:00:00"/>
        <d v="2024-07-28T00:00:00"/>
        <d v="2023-04-07T00:00:00"/>
        <d v="2023-11-29T00:00:00"/>
        <d v="2024-03-29T00:00:00"/>
        <d v="2024-03-16T00:00:00"/>
        <d v="2023-02-26T00:00:00"/>
        <d v="2023-08-01T00:00:00"/>
        <d v="2024-11-02T00:00:00"/>
        <d v="2024-07-12T00:00:00"/>
        <d v="2023-11-14T00:00:00"/>
        <d v="2023-12-24T00:00:00"/>
        <d v="2024-02-11T00:00:00"/>
        <d v="2024-04-10T00:00:00"/>
        <d v="2024-10-22T00:00:00"/>
        <d v="2024-08-08T00:00:00"/>
        <d v="2023-12-04T00:00:00"/>
        <d v="2023-03-25T00:00:00"/>
        <d v="2024-12-26T00:00:00"/>
        <d v="2024-12-05T00:00:00"/>
        <d v="2023-11-12T00:00:00"/>
        <d v="2024-03-24T00:00:00"/>
        <d v="2024-06-30T00:00:00"/>
        <d v="2023-09-14T00:00:00"/>
        <d v="2024-06-04T00:00:00"/>
        <d v="2023-08-18T00:00:00"/>
        <d v="2023-05-23T00:00:00"/>
        <d v="2024-09-15T00:00:00"/>
        <d v="2024-09-29T00:00:00"/>
        <d v="2023-05-28T00:00:00"/>
        <d v="2024-05-01T00:00:00"/>
        <d v="2023-09-17T00:00:00"/>
        <d v="2023-02-15T00:00:00"/>
        <d v="2023-06-07T00:00:00"/>
        <d v="2023-02-18T00:00:00"/>
        <d v="2023-11-07T00:00:00"/>
        <d v="2024-12-03T00:00:00"/>
        <d v="2024-09-14T00:00:00"/>
        <d v="2023-03-02T00:00:00"/>
        <d v="2024-11-01T00:00:00"/>
        <d v="2024-01-02T00:00:00"/>
        <d v="2024-05-17T00:00:00"/>
        <d v="2024-11-29T00:00:00"/>
        <d v="2024-01-06T00:00:00"/>
        <d v="2024-05-05T00:00:00"/>
        <d v="2023-08-05T00:00:00"/>
        <d v="2024-10-18T00:00:00"/>
        <d v="2023-08-09T00:00:00"/>
        <d v="2023-07-28T00:00:00"/>
        <d v="2023-05-14T00:00:00"/>
        <d v="2023-05-25T00:00:00"/>
        <d v="2023-02-12T00:00:00"/>
        <d v="2023-01-24T00:00:00"/>
        <d v="2024-10-01T00:00:00"/>
        <d v="2024-01-31T00:00:00"/>
        <d v="2023-11-02T00:00:00"/>
        <d v="2024-09-19T00:00:00"/>
        <d v="2024-07-30T00:00:00"/>
        <d v="2024-05-12T00:00:00"/>
        <d v="2023-05-03T00:00:00"/>
        <d v="2024-04-15T00:00:00"/>
        <d v="2024-10-05T00:00:00"/>
        <d v="2024-12-22T00:00:00"/>
        <d v="2023-04-22T00:00:00"/>
        <d v="2024-10-08T00:00:00"/>
        <d v="2024-10-04T00:00:00"/>
        <d v="2024-09-17T00:00:00"/>
        <d v="2024-08-19T00:00:00"/>
        <d v="2023-06-13T00:00:00"/>
        <d v="2023-11-09T00:00:00"/>
        <d v="2024-07-14T00:00:00"/>
        <d v="2024-08-20T00:00:00"/>
        <d v="2023-12-08T00:00:00"/>
        <d v="2024-04-28T00:00:00"/>
        <d v="2024-01-27T00:00:00"/>
        <d v="2023-12-23T00:00:00"/>
        <d v="2023-10-10T00:00:00"/>
        <d v="2024-08-31T00:00:00"/>
        <d v="2023-11-08T00:00:00"/>
        <d v="2023-06-11T00:00:00"/>
        <d v="2024-02-03T00:00:00"/>
        <d v="2024-12-25T00:00:00"/>
        <d v="2023-09-19T00:00:00"/>
        <d v="2023-02-10T00:00:00"/>
        <d v="2023-02-08T00:00:00"/>
        <d v="2024-12-13T00:00:00"/>
        <d v="2024-10-26T00:00:00"/>
        <d v="2023-11-24T00:00:00"/>
        <d v="2024-07-20T00:00:00"/>
        <d v="2023-07-01T00:00:00"/>
        <d v="2023-03-03T00:00:00"/>
        <d v="2024-06-26T00:00:00"/>
        <d v="2023-09-04T00:00:00"/>
        <d v="2023-06-25T00:00:00"/>
        <d v="2023-11-19T00:00:00"/>
        <d v="2024-09-20T00:00:00"/>
        <d v="2024-01-20T00:00:00"/>
        <d v="2023-03-17T00:00:00"/>
        <d v="2024-09-04T00:00:00"/>
        <d v="2024-03-21T00:00:00"/>
        <d v="2024-02-10T00:00:00"/>
        <d v="2024-09-27T00:00:00"/>
        <d v="2023-11-25T00:00:00"/>
        <d v="2024-12-12T00:00:00"/>
        <d v="2024-12-07T00:00:00"/>
        <d v="2024-10-12T00:00:00"/>
        <d v="2023-07-02T00:00:00"/>
        <d v="2024-10-24T00:00:00"/>
        <d v="2023-11-01T00:00:00"/>
        <d v="2023-01-26T00:00:00"/>
        <d v="2023-11-16T00:00:00"/>
        <d v="2023-10-03T00:00:00"/>
        <d v="2023-07-09T00:00:00"/>
        <d v="2024-02-19T00:00:00"/>
        <d v="2024-03-15T00:00:00"/>
        <d v="2023-04-15T00:00:00"/>
        <d v="2023-06-26T00:00:00"/>
        <d v="2023-07-07T00:00:00"/>
        <d v="2024-05-13T00:00:00"/>
        <d v="2023-02-24T00:00:00"/>
        <d v="2024-02-12T00:00:00"/>
        <d v="2024-07-06T00:00:00"/>
        <d v="2023-12-26T00:00:00"/>
        <d v="2024-10-06T00:00:00"/>
        <d v="2023-05-30T00:00:00"/>
        <d v="2024-08-18T00:00:00"/>
        <d v="2023-12-18T00:00:00"/>
        <d v="2023-07-27T00:00:00"/>
        <d v="2023-08-04T00:00:00"/>
        <d v="2023-11-17T00:00:00"/>
        <d v="2024-09-22T00:00:00"/>
        <d v="2024-08-12T00:00:00"/>
        <d v="2023-09-26T00:00:00"/>
        <d v="2024-12-19T00:00:00"/>
        <d v="2023-09-06T00:00:00"/>
        <d v="2023-01-13T00:00:00"/>
        <d v="2024-01-16T00:00:00"/>
        <d v="2024-12-30T00:00:00"/>
        <d v="2023-11-06T00:00:00"/>
        <d v="2023-02-17T00:00:00"/>
        <d v="2023-11-26T00:00:00"/>
        <d v="2023-08-17T00:00:00"/>
        <d v="2023-03-30T00:00:00"/>
        <d v="2024-11-12T00:00:00"/>
        <d v="2024-06-16T00:00:00"/>
        <d v="2023-01-12T00:00:00"/>
        <d v="2023-04-19T00:00:00"/>
        <d v="2023-12-11T00:00:00"/>
        <d v="2024-08-23T00:00:00"/>
        <d v="2023-06-12T00:00:00"/>
        <d v="2023-01-31T00:00:00"/>
        <d v="2023-03-31T00:00:00"/>
        <d v="2024-12-31T00:00:00"/>
        <d v="2024-02-01T00:00:00"/>
        <d v="2023-01-29T00:00:00"/>
        <d v="2023-04-14T00:00:00"/>
        <d v="2023-11-21T00:00:00"/>
        <d v="2024-08-09T00:00:00"/>
        <d v="2023-12-22T00:00:00"/>
        <d v="2023-09-20T00:00:00"/>
        <d v="2024-01-23T00:00:00"/>
        <d v="2023-05-02T00:00:00"/>
        <d v="2023-07-17T00:00:00"/>
        <d v="2024-01-09T00:00:00"/>
        <d v="2024-04-14T00:00:00"/>
        <d v="2024-10-02T00:00:00"/>
        <d v="2023-10-15T00:00:00"/>
        <d v="2024-04-20T00:00:00"/>
        <d v="2024-04-30T00:00:00"/>
        <d v="2023-09-16T00:00:00"/>
        <d v="2024-06-09T00:00:00"/>
        <d v="2024-02-02T00:00:00"/>
        <d v="2024-07-26T00:00:00"/>
        <d v="2023-07-19T00:00:00"/>
        <d v="2024-02-24T00:00:00"/>
        <d v="2024-08-10T00:00:00"/>
        <d v="2023-12-06T00:00:00"/>
        <d v="2023-05-01T00:00:00"/>
        <d v="2023-08-03T00:00:00"/>
        <d v="2023-05-18T00:00:00"/>
        <d v="2023-05-15T00:00:00"/>
        <d v="2023-04-18T00:00:00"/>
        <d v="2023-09-27T00:00:00"/>
        <d v="2024-07-05T00:00:00"/>
        <d v="2023-10-02T00:00:00"/>
        <d v="2024-01-30T00:00:00"/>
        <d v="2024-03-02T00:00:00"/>
        <d v="2024-01-12T00:00:00"/>
        <d v="2023-11-18T00:00:00"/>
        <d v="2024-08-11T00:00:00"/>
        <d v="2023-05-12T00:00:00"/>
        <d v="2024-10-09T00:00:00"/>
        <d v="2024-05-11T00:00:00"/>
        <d v="2024-08-15T00:00:00"/>
        <d v="2024-01-10T00:00:00"/>
        <d v="2023-01-14T00:00:00"/>
        <d v="2024-08-04T00:00:00"/>
        <d v="2024-11-11T00:00:00"/>
        <d v="2023-09-15T00:00:00"/>
        <d v="2023-06-27T00:00:00"/>
        <d v="2024-09-08T00:00:00"/>
        <d v="2024-10-07T00:00:00"/>
        <d v="2023-10-28T00:00:00"/>
        <d v="2024-11-15T00:00:00"/>
        <d v="2024-04-06T00:00:00"/>
        <d v="2023-06-21T00:00:00"/>
        <d v="2023-04-17T00:00:00"/>
        <d v="2024-09-25T00:00:00"/>
        <d v="2024-05-02T00:00:00"/>
        <d v="2024-07-22T00:00:00"/>
        <d v="2023-11-04T00:00:00"/>
        <d v="2024-09-26T00:00:00"/>
        <d v="2024-03-08T00:00:00"/>
        <d v="2024-04-01T00:00:00"/>
        <d v="2024-10-23T00:00:00"/>
        <d v="2023-03-19T00:00:00"/>
        <d v="2024-06-07T00:00:00"/>
        <d v="2023-07-31T00:00:00"/>
        <d v="2024-12-21T00:00:00"/>
        <d v="2024-11-22T00:00:00"/>
        <d v="2023-10-08T00:00:00"/>
        <d v="2024-06-11T00:00:00"/>
        <d v="2024-06-03T00:00:00"/>
        <d v="2024-08-26T00:00:00"/>
        <d v="2024-04-09T00:00:00"/>
        <d v="2024-02-07T00:00:00"/>
        <d v="2024-07-24T00:00:00"/>
        <d v="2023-05-22T00:00:00"/>
        <d v="2023-07-26T00:00:00"/>
        <d v="2023-06-23T00:00:00"/>
        <d v="2023-10-19T00:00:00"/>
        <d v="2024-02-18T00:00:00"/>
        <d v="2023-04-30T00:00:00"/>
        <d v="2023-12-14T00:00:00"/>
        <d v="2023-10-22T00:00:00"/>
        <d v="2023-08-23T00:00:00"/>
        <d v="2024-10-11T00:00:00"/>
        <d v="2023-09-10T00:00:00"/>
        <d v="2024-12-16T00:00:00"/>
        <d v="2024-06-01T00:00:00"/>
        <d v="2023-08-07T00:00:00"/>
        <d v="2024-03-18T00:00:00"/>
        <d v="2024-07-10T00:00:00"/>
        <d v="2023-10-26T00:00:00"/>
        <d v="2024-08-24T00:00:00"/>
        <d v="2023-11-30T00:00:00"/>
        <d v="2024-03-09T00:00:00"/>
        <d v="2023-10-21T00:00:00"/>
        <d v="2023-10-27T00:00:00"/>
        <d v="2024-11-04T00:00:00"/>
        <d v="2023-02-13T00:00:00"/>
        <d v="2024-11-13T00:00:00"/>
        <d v="2023-06-09T00:00:00"/>
        <d v="2024-03-25T00:00:00"/>
        <d v="2023-10-17T00:00:00"/>
        <d v="2023-02-02T00:00:00"/>
        <d v="2024-05-16T00:00:00"/>
        <d v="2024-07-25T00:00:00"/>
        <d v="2023-04-09T00:00:00"/>
        <d v="2024-01-11T00:00:00"/>
        <d v="2023-03-21T00:00:00"/>
        <d v="2024-10-19T00:00:00"/>
        <d v="2024-03-20T00:00:00"/>
        <d v="2023-12-02T00:00:00"/>
        <d v="2024-07-02T00:00:00"/>
        <d v="2024-12-15T00:00:00"/>
        <d v="2023-03-15T00:00:00"/>
        <d v="2024-04-27T00:00:00"/>
        <d v="2024-04-21T00:00:00"/>
        <d v="2023-10-06T00:00:00"/>
        <d v="2023-04-12T00:00:00"/>
        <d v="2023-11-03T00:00:00"/>
        <d v="2024-02-26T00:00:00"/>
        <d v="2024-09-18T00:00:00"/>
        <d v="2023-08-16T00:00:00"/>
        <d v="2024-06-15T00:00:00"/>
        <d v="2024-02-28T00:00:00"/>
        <d v="2024-02-08T00:00:00"/>
        <d v="2024-01-04T00:00:00"/>
        <d v="2023-09-07T00:00:00"/>
        <d v="2023-03-08T00:00:00"/>
        <d v="2024-09-21T00:00:00"/>
        <d v="2023-10-25T00:00:00"/>
        <d v="2023-12-29T00:00:00"/>
        <d v="2024-06-21T00:00:00"/>
        <d v="2024-02-06T00:00:00"/>
        <d v="2023-11-15T00:00:00"/>
        <d v="2024-08-14T00:00:00"/>
        <d v="2023-01-05T00:00:00"/>
        <d v="2023-03-14T00:00:00"/>
        <d v="2024-01-28T00:00:00"/>
        <d v="2023-12-31T00:00:00"/>
        <d v="2023-12-17T00:00:00"/>
        <d v="2023-07-30T00:00:00"/>
        <d v="2023-11-22T00:00:00"/>
        <d v="2024-04-11T00:00:00"/>
        <d v="2023-12-30T00:00:00"/>
        <d v="2023-03-23T00:00:00"/>
        <d v="2023-05-16T00:00:00"/>
        <d v="2024-02-04T00:00:00"/>
        <d v="2023-05-29T00:00:00"/>
        <d v="2024-06-29T00:00:00"/>
        <d v="2023-10-18T00:00:00"/>
        <d v="2024-10-15T00:00:00"/>
        <d v="2024-03-13T00:00:00"/>
        <d v="2023-09-23T00:00:00"/>
        <d v="2023-08-20T00:00:00"/>
        <d v="2024-03-07T00:00:00"/>
        <d v="2023-07-08T00:00:00"/>
        <d v="2024-09-10T00:00:00"/>
        <d v="2024-12-24T00:00:00"/>
        <d v="2023-11-05T00:00:00"/>
        <d v="2023-09-12T00:00:00"/>
        <d v="2024-11-06T00:00:00"/>
        <d v="2023-04-23T00:00:00"/>
        <d v="2023-05-20T00:00:00"/>
        <d v="2024-05-31T00:00:00"/>
        <d v="2024-04-19T00:00:00"/>
        <d v="2024-12-27T00:00:00"/>
        <d v="2023-08-19T00:00:00"/>
        <d v="2024-05-28T00:00:00"/>
        <d v="2024-04-13T00:00:00"/>
        <d v="2024-08-07T00:00:00"/>
        <d v="2023-01-23T00:00:00"/>
        <d v="2023-09-24T00:00:00"/>
        <d v="2023-06-20T00:00:00"/>
        <d v="2024-12-23T00:00:00"/>
        <d v="2023-12-10T00:00:00"/>
        <d v="2023-10-07T00:00:00"/>
        <d v="2023-11-10T00:00:00"/>
        <d v="2024-03-12T00:00:00"/>
        <d v="2024-04-17T00:00:00"/>
        <d v="2023-10-24T00:00:00"/>
        <d v="2023-05-21T00:00:00"/>
        <d v="2024-05-06T00:00:00"/>
        <d v="2023-09-05T00:00:00"/>
        <d v="2023-07-24T00:00:00"/>
        <d v="2023-07-16T00:00:00"/>
        <d v="2024-02-05T00:00:00"/>
        <d v="2023-05-27T00:00:00"/>
        <d v="2023-07-25T00:00:00"/>
        <d v="2024-10-21T00:00:00"/>
        <d v="2023-06-05T00:00:00"/>
        <d v="2023-03-20T00:00:00"/>
        <d v="2024-01-21T00:00:00"/>
        <d v="2024-05-21T00:00:00"/>
        <d v="2023-02-16T00:00:00"/>
        <d v="2024-07-08T00:00:00"/>
        <d v="2024-05-23T00:00:00"/>
        <d v="2023-05-04T00:00:00"/>
        <d v="2024-05-26T00:00:00"/>
        <d v="2024-04-18T00:00:00"/>
        <d v="2023-03-06T00:00:00"/>
        <d v="2024-11-18T00:00:00"/>
        <d v="2024-08-21T00:00:00"/>
        <d v="2024-02-23T00:00:00"/>
        <d v="2023-04-02T00:00:00"/>
        <d v="2023-09-11T00:00:00"/>
        <d v="2024-02-15T00:00:00"/>
        <d v="2024-06-22T00:00:00"/>
        <d v="2023-06-08T00:00:00"/>
        <d v="2024-04-26T00:00:00"/>
        <d v="2024-05-08T00:00:00"/>
        <d v="2024-02-13T00:00:00"/>
        <d v="2024-09-09T00:00:00"/>
        <d v="2024-06-23T00:00:00"/>
        <d v="2023-04-11T00:00:00"/>
        <d v="2024-01-07T00:00:00"/>
        <d v="2024-05-22T00:00:00"/>
        <d v="2023-04-03T00:00:00"/>
        <d v="2023-12-19T00:00:00"/>
        <d v="2023-07-11T00:00:00"/>
        <d v="2024-02-16T00:00:00"/>
        <d v="2023-06-04T00:00:00"/>
        <d v="2023-08-11T00:00:00"/>
        <d v="2023-03-11T00:00:00"/>
        <d v="2023-09-28T00:00:00"/>
        <d v="2023-09-08T00:00:00"/>
        <d v="2023-06-19T00:00:00"/>
        <d v="2024-06-18T00:00:00"/>
        <d v="2023-02-04T00:00:00"/>
        <d v="2023-03-12T00:00:00"/>
        <d v="2024-05-27T00:00:00"/>
        <d v="2024-11-25T00:00:00"/>
        <d v="2024-11-20T00:00:00"/>
        <d v="2023-09-13T00:00:00"/>
        <d v="2023-01-25T00:00:00"/>
        <d v="2023-05-11T00:00:00"/>
        <d v="2024-10-28T00:00:00"/>
        <d v="2023-01-22T00:00:00"/>
        <d v="2023-10-05T00:00:00"/>
        <d v="2024-01-19T00:00:00"/>
        <d v="2024-05-24T00:00:00"/>
        <d v="2023-03-26T00:00:00"/>
        <d v="2023-09-02T00:00:00"/>
        <d v="2023-08-21T00:00:00"/>
        <d v="2023-12-07T00:00:00"/>
        <d v="2023-12-05T00:00:00"/>
        <d v="2024-04-08T00:00:00"/>
        <d v="2024-06-14T00:00:00"/>
        <d v="2024-11-08T00:00:00"/>
        <d v="2023-04-04T00:00:00"/>
        <d v="2024-05-10T00:00:00"/>
        <d v="2023-01-28T00:00:00"/>
        <d v="2023-02-09T00:00:00"/>
        <d v="2024-09-23T00:00:00"/>
        <d v="2024-05-25T00:00:00"/>
        <d v="2024-03-06T00:00:00"/>
        <d v="2023-12-09T00:00:00"/>
        <d v="2024-04-07T00:00:00"/>
        <d v="2024-03-22T00:00:00"/>
        <d v="2023-10-09T00:00:00"/>
        <d v="2024-11-09T00:00:00"/>
        <d v="2024-10-13T00:00:00"/>
        <d v="2023-06-22T00:00:00"/>
        <d v="2024-10-10T00:00:00"/>
        <d v="2024-03-14T00:00:00"/>
        <d v="2023-04-25T00:00:00"/>
        <d v="2023-02-23T00:00:00"/>
        <d v="2024-05-07T00:00:00"/>
        <d v="2023-07-06T00:00:00"/>
        <d v="2023-07-05T00:00:00"/>
        <d v="2023-05-10T00:00:00"/>
        <d v="2023-01-15T00:00:00"/>
        <d v="2024-02-14T00:00:00"/>
        <d v="2024-08-28T00:00:00"/>
        <d v="2023-01-19T00:00:00"/>
        <d v="2023-10-20T00:00:00"/>
        <d v="2024-07-27T00:00:00"/>
        <d v="2024-05-09T00:00:00"/>
        <d v="2024-09-13T00:00:00"/>
        <d v="2024-09-06T00:00:00"/>
        <d v="2023-04-10T00:00:00"/>
        <d v="2023-03-27T00:00:00"/>
        <d v="2024-06-10T00:00:00"/>
        <d v="2023-12-13T00:00:00"/>
        <d v="2024-11-07T00:00:00"/>
        <d v="2023-05-31T00:00:00"/>
        <d v="2023-02-14T00:00:00"/>
        <d v="2024-11-14T00:00:00"/>
        <d v="2024-12-29T00:00:00"/>
        <d v="2023-01-18T00:00:00"/>
        <d v="2023-04-24T00:00:00"/>
        <d v="2024-10-03T00:00:00"/>
        <d v="2023-03-09T00:00:00"/>
        <d v="2024-07-18T00:00:00"/>
        <d v="2023-02-19T00:00:00"/>
        <d v="2024-12-06T00:00:00"/>
        <d v="2023-01-16T00:00:00"/>
        <d v="2023-03-29T00:00:00"/>
        <d v="2024-12-10T00:00:00"/>
        <d v="2024-05-03T00:00:00"/>
        <d v="2023-01-11T00:00:00"/>
        <d v="2024-03-23T00:00:00"/>
        <d v="2024-11-21T00:00:00"/>
        <d v="2024-08-13T00:00:00"/>
        <d v="2023-06-30T00:00:00"/>
        <d v="2023-12-01T00:00:00"/>
        <d v="2024-11-10T00:00:00"/>
        <d v="2024-09-01T00:00:00"/>
        <d v="2023-08-10T00:00:00"/>
        <d v="2024-08-06T00:00:00"/>
        <d v="2024-02-09T00:00:00"/>
        <d v="2023-09-09T00:00:00"/>
        <d v="2023-12-21T00:00:00"/>
        <d v="2024-04-02T00:00:00"/>
        <d v="2023-01-10T00:00:00"/>
        <d v="2023-02-20T00:00:00"/>
        <d v="2024-03-19T00:00:00"/>
        <d v="2023-10-01T00:00:00"/>
        <d v="2023-10-12T00:00:00"/>
        <d v="2023-12-28T00:00:00"/>
        <d v="2024-02-25T00:00:00"/>
        <d v="2024-05-15T00:00:00"/>
        <d v="2023-04-05T00:00:00"/>
        <d v="2023-05-24T00:00:00"/>
        <d v="2024-09-24T00:00:00"/>
        <d v="2023-01-03T00:00:00"/>
        <d v="2023-01-17T00:00:00"/>
        <d v="2023-05-05T00:00:00"/>
        <d v="2024-07-03T00:00:00"/>
        <d v="2024-03-05T00:00:00"/>
        <d v="2023-05-06T00:00:00"/>
        <d v="2024-01-25T00:00:00"/>
        <d v="2023-06-02T00:00:00"/>
        <d v="2023-08-24T00:00:00"/>
        <d v="2023-08-26T00:00:00"/>
        <d v="2024-11-03T00:00:00"/>
        <d v="2024-06-20T00:00:00"/>
        <d v="2023-12-25T00:00:00"/>
        <d v="2023-10-11T00:00:00"/>
        <d v="2023-07-10T00:00:00"/>
        <d v="2023-02-28T00:00:00"/>
        <d v="2024-11-28T00:00:00"/>
        <d v="2023-11-20T00:00:00"/>
        <d v="2024-01-22T00:00:00"/>
        <d v="2024-01-18T00:00:00"/>
        <d v="2023-08-30T00:00:00"/>
        <d v="2023-02-21T00:00:00"/>
        <d v="2024-03-31T00:00:00"/>
        <d v="2024-07-01T00:00:00"/>
        <d v="2024-05-04T00:00:00"/>
        <d v="2023-06-15T00:00:00"/>
        <d v="2023-01-07T00:00:00"/>
        <d v="2023-10-30T00:00:00"/>
        <d v="2024-01-29T00:00:00"/>
        <d v="2023-07-21T00:00:00"/>
        <d v="2024-06-19T00:00:00"/>
        <d v="2023-11-23T00:00:00"/>
        <d v="2024-05-30T00:00:00"/>
        <d v="2023-04-26T00:00:00"/>
        <d v="2024-05-19T00:00:00"/>
        <d v="2024-12-28T00:00:00"/>
        <d v="2024-10-14T00:00:00"/>
        <d v="2024-02-20T00:00:00"/>
        <d v="2023-12-12T00:00:00"/>
        <d v="2024-12-18T00:00:00"/>
        <d v="2023-07-03T00:00:00"/>
        <d v="2023-05-07T00:00:00"/>
        <d v="2024-11-30T00:00:00"/>
        <d v="2024-09-11T00:00:00"/>
        <d v="2023-12-16T00:00:00"/>
        <d v="2023-07-15T00:00:00"/>
        <d v="2024-09-30T00:00:00"/>
        <d v="2024-07-29T00:00:00"/>
        <d v="2024-01-24T00:00:00"/>
        <d v="2024-08-02T00:00:00"/>
        <d v="2024-09-28T00:00:00"/>
        <d v="2024-03-11T00:00:00"/>
        <d v="2024-02-27T00:00:00"/>
        <d v="2024-03-03T00:00:00"/>
        <d v="2023-01-06T00:00:00"/>
        <d v="2023-10-31T00:00:00"/>
        <d v="2023-07-22T00:00:00"/>
        <d v="2024-06-06T00:00:00"/>
        <d v="2024-06-05T00:00:00"/>
        <d v="2024-04-23T00:00:00"/>
        <d v="2024-05-29T00:00:00"/>
        <d v="2024-07-09T00:00:00"/>
        <d v="2023-06-01T00:00:00"/>
        <d v="2024-06-02T00:00:00"/>
        <d v="2023-06-03T00:00:00"/>
        <d v="2024-08-27T00:00:00"/>
        <d v="2024-05-14T00:00:00"/>
        <d v="2024-07-11T00:00:00"/>
        <d v="2023-08-02T00:00:00"/>
        <d v="2023-03-01T00:00:00"/>
        <d v="2023-08-29T00:00:00"/>
        <d v="2024-04-05T00:00:00"/>
        <d v="2023-05-13T00:00:00"/>
        <d v="2023-10-14T00:00:00"/>
        <d v="2023-05-19T00:00:00"/>
        <d v="2023-06-24T00:00:00"/>
        <d v="2024-06-25T00:00:00"/>
        <d v="2024-09-02T00:00:00"/>
        <d v="2023-08-22T00:00:00"/>
        <d v="2023-07-04T00:00:00"/>
        <d v="2023-03-18T00:00:00"/>
        <d v="2024-01-01T00:00:00"/>
        <d v="2024-12-04T00:00:00"/>
        <d v="2023-08-31T00:00:00"/>
        <d v="2023-07-12T00:00:00"/>
        <d v="2023-01-08T00:00:00"/>
        <d v="2023-03-07T00:00:00"/>
        <d v="2023-04-01T00:00:00"/>
        <d v="2024-04-03T00:00:00"/>
      </sharedItems>
      <fieldGroup par="20"/>
    </cacheField>
    <cacheField name="Vendeur" numFmtId="0">
      <sharedItems count="10">
        <s v="Fatou Ndiaye"/>
        <s v="Amadou Diallo"/>
        <s v="Ousmane Kane"/>
        <s v="Mariama Traoré"/>
        <s v="Ibrahima Fall"/>
        <s v="Aïssatou Ba"/>
        <s v="Moussa Sow"/>
        <s v="Cheikh Diop"/>
        <s v="Rokhaya Cissé"/>
        <s v="Adja Sarr"/>
      </sharedItems>
    </cacheField>
    <cacheField name="Région" numFmtId="0">
      <sharedItems count="6">
        <s v="Dakar"/>
        <s v="Saint-Louis"/>
        <s v="Ziguinchor"/>
        <s v="Kaolack"/>
        <s v="Thiès"/>
        <s v="Non Renseigne"/>
      </sharedItems>
    </cacheField>
    <cacheField name="Catégorie" numFmtId="0">
      <sharedItems count="5">
        <s v="Habillement"/>
        <s v="Électronique"/>
        <s v="Alimentation"/>
        <s v="Cosmétique"/>
        <s v="Mobilier"/>
      </sharedItems>
    </cacheField>
    <cacheField name="Produit" numFmtId="0">
      <sharedItems count="40">
        <s v="Jeans slim 32"/>
        <s v="Chargeur rapide 65W"/>
        <s v="Tomate concentrée x12"/>
        <s v="Sucre roux 2kg"/>
        <s v="Boubou brodé homme"/>
        <s v="Chaussettes coton x5"/>
        <s v="Huile d'argan 50ml"/>
        <s v="Parfum Oriental 50ml"/>
        <s v="Chaise ergonomique"/>
        <s v="Souris sans fil"/>
        <s v="Robe wax femme"/>
        <s v="Clé USB 64Go"/>
        <s v="Écouteurs Bluetooth"/>
        <s v="Farine de blé 10kg"/>
        <s v="Tablette Lenovo"/>
        <s v="Cadre photo 40x60"/>
        <s v="Lait concentré x24"/>
        <s v="Armoire 2 portes"/>
        <s v="Smartphone Samsung A15"/>
        <s v="Savon karité 100g"/>
        <s v="Crème hydratante 200ml"/>
        <s v="Chapeau de paille"/>
        <s v="Chemise Oxford L"/>
        <s v="Café soluble 200g"/>
        <s v="Huile de palme 5L"/>
        <s v="Rouge à lèvres mat"/>
        <s v="Table basse salon"/>
        <s v="Fond de teint N°30"/>
        <s v="Lampe de bureau LED"/>
        <s v="Miroir rond 60cm"/>
        <s v="Étagère murale 3 niveaux"/>
        <s v="Clavier mécanique"/>
        <s v="Câble USB-C 2m"/>
        <s v="Shampoing cheveux secs"/>
        <s v="Sneakers blancs T42"/>
        <s v="Bureau en bois 120cm"/>
        <s v="Gel douche jasmin 400ml"/>
        <s v="Thé Lipton x100"/>
        <s v="Riz parfumé 25kg"/>
        <s v="Ceinture cuir"/>
      </sharedItems>
    </cacheField>
    <cacheField name="Quantité" numFmtId="0">
      <sharedItems containsSemiMixedTypes="0" containsString="0" containsNumber="1" containsInteger="1" minValue="1" maxValue="50"/>
    </cacheField>
    <cacheField name="Prix_Unitaire" numFmtId="1">
      <sharedItems containsSemiMixedTypes="0" containsString="0" containsNumber="1" containsInteger="1" minValue="1600" maxValue="138000"/>
    </cacheField>
    <cacheField name="Remise_%" numFmtId="0">
      <sharedItems containsSemiMixedTypes="0" containsString="0" containsNumber="1" containsInteger="1" minValue="0" maxValue="20"/>
    </cacheField>
    <cacheField name="CA_Brut" numFmtId="0">
      <sharedItems containsSemiMixedTypes="0" containsString="0" containsNumber="1" containsInteger="1" minValue="1700" maxValue="6565000"/>
    </cacheField>
    <cacheField name="CA_Net" numFmtId="0">
      <sharedItems containsSemiMixedTypes="0" containsString="0" containsNumber="1" containsInteger="1" minValue="1615" maxValue="6517000" count="1755">
        <n v="907200"/>
        <n v="268515"/>
        <n v="4845"/>
        <n v="46200"/>
        <n v="1326500"/>
        <n v="71100"/>
        <n v="88800"/>
        <n v="161600"/>
        <n v="100500"/>
        <n v="608400"/>
        <n v="669200"/>
        <n v="453120"/>
        <n v="229500"/>
        <n v="270270"/>
        <n v="908460"/>
        <n v="120600"/>
        <n v="520800"/>
        <n v="46930"/>
        <n v="2880"/>
        <n v="21060"/>
        <n v="133200"/>
        <n v="2351520"/>
        <n v="52290"/>
        <n v="49000"/>
        <n v="256000"/>
        <n v="3903000"/>
        <n v="332640"/>
        <n v="11400"/>
        <n v="186300"/>
        <n v="141120"/>
        <n v="28000"/>
        <n v="359975"/>
        <n v="62300"/>
        <n v="320960"/>
        <n v="1575000"/>
        <n v="216000"/>
        <n v="90000"/>
        <n v="195840"/>
        <n v="343200"/>
        <n v="16500"/>
        <n v="16640"/>
        <n v="280000"/>
        <n v="861840"/>
        <n v="1863000"/>
        <n v="92160"/>
        <n v="1319370"/>
        <n v="4465"/>
        <n v="143990"/>
        <n v="543900"/>
        <n v="368600"/>
        <n v="96000"/>
        <n v="74480"/>
        <n v="397300"/>
        <n v="148480"/>
        <n v="60800"/>
        <n v="17100"/>
        <n v="356400"/>
        <n v="130500"/>
        <n v="1302400"/>
        <n v="1011150"/>
        <n v="375600"/>
        <n v="112860"/>
        <n v="936000"/>
        <n v="509485"/>
        <n v="59400"/>
        <n v="265200"/>
        <n v="535040"/>
        <n v="2114280"/>
        <n v="226440"/>
        <n v="771400"/>
        <n v="138330"/>
        <n v="266880"/>
        <n v="778600"/>
        <n v="182400"/>
        <n v="232560"/>
        <n v="1684500"/>
        <n v="36000"/>
        <n v="538200"/>
        <n v="4750"/>
        <n v="82460"/>
        <n v="625300"/>
        <n v="122500"/>
        <n v="277440"/>
        <n v="8075"/>
        <n v="1541000"/>
        <n v="157500"/>
        <n v="373700"/>
        <n v="136500"/>
        <n v="5055600"/>
        <n v="768600"/>
        <n v="434720"/>
        <n v="3025750"/>
        <n v="832000"/>
        <n v="281600"/>
        <n v="321900"/>
        <n v="288000"/>
        <n v="110105"/>
        <n v="870480"/>
        <n v="538080"/>
        <n v="362600"/>
        <n v="1074060"/>
        <n v="2690400"/>
        <n v="2772900"/>
        <n v="176000"/>
        <n v="4301000"/>
        <n v="470000"/>
        <n v="142800"/>
        <n v="1388900"/>
        <n v="1174580"/>
        <n v="1865600"/>
        <n v="351000"/>
        <n v="71820"/>
        <n v="938825"/>
        <n v="595080"/>
        <n v="335580"/>
        <n v="4667100"/>
        <n v="47520"/>
        <n v="228000"/>
        <n v="29165"/>
        <n v="94500"/>
        <n v="11970"/>
        <n v="211680"/>
        <n v="367200"/>
        <n v="770400"/>
        <n v="323400"/>
        <n v="160720"/>
        <n v="50400"/>
        <n v="222400"/>
        <n v="1969740"/>
        <n v="14535"/>
        <n v="126700"/>
        <n v="193800"/>
        <n v="709650"/>
        <n v="164500"/>
        <n v="25500"/>
        <n v="138240"/>
        <n v="244200"/>
        <n v="902800"/>
        <n v="292400"/>
        <n v="72000"/>
        <n v="135000"/>
        <n v="3910200"/>
        <n v="53200"/>
        <n v="70200"/>
        <n v="1176000"/>
        <n v="193200"/>
        <n v="505155"/>
        <n v="136080"/>
        <n v="2256250"/>
        <n v="360800"/>
        <n v="54080"/>
        <n v="513520"/>
        <n v="2439090"/>
        <n v="7500"/>
        <n v="259920"/>
        <n v="13260"/>
        <n v="266800"/>
        <n v="32000"/>
        <n v="4760100"/>
        <n v="1478250"/>
        <n v="149600"/>
        <n v="333120"/>
        <n v="23205"/>
        <n v="71400"/>
        <n v="1004000"/>
        <n v="1234320"/>
        <n v="89440"/>
        <n v="1026800"/>
        <n v="52320"/>
        <n v="2277600"/>
        <n v="50490"/>
        <n v="13140"/>
        <n v="16320"/>
        <n v="44540"/>
        <n v="140940"/>
        <n v="201500"/>
        <n v="249400"/>
        <n v="497420"/>
        <n v="277500"/>
        <n v="181300"/>
        <n v="158600"/>
        <n v="1488960"/>
        <n v="998460"/>
        <n v="73600"/>
        <n v="369600"/>
        <n v="200340"/>
        <n v="326340"/>
        <n v="45180"/>
        <n v="409360"/>
        <n v="206080"/>
        <n v="24640"/>
        <n v="148800"/>
        <n v="150450"/>
        <n v="1206975"/>
        <n v="33120"/>
        <n v="415840"/>
        <n v="410000"/>
        <n v="294400"/>
        <n v="3868000"/>
        <n v="934325"/>
        <n v="728365"/>
        <n v="66000"/>
        <n v="108000"/>
        <n v="134805"/>
        <n v="60200"/>
        <n v="707455"/>
        <n v="295200"/>
        <n v="972000"/>
        <n v="101790"/>
        <n v="119000"/>
        <n v="3382830"/>
        <n v="37760"/>
        <n v="5580250"/>
        <n v="198000"/>
        <n v="314720"/>
        <n v="114700"/>
        <n v="541440"/>
        <n v="520200"/>
        <n v="329940"/>
        <n v="72250"/>
        <n v="115500"/>
        <n v="54400"/>
        <n v="173760"/>
        <n v="1169200"/>
        <n v="288800"/>
        <n v="453435"/>
        <n v="210700"/>
        <n v="34400"/>
        <n v="564300"/>
        <n v="93600"/>
        <n v="265880"/>
        <n v="119700"/>
        <n v="2747030"/>
        <n v="44500"/>
        <n v="1530000"/>
        <n v="2543880"/>
        <n v="289520"/>
        <n v="19000"/>
        <n v="16740"/>
        <n v="991700"/>
        <n v="15980"/>
        <n v="3877020"/>
        <n v="150500"/>
        <n v="370800"/>
        <n v="166800"/>
        <n v="90155"/>
        <n v="460800"/>
        <n v="1962000"/>
        <n v="2267820"/>
        <n v="209920"/>
        <n v="61500"/>
        <n v="2255110"/>
        <n v="573400"/>
        <n v="26800"/>
        <n v="5900"/>
        <n v="378000"/>
        <n v="1615500"/>
        <n v="25840"/>
        <n v="478125"/>
        <n v="471665"/>
        <n v="54600"/>
        <n v="1742400"/>
        <n v="492200"/>
        <n v="224000"/>
        <n v="437400"/>
        <n v="965700"/>
        <n v="234600"/>
        <n v="213200"/>
        <n v="37260"/>
        <n v="125000"/>
        <n v="73800"/>
        <n v="77520"/>
        <n v="41400"/>
        <n v="319200"/>
        <n v="156910"/>
        <n v="74880"/>
        <n v="318080"/>
        <n v="402560"/>
        <n v="393750"/>
        <n v="189200"/>
        <n v="46800"/>
        <n v="30600"/>
        <n v="37100"/>
        <n v="3373650"/>
        <n v="215040"/>
        <n v="652000"/>
        <n v="70380"/>
        <n v="54720"/>
        <n v="389160"/>
        <n v="48300"/>
        <n v="67500"/>
        <n v="81000"/>
        <n v="631750"/>
        <n v="418100"/>
        <n v="558900"/>
        <n v="51840"/>
        <n v="2368800"/>
        <n v="226400"/>
        <n v="371700"/>
        <n v="353280"/>
        <n v="4582200"/>
        <n v="436240"/>
        <n v="2964000"/>
        <n v="232400"/>
        <n v="932400"/>
        <n v="236170"/>
        <n v="181560"/>
        <n v="5181260"/>
        <n v="910500"/>
        <n v="427500"/>
        <n v="254800"/>
        <n v="442035"/>
        <n v="897600"/>
        <n v="130560"/>
        <n v="36100"/>
        <n v="67100"/>
        <n v="655000"/>
        <n v="358340"/>
        <n v="152000"/>
        <n v="1778000"/>
        <n v="105200"/>
        <n v="207400"/>
        <n v="2340800"/>
        <n v="49200"/>
        <n v="69300"/>
        <n v="79500"/>
        <n v="1309800"/>
        <n v="1383200"/>
        <n v="200355"/>
        <n v="39015"/>
        <n v="423000"/>
        <n v="93120"/>
        <n v="2240700"/>
        <n v="388705"/>
        <n v="262600"/>
        <n v="249375"/>
        <n v="4958800"/>
        <n v="10240"/>
        <n v="271600"/>
        <n v="43200"/>
        <n v="4783800"/>
        <n v="3145925"/>
        <n v="37200"/>
        <n v="153600"/>
        <n v="148580"/>
        <n v="136900"/>
        <n v="184500"/>
        <n v="67840"/>
        <n v="386460"/>
        <n v="119340"/>
        <n v="4278300"/>
        <n v="66150"/>
        <n v="295920"/>
        <n v="547315"/>
        <n v="437000"/>
        <n v="588300"/>
        <n v="62000"/>
        <n v="103700"/>
        <n v="233415"/>
        <n v="2664000"/>
        <n v="228095"/>
        <n v="239400"/>
        <n v="218400"/>
        <n v="2721900"/>
        <n v="272800"/>
        <n v="742500"/>
        <n v="54000"/>
        <n v="155040"/>
        <n v="445900"/>
        <n v="1671040"/>
        <n v="2798640"/>
        <n v="70000"/>
        <n v="205020"/>
        <n v="384000"/>
        <n v="679200"/>
        <n v="196800"/>
        <n v="110160"/>
        <n v="340800"/>
        <n v="2088960"/>
        <n v="127500"/>
        <n v="84000"/>
        <n v="779400"/>
        <n v="111435"/>
        <n v="903805"/>
        <n v="807520"/>
        <n v="268945"/>
        <n v="172040"/>
        <n v="108035"/>
        <n v="322560"/>
        <n v="170240"/>
        <n v="1154000"/>
        <n v="1084860"/>
        <n v="125970"/>
        <n v="75600"/>
        <n v="21700"/>
        <n v="457470"/>
        <n v="397670"/>
        <n v="27200"/>
        <n v="285600"/>
        <n v="1185030"/>
        <n v="12880"/>
        <n v="11220"/>
        <n v="726400"/>
        <n v="355680"/>
        <n v="190080"/>
        <n v="230880"/>
        <n v="239700"/>
        <n v="1796985"/>
        <n v="212420"/>
        <n v="151200"/>
        <n v="67000"/>
        <n v="117500"/>
        <n v="1784660"/>
        <n v="472320"/>
        <n v="115200"/>
        <n v="91200"/>
        <n v="143735"/>
        <n v="1488000"/>
        <n v="916940"/>
        <n v="218705"/>
        <n v="236930"/>
        <n v="464400"/>
        <n v="154800"/>
        <n v="288960"/>
        <n v="285000"/>
        <n v="149940"/>
        <n v="902000"/>
        <n v="1744320"/>
        <n v="21600"/>
        <n v="3100680"/>
        <n v="508725"/>
        <n v="70680"/>
        <n v="79800"/>
        <n v="215600"/>
        <n v="73920"/>
        <n v="608940"/>
        <n v="36400"/>
        <n v="3749040"/>
        <n v="706000"/>
        <n v="351500"/>
        <n v="254320"/>
        <n v="3525390"/>
        <n v="39800"/>
        <n v="435690"/>
        <n v="2306200"/>
        <n v="394500"/>
        <n v="132500"/>
        <n v="318200"/>
        <n v="126000"/>
        <n v="403200"/>
        <n v="605000"/>
        <n v="149175"/>
        <n v="123480"/>
        <n v="215000"/>
        <n v="7120"/>
        <n v="138380"/>
        <n v="75140"/>
        <n v="40800"/>
        <n v="267750"/>
        <n v="153180"/>
        <n v="884400"/>
        <n v="58995"/>
        <n v="121500"/>
        <n v="157000"/>
        <n v="343100"/>
        <n v="274590"/>
        <n v="133380"/>
        <n v="261360"/>
        <n v="255500"/>
        <n v="328500"/>
        <n v="223200"/>
        <n v="1350000"/>
        <n v="855360"/>
        <n v="45000"/>
        <n v="858780"/>
        <n v="57800"/>
        <n v="683760"/>
        <n v="5225"/>
        <n v="13680"/>
        <n v="454410"/>
        <n v="198720"/>
        <n v="155610"/>
        <n v="472000"/>
        <n v="95370"/>
        <n v="7700"/>
        <n v="349200"/>
        <n v="94400"/>
        <n v="67235"/>
        <n v="2041200"/>
        <n v="970200"/>
        <n v="264000"/>
        <n v="442400"/>
        <n v="285200"/>
        <n v="124800"/>
        <n v="84600"/>
        <n v="4300"/>
        <n v="116280"/>
        <n v="401800"/>
        <n v="527310"/>
        <n v="260700"/>
        <n v="1219135"/>
        <n v="1118260"/>
        <n v="5482500"/>
        <n v="45050"/>
        <n v="19800"/>
        <n v="80000"/>
        <n v="229680"/>
        <n v="184680"/>
        <n v="3816720"/>
        <n v="11700"/>
        <n v="704320"/>
        <n v="205200"/>
        <n v="477360"/>
        <n v="6600"/>
        <n v="82650"/>
        <n v="120000"/>
        <n v="101680"/>
        <n v="150800"/>
        <n v="91800"/>
        <n v="41600"/>
        <n v="49115"/>
        <n v="41000"/>
        <n v="666400"/>
        <n v="309120"/>
        <n v="117045"/>
        <n v="36720"/>
        <n v="12960"/>
        <n v="336600"/>
        <n v="1113700"/>
        <n v="1220260"/>
        <n v="301500"/>
        <n v="3613440"/>
        <n v="682200"/>
        <n v="217260"/>
        <n v="576000"/>
        <n v="448000"/>
        <n v="237120"/>
        <n v="720000"/>
        <n v="273000"/>
        <n v="54060"/>
        <n v="243000"/>
        <n v="27600"/>
        <n v="546120"/>
        <n v="39900"/>
        <n v="91120"/>
        <n v="1801800"/>
        <n v="702000"/>
        <n v="49680"/>
        <n v="371925"/>
        <n v="52020"/>
        <n v="25200"/>
        <n v="5271800"/>
        <n v="2342400"/>
        <n v="190570"/>
        <n v="108800"/>
        <n v="52800"/>
        <n v="57760"/>
        <n v="275000"/>
        <n v="167200"/>
        <n v="73360"/>
        <n v="70500"/>
        <n v="93480"/>
        <n v="502860"/>
        <n v="653055"/>
        <n v="194300"/>
        <n v="381300"/>
        <n v="53295"/>
        <n v="533520"/>
        <n v="837200"/>
        <n v="2907540"/>
        <n v="242500"/>
        <n v="15640"/>
        <n v="20500"/>
        <n v="206720"/>
        <n v="98400"/>
        <n v="474715"/>
        <n v="50000"/>
        <n v="422820"/>
        <n v="4872645"/>
        <n v="266400"/>
        <n v="39780"/>
        <n v="691200"/>
        <n v="205615"/>
        <n v="587265"/>
        <n v="79560"/>
        <n v="145350"/>
        <n v="13280"/>
        <n v="776250"/>
        <n v="104125"/>
        <n v="672000"/>
        <n v="313500"/>
        <n v="230640"/>
        <n v="27900"/>
        <n v="18300"/>
        <n v="319770"/>
        <n v="356000"/>
        <n v="1375400"/>
        <n v="6400"/>
        <n v="596700"/>
        <n v="308700"/>
        <n v="5667200"/>
        <n v="2812900"/>
        <n v="227700"/>
        <n v="92340"/>
        <n v="230850"/>
        <n v="276000"/>
        <n v="372000"/>
        <n v="331100"/>
        <n v="81700"/>
        <n v="697200"/>
        <n v="157700"/>
        <n v="38080"/>
        <n v="804100"/>
        <n v="1169600"/>
        <n v="148320"/>
        <n v="263340"/>
        <n v="4429280"/>
        <n v="3464260"/>
        <n v="122400"/>
        <n v="484880"/>
        <n v="195415"/>
        <n v="1195100"/>
        <n v="105600"/>
        <n v="196520"/>
        <n v="765000"/>
        <n v="315200"/>
        <n v="729600"/>
        <n v="394400"/>
        <n v="189000"/>
        <n v="568480"/>
        <n v="34680"/>
        <n v="2505800"/>
        <n v="322920"/>
        <n v="877100"/>
        <n v="14800"/>
        <n v="21200"/>
        <n v="734825"/>
        <n v="257040"/>
        <n v="2020365"/>
        <n v="2136420"/>
        <n v="900000"/>
        <n v="1479245"/>
        <n v="280500"/>
        <n v="163200"/>
        <n v="207315"/>
        <n v="2998800"/>
        <n v="416500"/>
        <n v="47500"/>
        <n v="50160"/>
        <n v="4344600"/>
        <n v="308000"/>
        <n v="52200"/>
        <n v="158080"/>
        <n v="94200"/>
        <n v="162540"/>
        <n v="574770"/>
        <n v="220320"/>
        <n v="449735"/>
        <n v="307200"/>
        <n v="4329150"/>
        <n v="119600"/>
        <n v="336000"/>
        <n v="273600"/>
        <n v="125460"/>
        <n v="16575"/>
        <n v="324900"/>
        <n v="78030"/>
        <n v="1584000"/>
        <n v="69120"/>
        <n v="766080"/>
        <n v="20900"/>
        <n v="2796000"/>
        <n v="136000"/>
        <n v="66215"/>
        <n v="187530"/>
        <n v="105300"/>
        <n v="133000"/>
        <n v="249600"/>
        <n v="246840"/>
        <n v="39600"/>
        <n v="620400"/>
        <n v="138960"/>
        <n v="184800"/>
        <n v="160200"/>
        <n v="175200"/>
        <n v="229100"/>
        <n v="55080"/>
        <n v="4154400"/>
        <n v="66500"/>
        <n v="1596000"/>
        <n v="204960"/>
        <n v="393125"/>
        <n v="427900"/>
        <n v="100440"/>
        <n v="281200"/>
        <n v="34650"/>
        <n v="11000"/>
        <n v="518700"/>
        <n v="355500"/>
        <n v="62080"/>
        <n v="3082200"/>
        <n v="274320"/>
        <n v="5395200"/>
        <n v="164730"/>
        <n v="51800"/>
        <n v="1412200"/>
        <n v="35840"/>
        <n v="848160"/>
        <n v="163520"/>
        <n v="694200"/>
        <n v="26400"/>
        <n v="353440"/>
        <n v="679800"/>
        <n v="319680"/>
        <n v="1177920"/>
        <n v="624640"/>
        <n v="2934965"/>
        <n v="282880"/>
        <n v="137500"/>
        <n v="224010"/>
        <n v="1487890"/>
        <n v="596800"/>
        <n v="169575"/>
        <n v="3065745"/>
        <n v="16800"/>
        <n v="212800"/>
        <n v="1135530"/>
        <n v="407740"/>
        <n v="1073975"/>
        <n v="1158660"/>
        <n v="245565"/>
        <n v="452400"/>
        <n v="299880"/>
        <n v="166770"/>
        <n v="2348000"/>
        <n v="73440"/>
        <n v="62400"/>
        <n v="448020"/>
        <n v="1161000"/>
        <n v="547400"/>
        <n v="164000"/>
        <n v="140400"/>
        <n v="154160"/>
        <n v="228800"/>
        <n v="267900"/>
        <n v="45135"/>
        <n v="3065440"/>
        <n v="96480"/>
        <n v="177500"/>
        <n v="81900"/>
        <n v="494400"/>
        <n v="869400"/>
        <n v="796005"/>
        <n v="46400"/>
        <n v="415905"/>
        <n v="727200"/>
        <n v="184965"/>
        <n v="115600"/>
        <n v="31920"/>
        <n v="1568735"/>
        <n v="454240"/>
        <n v="722000"/>
        <n v="886230"/>
        <n v="409200"/>
        <n v="248800"/>
        <n v="103200"/>
        <n v="10000"/>
        <n v="61600"/>
        <n v="159120"/>
        <n v="188480"/>
        <n v="1444320"/>
        <n v="572660"/>
        <n v="92225"/>
        <n v="3881520"/>
        <n v="3106700"/>
        <n v="206400"/>
        <n v="4758750"/>
        <n v="144495"/>
        <n v="1972320"/>
        <n v="387000"/>
        <n v="274500"/>
        <n v="1838250"/>
        <n v="172980"/>
        <n v="6460"/>
        <n v="520000"/>
        <n v="7220"/>
        <n v="206800"/>
        <n v="35530"/>
        <n v="51680"/>
        <n v="146625"/>
        <n v="850320"/>
        <n v="435000"/>
        <n v="2789800"/>
        <n v="73700"/>
        <n v="28700"/>
        <n v="19700"/>
        <n v="129600"/>
        <n v="699200"/>
        <n v="172200"/>
        <n v="235200"/>
        <n v="95700"/>
        <n v="1604800"/>
        <n v="568000"/>
        <n v="62720"/>
        <n v="31800"/>
        <n v="133120"/>
        <n v="330240"/>
        <n v="440640"/>
        <n v="291000"/>
        <n v="638400"/>
        <n v="590900"/>
        <n v="254200"/>
        <n v="500080"/>
        <n v="171680"/>
        <n v="160380"/>
        <n v="210000"/>
        <n v="2652780"/>
        <n v="146200"/>
        <n v="153000"/>
        <n v="519800"/>
        <n v="203520"/>
        <n v="332100"/>
        <n v="311600"/>
        <n v="247680"/>
        <n v="317440"/>
        <n v="417600"/>
        <n v="127330"/>
        <n v="442260"/>
        <n v="20250"/>
        <n v="80640"/>
        <n v="115000"/>
        <n v="181600"/>
        <n v="42840"/>
        <n v="357930"/>
        <n v="177600"/>
        <n v="163500"/>
        <n v="599250"/>
        <n v="765600"/>
        <n v="93100"/>
        <n v="112500"/>
        <n v="1141235"/>
        <n v="261120"/>
        <n v="1119300"/>
        <n v="122800"/>
        <n v="4387860"/>
        <n v="426000"/>
        <n v="79380"/>
        <n v="675800"/>
        <n v="492800"/>
        <n v="104940"/>
        <n v="146640"/>
        <n v="277200"/>
        <n v="14280"/>
        <n v="165120"/>
        <n v="69500"/>
        <n v="21800"/>
        <n v="33600"/>
        <n v="204400"/>
        <n v="404880"/>
        <n v="1407400"/>
        <n v="38880"/>
        <n v="4928200"/>
        <n v="103040"/>
        <n v="372400"/>
        <n v="290400"/>
        <n v="1347000"/>
        <n v="399500"/>
        <n v="316800"/>
        <n v="1303400"/>
        <n v="174000"/>
        <n v="178200"/>
        <n v="159840"/>
        <n v="109500"/>
        <n v="108360"/>
        <n v="182700"/>
        <n v="604500"/>
        <n v="61200"/>
        <n v="34200"/>
        <n v="74520"/>
        <n v="5200"/>
        <n v="344520"/>
        <n v="259200"/>
        <n v="74290"/>
        <n v="62220"/>
        <n v="22600"/>
        <n v="5605"/>
        <n v="32680"/>
        <n v="1937500"/>
        <n v="6970"/>
        <n v="52000"/>
        <n v="453600"/>
        <n v="102200"/>
        <n v="361335"/>
        <n v="159100"/>
        <n v="1982600"/>
        <n v="208000"/>
        <n v="11730"/>
        <n v="779760"/>
        <n v="66880"/>
        <n v="291100"/>
        <n v="148200"/>
        <n v="1265940"/>
        <n v="55900"/>
        <n v="145200"/>
        <n v="882000"/>
        <n v="172800"/>
        <n v="167700"/>
        <n v="503880"/>
        <n v="80800"/>
        <n v="993300"/>
        <n v="23920"/>
        <n v="366600"/>
        <n v="499200"/>
        <n v="3011040"/>
        <n v="159315"/>
        <n v="707560"/>
        <n v="71680"/>
        <n v="8360"/>
        <n v="162800"/>
        <n v="154660"/>
        <n v="2413800"/>
        <n v="8000"/>
        <n v="5566000"/>
        <n v="88740"/>
        <n v="187910"/>
        <n v="1586610"/>
        <n v="210715"/>
        <n v="124500"/>
        <n v="31360"/>
        <n v="76475"/>
        <n v="4200"/>
        <n v="191520"/>
        <n v="126730"/>
        <n v="158270"/>
        <n v="5667400"/>
        <n v="608580"/>
        <n v="115920"/>
        <n v="130200"/>
        <n v="254150"/>
        <n v="11880"/>
        <n v="287300"/>
        <n v="3529300"/>
        <n v="151700"/>
        <n v="185220"/>
        <n v="810000"/>
        <n v="77600"/>
        <n v="997920"/>
        <n v="87500"/>
        <n v="95040"/>
        <n v="1059500"/>
        <n v="490680"/>
        <n v="74970"/>
        <n v="131670"/>
        <n v="1560960"/>
        <n v="123600"/>
        <n v="689920"/>
        <n v="58140"/>
        <n v="802995"/>
        <n v="650900"/>
        <n v="729810"/>
        <n v="90240"/>
        <n v="229900"/>
        <n v="419040"/>
        <n v="33345"/>
        <n v="1214400"/>
        <n v="811800"/>
        <n v="12000"/>
        <n v="144000"/>
        <n v="97200"/>
        <n v="3500"/>
        <n v="89760"/>
        <n v="11340"/>
        <n v="244800"/>
        <n v="2082100"/>
        <n v="299600"/>
        <n v="307800"/>
        <n v="2876400"/>
        <n v="190000"/>
        <n v="33100"/>
        <n v="37400"/>
        <n v="849600"/>
        <n v="1776075"/>
        <n v="280800"/>
        <n v="366500"/>
        <n v="135660"/>
        <n v="97755"/>
        <n v="147840"/>
        <n v="322500"/>
        <n v="340300"/>
        <n v="87210"/>
        <n v="19720"/>
        <n v="1274000"/>
        <n v="202400"/>
        <n v="511020"/>
        <n v="6507200"/>
        <n v="13860"/>
        <n v="171100"/>
        <n v="20800"/>
        <n v="99750"/>
        <n v="222870"/>
        <n v="100000"/>
        <n v="195000"/>
        <n v="162000"/>
        <n v="82000"/>
        <n v="1809360"/>
        <n v="496800"/>
        <n v="376960"/>
        <n v="61440"/>
        <n v="101120"/>
        <n v="69000"/>
        <n v="380475"/>
        <n v="48000"/>
        <n v="1052800"/>
        <n v="15725"/>
        <n v="663600"/>
        <n v="46750"/>
        <n v="4301700"/>
        <n v="78000"/>
        <n v="325600"/>
        <n v="1768410"/>
        <n v="81270"/>
        <n v="32130"/>
        <n v="83600"/>
        <n v="233100"/>
        <n v="4813380"/>
        <n v="58300"/>
        <n v="338580"/>
        <n v="300000"/>
        <n v="465500"/>
        <n v="25440"/>
        <n v="136850"/>
        <n v="3853200"/>
        <n v="156160"/>
        <n v="122570"/>
        <n v="579700"/>
        <n v="259000"/>
        <n v="15750"/>
        <n v="64515"/>
        <n v="44800"/>
        <n v="1374450"/>
        <n v="426600"/>
        <n v="249750"/>
        <n v="3286525"/>
        <n v="62370"/>
        <n v="180880"/>
        <n v="237880"/>
        <n v="63000"/>
        <n v="779000"/>
        <n v="168000"/>
        <n v="213900"/>
        <n v="493000"/>
        <n v="259350"/>
        <n v="524400"/>
        <n v="64400"/>
        <n v="1852200"/>
        <n v="133875"/>
        <n v="272160"/>
        <n v="98685"/>
        <n v="48640"/>
        <n v="1944000"/>
        <n v="46740"/>
        <n v="106080"/>
        <n v="483000"/>
        <n v="62475"/>
        <n v="202100"/>
        <n v="674475"/>
        <n v="18320"/>
        <n v="173280"/>
        <n v="35625"/>
        <n v="862400"/>
        <n v="1129600"/>
        <n v="30400"/>
        <n v="74000"/>
        <n v="98280"/>
        <n v="1055925"/>
        <n v="471240"/>
        <n v="666000"/>
        <n v="580800"/>
        <n v="478295"/>
        <n v="1242880"/>
        <n v="184000"/>
        <n v="463760"/>
        <n v="154000"/>
        <n v="118400"/>
        <n v="2737980"/>
        <n v="76140"/>
        <n v="366300"/>
        <n v="197200"/>
        <n v="497000"/>
        <n v="56050"/>
        <n v="312455"/>
        <n v="676480"/>
        <n v="156000"/>
        <n v="126140"/>
        <n v="380000"/>
        <n v="941070"/>
        <n v="2761920"/>
        <n v="1052980"/>
        <n v="35100"/>
        <n v="749100"/>
        <n v="56000"/>
        <n v="503100"/>
        <n v="1755600"/>
        <n v="96600"/>
        <n v="1141800"/>
        <n v="19950"/>
        <n v="2774520"/>
        <n v="387450"/>
        <n v="988570"/>
        <n v="881280"/>
        <n v="752500"/>
        <n v="64260"/>
        <n v="250560"/>
        <n v="284800"/>
        <n v="68310"/>
        <n v="79200"/>
        <n v="65875"/>
        <n v="1248800"/>
        <n v="261630"/>
        <n v="47000"/>
        <n v="193545"/>
        <n v="1026000"/>
        <n v="393600"/>
        <n v="2265300"/>
        <n v="134640"/>
        <n v="27400"/>
        <n v="819200"/>
        <n v="1935500"/>
        <n v="188000"/>
        <n v="598400"/>
        <n v="97920"/>
        <n v="51870"/>
        <n v="495995"/>
        <n v="263900"/>
        <n v="167790"/>
        <n v="312800"/>
        <n v="37800"/>
        <n v="391600"/>
        <n v="302670"/>
        <n v="29000"/>
        <n v="289000"/>
        <n v="296370"/>
        <n v="493680"/>
        <n v="211140"/>
        <n v="123840"/>
        <n v="505780"/>
        <n v="5773000"/>
        <n v="173400"/>
        <n v="166430"/>
        <n v="1785"/>
        <n v="155100"/>
        <n v="217500"/>
        <n v="920000"/>
        <n v="154440"/>
        <n v="25740"/>
        <n v="40280"/>
        <n v="778320"/>
        <n v="188190"/>
        <n v="2129930"/>
        <n v="76950"/>
        <n v="4399300"/>
        <n v="118560"/>
        <n v="192000"/>
        <n v="209000"/>
        <n v="2334600"/>
        <n v="170280"/>
        <n v="11840"/>
        <n v="78200"/>
        <n v="297000"/>
        <n v="29700"/>
        <n v="618000"/>
        <n v="388800"/>
        <n v="674800"/>
        <n v="101935"/>
        <n v="961875"/>
        <n v="840640"/>
        <n v="1515800"/>
        <n v="905580"/>
        <n v="5534400"/>
        <n v="1157940"/>
        <n v="125400"/>
        <n v="601920"/>
        <n v="956080"/>
        <n v="4918320"/>
        <n v="124740"/>
        <n v="2284800"/>
        <n v="133300"/>
        <n v="641520"/>
        <n v="4520880"/>
        <n v="81200"/>
        <n v="3300"/>
        <n v="339815"/>
        <n v="275145"/>
        <n v="56355"/>
        <n v="78660"/>
        <n v="12240"/>
        <n v="627300"/>
        <n v="42300"/>
        <n v="37700"/>
        <n v="528900"/>
        <n v="67320"/>
        <n v="362400"/>
        <n v="321600"/>
        <n v="143520"/>
        <n v="1401250"/>
        <n v="270000"/>
        <n v="29600"/>
        <n v="1000825"/>
        <n v="213435"/>
        <n v="250800"/>
        <n v="885060"/>
        <n v="5571750"/>
        <n v="572390"/>
        <n v="329280"/>
        <n v="179400"/>
        <n v="7900"/>
        <n v="727700"/>
        <n v="413600"/>
        <n v="337110"/>
        <n v="296875"/>
        <n v="106560"/>
        <n v="281520"/>
        <n v="194400"/>
        <n v="75240"/>
        <n v="77490"/>
        <n v="409500"/>
        <n v="843885"/>
        <n v="45900"/>
        <n v="151300"/>
        <n v="1282400"/>
        <n v="89505"/>
        <n v="13600"/>
        <n v="453530"/>
        <n v="331200"/>
        <n v="3050640"/>
        <n v="95000"/>
        <n v="221400"/>
        <n v="187200"/>
        <n v="1937320"/>
        <n v="738000"/>
        <n v="192780"/>
        <n v="1276800"/>
        <n v="197800"/>
        <n v="193600"/>
        <n v="378675"/>
        <n v="42560"/>
        <n v="24320"/>
        <n v="899200"/>
        <n v="4672200"/>
        <n v="136620"/>
        <n v="3884400"/>
        <n v="89000"/>
        <n v="1209600"/>
        <n v="174250"/>
        <n v="3583600"/>
        <n v="89280"/>
        <n v="15600"/>
        <n v="83300"/>
        <n v="252300"/>
        <n v="3145"/>
        <n v="71060"/>
        <n v="163800"/>
        <n v="156800"/>
        <n v="1298500"/>
        <n v="88200"/>
        <n v="2784000"/>
        <n v="41140"/>
        <n v="196000"/>
        <n v="230300"/>
        <n v="4788600"/>
        <n v="573480"/>
        <n v="2421300"/>
        <n v="418000"/>
        <n v="348080"/>
        <n v="1191000"/>
        <n v="120960"/>
        <n v="548640"/>
        <n v="55200"/>
        <n v="648000"/>
        <n v="472680"/>
        <n v="48960"/>
        <n v="114000"/>
        <n v="93000"/>
        <n v="174240"/>
        <n v="1712375"/>
        <n v="1000000"/>
        <n v="24990"/>
        <n v="2313900"/>
        <n v="4706775"/>
        <n v="1512900"/>
        <n v="112005"/>
        <n v="9200"/>
        <n v="16150"/>
        <n v="35700"/>
        <n v="183600"/>
        <n v="1002240"/>
        <n v="961775"/>
        <n v="258400"/>
        <n v="859600"/>
        <n v="47610"/>
        <n v="1729200"/>
        <n v="3704810"/>
        <n v="3534300"/>
        <n v="247380"/>
        <n v="98900"/>
        <n v="1193400"/>
        <n v="1259300"/>
        <n v="221760"/>
        <n v="5378100"/>
        <n v="5035000"/>
        <n v="790800"/>
        <n v="195500"/>
        <n v="257890"/>
        <n v="260480"/>
        <n v="126400"/>
        <n v="137200"/>
        <n v="365500"/>
        <n v="396500"/>
        <n v="29520"/>
        <n v="441000"/>
        <n v="428925"/>
        <n v="33000"/>
        <n v="1075500"/>
        <n v="3840"/>
        <n v="130050"/>
        <n v="128700"/>
        <n v="732600"/>
        <n v="529920"/>
        <n v="148410"/>
        <n v="254100"/>
        <n v="1896120"/>
        <n v="53040"/>
        <n v="114400"/>
        <n v="60000"/>
        <n v="133280"/>
        <n v="1532000"/>
        <n v="40320"/>
        <n v="621000"/>
        <n v="59200"/>
        <n v="584800"/>
        <n v="110640"/>
        <n v="38640"/>
        <n v="149435"/>
        <n v="31620"/>
        <n v="1940000"/>
        <n v="444400"/>
        <n v="966400"/>
        <n v="1694200"/>
        <n v="3304860"/>
        <n v="9120"/>
        <n v="962000"/>
        <n v="3609600"/>
        <n v="752210"/>
        <n v="117300"/>
        <n v="30000"/>
        <n v="437100"/>
        <n v="138600"/>
        <n v="96800"/>
        <n v="229000"/>
        <n v="75900"/>
        <n v="411440"/>
        <n v="3366600"/>
        <n v="1710000"/>
        <n v="844600"/>
        <n v="3066600"/>
        <n v="575700"/>
        <n v="121380"/>
        <n v="486000"/>
        <n v="798000"/>
        <n v="1105680"/>
        <n v="60160"/>
        <n v="165600"/>
        <n v="14250"/>
        <n v="133450"/>
        <n v="18600"/>
        <n v="44460"/>
        <n v="221340"/>
        <n v="1304000"/>
        <n v="721600"/>
        <n v="152950"/>
        <n v="1503600"/>
        <n v="143200"/>
        <n v="227800"/>
        <n v="1189500"/>
        <n v="1564000"/>
        <n v="64980"/>
        <n v="297670"/>
        <n v="47250"/>
        <n v="89930"/>
        <n v="4998000"/>
        <n v="499800"/>
        <n v="220495"/>
        <n v="341700"/>
        <n v="131200"/>
        <n v="18800"/>
        <n v="577980"/>
        <n v="1229800"/>
        <n v="349600"/>
        <n v="864360"/>
        <n v="102300"/>
        <n v="416640"/>
        <n v="10640"/>
        <n v="1134110"/>
        <n v="534000"/>
        <n v="279040"/>
        <n v="7560"/>
        <n v="19400"/>
        <n v="3063750"/>
        <n v="41300"/>
        <n v="264600"/>
        <n v="467415"/>
        <n v="166600"/>
        <n v="322000"/>
        <n v="850850"/>
        <n v="68800"/>
        <n v="4059000"/>
        <n v="151900"/>
        <n v="234650"/>
        <n v="46080"/>
        <n v="348840"/>
        <n v="48280"/>
        <n v="419900"/>
        <n v="361600"/>
        <n v="187720"/>
        <n v="127260"/>
        <n v="611000"/>
        <n v="447200"/>
        <n v="947200"/>
        <n v="156600"/>
        <n v="359550"/>
        <n v="160735"/>
        <n v="80500"/>
        <n v="246500"/>
        <n v="476160"/>
        <n v="2349900"/>
        <n v="41800"/>
        <n v="518100"/>
        <n v="4452000"/>
        <n v="400000"/>
        <n v="159900"/>
        <n v="64125"/>
        <n v="89300"/>
        <n v="831600"/>
        <n v="175000"/>
        <n v="598500"/>
        <n v="103000"/>
        <n v="1390500"/>
        <n v="4280220"/>
        <n v="169320"/>
        <n v="137600"/>
        <n v="2600"/>
        <n v="44650"/>
        <n v="51300"/>
        <n v="4513500"/>
        <n v="37485"/>
        <n v="106875"/>
        <n v="361400"/>
        <n v="85500"/>
        <n v="421360"/>
        <n v="1155840"/>
        <n v="474600"/>
        <n v="39000"/>
        <n v="1332630"/>
        <n v="25560"/>
        <n v="143500"/>
        <n v="4724000"/>
        <n v="572700"/>
        <n v="1615"/>
        <n v="229140"/>
        <n v="1682640"/>
        <n v="642500"/>
        <n v="408310"/>
        <n v="131750"/>
        <n v="214320"/>
        <n v="1940850"/>
        <n v="214200"/>
        <n v="230000"/>
        <n v="294500"/>
        <n v="2125440"/>
        <n v="135600"/>
        <n v="747120"/>
        <n v="828750"/>
        <n v="1113750"/>
        <n v="201600"/>
        <n v="134400"/>
        <n v="793800"/>
        <n v="636500"/>
        <n v="560025"/>
        <n v="602100"/>
        <n v="865000"/>
        <n v="108500"/>
        <n v="5170400"/>
        <n v="778800"/>
        <n v="1170400"/>
        <n v="1380000"/>
        <n v="59800"/>
        <n v="19665"/>
        <n v="352800"/>
        <n v="94600"/>
        <n v="193630"/>
        <n v="424000"/>
        <n v="182000"/>
        <n v="266475"/>
        <n v="312000"/>
        <n v="184900"/>
        <n v="9800"/>
        <n v="488800"/>
        <n v="478800"/>
        <n v="29400"/>
        <n v="357000"/>
        <n v="28200"/>
        <n v="152640"/>
        <n v="364650"/>
        <n v="114750"/>
        <n v="1144480"/>
        <n v="82800"/>
        <n v="930835"/>
        <n v="642600"/>
        <n v="220800"/>
        <n v="316160"/>
        <n v="118800"/>
        <n v="674700"/>
        <n v="260000"/>
        <n v="158670"/>
        <n v="211500"/>
        <n v="73150"/>
        <n v="22000"/>
        <n v="36900"/>
        <n v="928800"/>
        <n v="240000"/>
        <n v="1020800"/>
        <n v="898800"/>
        <n v="20000"/>
        <n v="730620"/>
        <n v="132960"/>
        <n v="170000"/>
        <n v="50065"/>
        <n v="422400"/>
        <n v="445265"/>
        <n v="132600"/>
        <n v="1635900"/>
        <n v="15400"/>
        <n v="76320"/>
        <n v="853120"/>
        <n v="20880"/>
        <n v="717600"/>
        <n v="66240"/>
        <n v="507780"/>
        <n v="323935"/>
        <n v="94000"/>
        <n v="301530"/>
        <n v="1100400"/>
        <n v="1973700"/>
        <n v="931600"/>
        <n v="267500"/>
        <n v="990505"/>
        <n v="353600"/>
        <n v="35640"/>
        <n v="713300"/>
        <n v="758880"/>
        <n v="51000"/>
        <n v="205920"/>
        <n v="980400"/>
        <n v="151130"/>
        <n v="215100"/>
        <n v="220500"/>
        <n v="132430"/>
        <n v="252700"/>
        <n v="289800"/>
        <n v="504000"/>
        <n v="121600"/>
        <n v="199750"/>
        <n v="286160"/>
        <n v="268800"/>
        <n v="767200"/>
        <n v="109120"/>
        <n v="664335"/>
        <n v="84740"/>
        <n v="858000"/>
        <n v="341240"/>
        <n v="16400"/>
        <n v="2050200"/>
        <n v="345960"/>
        <n v="35200"/>
        <n v="494760"/>
        <n v="700000"/>
        <n v="369520"/>
        <n v="300330"/>
        <n v="71910"/>
        <n v="763800"/>
        <n v="57600"/>
        <n v="1091340"/>
        <n v="71630"/>
        <n v="376000"/>
        <n v="2548800"/>
        <n v="163795"/>
        <n v="4217400"/>
        <n v="88000"/>
        <n v="59565"/>
        <n v="180000"/>
        <n v="299250"/>
        <n v="1003500"/>
        <n v="243600"/>
        <n v="65835"/>
        <n v="25110"/>
        <n v="91295"/>
        <n v="990720"/>
        <n v="38760"/>
        <n v="191360"/>
        <n v="56430"/>
        <n v="292500"/>
        <n v="1087560"/>
        <n v="1063800"/>
        <n v="729125"/>
        <n v="154560"/>
        <n v="537040"/>
        <n v="80750"/>
        <n v="1462860"/>
        <n v="6517000"/>
        <n v="143550"/>
        <n v="524160"/>
        <n v="986700"/>
        <n v="729300"/>
        <n v="416000"/>
        <n v="100880"/>
        <n v="405650"/>
        <n v="2555000"/>
        <n v="680160"/>
        <n v="446880"/>
        <n v="188800"/>
        <n v="1067800"/>
        <n v="198800"/>
        <n v="52275"/>
        <n v="57000"/>
        <n v="10355"/>
        <n v="92000"/>
        <n v="414180"/>
        <n v="178500"/>
        <n v="286650"/>
        <n v="452200"/>
        <n v="671300"/>
        <n v="235600"/>
        <n v="352450"/>
        <n v="981240"/>
        <n v="187680"/>
        <n v="68850"/>
        <n v="477300"/>
        <n v="87780"/>
        <n v="1188000"/>
        <n v="94720"/>
        <n v="722880"/>
        <n v="780300"/>
        <n v="108300"/>
        <n v="49920"/>
        <n v="269700"/>
        <n v="235125"/>
        <n v="289170"/>
        <n v="107100"/>
        <n v="475200"/>
        <n v="7300"/>
        <n v="189525"/>
        <n v="265050"/>
        <n v="3337200"/>
        <n v="435370"/>
        <n v="166500"/>
        <n v="690840"/>
        <n v="828000"/>
        <n v="22400"/>
        <n v="62700"/>
        <n v="169200"/>
        <n v="39270"/>
        <n v="2852000"/>
        <n v="171600"/>
        <n v="45220"/>
        <n v="188700"/>
        <n v="76800"/>
        <n v="355200"/>
        <n v="449600"/>
        <n v="708210"/>
        <n v="415140"/>
        <n v="11100"/>
        <n v="961400"/>
        <n v="438480"/>
        <n v="34000"/>
        <n v="708400"/>
        <n v="294690"/>
        <n v="74100"/>
        <n v="172900"/>
        <n v="593750"/>
        <n v="185000"/>
        <n v="3062400"/>
        <n v="1225000"/>
        <n v="314900"/>
        <n v="185250"/>
        <n v="88400"/>
        <n v="106590"/>
        <n v="25600"/>
        <n v="854050"/>
        <n v="260100"/>
        <n v="289600"/>
        <n v="102400"/>
        <n v="203130"/>
        <n v="15840"/>
        <n v="569330"/>
        <n v="110700"/>
        <n v="7200"/>
        <n v="1081350"/>
        <n v="1184560"/>
        <n v="147000"/>
        <n v="509120"/>
        <n v="31200"/>
        <n v="193000"/>
        <n v="353880"/>
        <n v="39960"/>
        <n v="2743830"/>
        <n v="148500"/>
        <n v="440400"/>
        <n v="99000"/>
        <n v="846720"/>
        <n v="186200"/>
        <n v="813600"/>
        <n v="125020"/>
        <n v="2616000"/>
        <n v="176400"/>
        <n v="48600"/>
        <n v="1400000"/>
        <n v="918000"/>
        <n v="984960"/>
        <n v="336330"/>
        <n v="139860"/>
        <n v="409590"/>
        <n v="836000"/>
        <n v="154200"/>
        <n v="675200"/>
        <n v="376200"/>
        <n v="112385"/>
        <n v="2637800"/>
        <n v="37050"/>
        <n v="1220000"/>
        <n v="3540240"/>
        <n v="2844680"/>
        <n v="22800"/>
        <n v="132000"/>
        <n v="84240"/>
        <n v="890400"/>
        <n v="155800"/>
        <n v="448800"/>
        <n v="30900"/>
        <n v="56160"/>
        <n v="395600"/>
        <n v="100130"/>
        <n v="203580"/>
        <n v="560320"/>
        <n v="369000"/>
        <n v="21930"/>
      </sharedItems>
    </cacheField>
    <cacheField name="Statut_Commande" numFmtId="0">
      <sharedItems count="4">
        <s v="Livré"/>
        <s v="En Cours"/>
        <s v="Annulé"/>
        <s v="En Attente"/>
      </sharedItems>
    </cacheField>
    <cacheField name="Mode_Paiement" numFmtId="0">
      <sharedItems count="5">
        <s v="Espèces"/>
        <s v="Mobile Money"/>
        <s v="Chèque"/>
        <s v="Virement bancaire"/>
        <s v="Non renseigne"/>
      </sharedItems>
    </cacheField>
    <cacheField name="Mois_Num" numFmtId="0">
      <sharedItems containsSemiMixedTypes="0" containsString="0" containsNumber="1" containsInteger="1" minValue="1" maxValue="12" count="12">
        <n v="10"/>
        <n v="8"/>
        <n v="3"/>
        <n v="7"/>
        <n v="11"/>
        <n v="9"/>
        <n v="4"/>
        <n v="2"/>
        <n v="6"/>
        <n v="1"/>
        <n v="12"/>
        <n v="5"/>
      </sharedItems>
    </cacheField>
    <cacheField name="Année" numFmtId="0">
      <sharedItems containsSemiMixedTypes="0" containsString="0" containsNumber="1" containsInteger="1" minValue="2023" maxValue="2024" count="2">
        <n v="2024"/>
        <n v="2023"/>
      </sharedItems>
    </cacheField>
    <cacheField name="Mois_Année" numFmtId="14">
      <sharedItems/>
    </cacheField>
    <cacheField name="Trimestre" numFmtId="0">
      <sharedItems count="4">
        <s v="T4"/>
        <s v="T3"/>
        <s v="T1"/>
        <s v="T2"/>
      </sharedItems>
    </cacheField>
    <cacheField name="Tranche_CA" numFmtId="0">
      <sharedItems/>
    </cacheField>
    <cacheField name="Mois (Date_Commande)" numFmtId="0" databaseField="0">
      <fieldGroup base="1">
        <rangePr groupBy="months" startDate="2023-01-02T00:00:00" endDate="2025-01-01T00:00:00"/>
        <groupItems count="14">
          <s v="&lt;02/01/2023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5"/>
        </groupItems>
      </fieldGroup>
    </cacheField>
    <cacheField name="Trimestres (Date_Commande)" numFmtId="0" databaseField="0">
      <fieldGroup base="1">
        <rangePr groupBy="quarters" startDate="2023-01-02T00:00:00" endDate="2025-01-01T00:00:00"/>
        <groupItems count="6">
          <s v="&lt;02/01/2023"/>
          <s v="Trimestre1"/>
          <s v="Trimestre2"/>
          <s v="Trimestre3"/>
          <s v="Trimestre4"/>
          <s v="&gt;01/01/2025"/>
        </groupItems>
      </fieldGroup>
    </cacheField>
    <cacheField name="Années (Date_Commande)" numFmtId="0" databaseField="0">
      <fieldGroup base="1">
        <rangePr groupBy="years" startDate="2023-01-02T00:00:00" endDate="2025-01-01T00:00:00"/>
        <groupItems count="5">
          <s v="&lt;02/01/2023"/>
          <s v="2023"/>
          <s v="2024"/>
          <s v="2025"/>
          <s v="&gt;01/01/2025"/>
        </groupItems>
      </fieldGroup>
    </cacheField>
  </cacheFields>
  <extLst>
    <ext xmlns:x14="http://schemas.microsoft.com/office/spreadsheetml/2009/9/main" uri="{725AE2AE-9491-48be-B2B4-4EB974FC3084}">
      <x14:pivotCacheDefinition pivotCacheId="4349602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x v="0"/>
    <x v="0"/>
    <x v="0"/>
    <x v="0"/>
    <x v="0"/>
    <n v="48"/>
    <n v="21000"/>
    <n v="10"/>
    <n v="1008000"/>
    <x v="0"/>
    <x v="0"/>
    <x v="0"/>
    <x v="0"/>
    <x v="0"/>
    <s v="10/2024"/>
    <x v="0"/>
    <s v="Grande"/>
  </r>
  <r>
    <n v="2"/>
    <x v="1"/>
    <x v="1"/>
    <x v="0"/>
    <x v="1"/>
    <x v="1"/>
    <n v="39"/>
    <n v="8100"/>
    <n v="15"/>
    <n v="315900"/>
    <x v="1"/>
    <x v="0"/>
    <x v="1"/>
    <x v="1"/>
    <x v="0"/>
    <s v="08/2024"/>
    <x v="1"/>
    <s v="Grande"/>
  </r>
  <r>
    <n v="3"/>
    <x v="2"/>
    <x v="2"/>
    <x v="1"/>
    <x v="2"/>
    <x v="2"/>
    <n v="1"/>
    <n v="5700"/>
    <n v="15"/>
    <n v="5700"/>
    <x v="2"/>
    <x v="1"/>
    <x v="1"/>
    <x v="0"/>
    <x v="0"/>
    <s v="10/2024"/>
    <x v="0"/>
    <s v="Petite"/>
  </r>
  <r>
    <n v="4"/>
    <x v="1"/>
    <x v="3"/>
    <x v="2"/>
    <x v="2"/>
    <x v="3"/>
    <n v="22"/>
    <n v="2100"/>
    <n v="0"/>
    <n v="46200"/>
    <x v="3"/>
    <x v="0"/>
    <x v="2"/>
    <x v="1"/>
    <x v="0"/>
    <s v="08/2024"/>
    <x v="1"/>
    <s v="Petite"/>
  </r>
  <r>
    <n v="5"/>
    <x v="3"/>
    <x v="3"/>
    <x v="3"/>
    <x v="0"/>
    <x v="4"/>
    <n v="35"/>
    <n v="37900"/>
    <n v="0"/>
    <n v="1326500"/>
    <x v="4"/>
    <x v="0"/>
    <x v="2"/>
    <x v="2"/>
    <x v="0"/>
    <s v="03/2024"/>
    <x v="2"/>
    <s v="Grande"/>
  </r>
  <r>
    <n v="6"/>
    <x v="4"/>
    <x v="4"/>
    <x v="3"/>
    <x v="0"/>
    <x v="0"/>
    <n v="3"/>
    <n v="23700"/>
    <n v="0"/>
    <n v="71100"/>
    <x v="5"/>
    <x v="1"/>
    <x v="3"/>
    <x v="3"/>
    <x v="0"/>
    <s v="07/2024"/>
    <x v="1"/>
    <s v="Moyenne"/>
  </r>
  <r>
    <n v="7"/>
    <x v="5"/>
    <x v="0"/>
    <x v="1"/>
    <x v="0"/>
    <x v="5"/>
    <n v="24"/>
    <n v="3700"/>
    <n v="0"/>
    <n v="88800"/>
    <x v="6"/>
    <x v="0"/>
    <x v="3"/>
    <x v="1"/>
    <x v="1"/>
    <s v="08/2023"/>
    <x v="1"/>
    <s v="Moyenne"/>
  </r>
  <r>
    <n v="8"/>
    <x v="6"/>
    <x v="4"/>
    <x v="0"/>
    <x v="3"/>
    <x v="6"/>
    <n v="16"/>
    <n v="10100"/>
    <n v="0"/>
    <n v="161600"/>
    <x v="7"/>
    <x v="0"/>
    <x v="2"/>
    <x v="4"/>
    <x v="0"/>
    <s v="11/2024"/>
    <x v="0"/>
    <s v="Moyenne"/>
  </r>
  <r>
    <n v="9"/>
    <x v="7"/>
    <x v="2"/>
    <x v="4"/>
    <x v="0"/>
    <x v="4"/>
    <n v="3"/>
    <n v="33500"/>
    <n v="0"/>
    <n v="100500"/>
    <x v="8"/>
    <x v="1"/>
    <x v="2"/>
    <x v="0"/>
    <x v="0"/>
    <s v="10/2024"/>
    <x v="0"/>
    <s v="Moyenne"/>
  </r>
  <r>
    <n v="10"/>
    <x v="8"/>
    <x v="5"/>
    <x v="3"/>
    <x v="0"/>
    <x v="0"/>
    <n v="26"/>
    <n v="23400"/>
    <n v="0"/>
    <n v="608400"/>
    <x v="9"/>
    <x v="2"/>
    <x v="2"/>
    <x v="5"/>
    <x v="1"/>
    <s v="09/2023"/>
    <x v="1"/>
    <s v="Grande"/>
  </r>
  <r>
    <n v="11"/>
    <x v="9"/>
    <x v="6"/>
    <x v="4"/>
    <x v="3"/>
    <x v="7"/>
    <n v="28"/>
    <n v="23900"/>
    <n v="0"/>
    <n v="669200"/>
    <x v="10"/>
    <x v="2"/>
    <x v="2"/>
    <x v="5"/>
    <x v="1"/>
    <s v="09/2023"/>
    <x v="1"/>
    <s v="Grande"/>
  </r>
  <r>
    <n v="12"/>
    <x v="10"/>
    <x v="6"/>
    <x v="3"/>
    <x v="4"/>
    <x v="8"/>
    <n v="8"/>
    <n v="70800"/>
    <n v="20"/>
    <n v="566400"/>
    <x v="11"/>
    <x v="0"/>
    <x v="1"/>
    <x v="1"/>
    <x v="1"/>
    <s v="08/2023"/>
    <x v="1"/>
    <s v="Grande"/>
  </r>
  <r>
    <n v="13"/>
    <x v="11"/>
    <x v="7"/>
    <x v="3"/>
    <x v="1"/>
    <x v="9"/>
    <n v="30"/>
    <n v="9000"/>
    <n v="15"/>
    <n v="270000"/>
    <x v="12"/>
    <x v="0"/>
    <x v="0"/>
    <x v="4"/>
    <x v="0"/>
    <s v="11/2024"/>
    <x v="0"/>
    <s v="Grande"/>
  </r>
  <r>
    <n v="14"/>
    <x v="12"/>
    <x v="2"/>
    <x v="2"/>
    <x v="0"/>
    <x v="10"/>
    <n v="11"/>
    <n v="27300"/>
    <n v="10"/>
    <n v="300300"/>
    <x v="13"/>
    <x v="0"/>
    <x v="3"/>
    <x v="6"/>
    <x v="1"/>
    <s v="04/2023"/>
    <x v="3"/>
    <s v="Grande"/>
  </r>
  <r>
    <n v="15"/>
    <x v="13"/>
    <x v="2"/>
    <x v="0"/>
    <x v="0"/>
    <x v="0"/>
    <n v="49"/>
    <n v="20600"/>
    <n v="10"/>
    <n v="1009400"/>
    <x v="14"/>
    <x v="0"/>
    <x v="0"/>
    <x v="7"/>
    <x v="1"/>
    <s v="02/2023"/>
    <x v="2"/>
    <s v="Grande"/>
  </r>
  <r>
    <n v="16"/>
    <x v="14"/>
    <x v="8"/>
    <x v="0"/>
    <x v="1"/>
    <x v="11"/>
    <n v="20"/>
    <n v="6700"/>
    <n v="10"/>
    <n v="134000"/>
    <x v="15"/>
    <x v="0"/>
    <x v="1"/>
    <x v="4"/>
    <x v="1"/>
    <s v="11/2023"/>
    <x v="0"/>
    <s v="Moyenne"/>
  </r>
  <r>
    <n v="17"/>
    <x v="15"/>
    <x v="0"/>
    <x v="1"/>
    <x v="1"/>
    <x v="12"/>
    <n v="31"/>
    <n v="16800"/>
    <n v="0"/>
    <n v="520800"/>
    <x v="16"/>
    <x v="3"/>
    <x v="1"/>
    <x v="2"/>
    <x v="1"/>
    <s v="03/2023"/>
    <x v="2"/>
    <s v="Grande"/>
  </r>
  <r>
    <n v="18"/>
    <x v="16"/>
    <x v="9"/>
    <x v="1"/>
    <x v="2"/>
    <x v="3"/>
    <n v="26"/>
    <n v="1900"/>
    <n v="5"/>
    <n v="49400"/>
    <x v="17"/>
    <x v="3"/>
    <x v="3"/>
    <x v="8"/>
    <x v="0"/>
    <s v="06/2024"/>
    <x v="3"/>
    <s v="Petite"/>
  </r>
  <r>
    <n v="19"/>
    <x v="17"/>
    <x v="8"/>
    <x v="0"/>
    <x v="2"/>
    <x v="3"/>
    <n v="2"/>
    <n v="1600"/>
    <n v="10"/>
    <n v="3200"/>
    <x v="18"/>
    <x v="0"/>
    <x v="1"/>
    <x v="8"/>
    <x v="0"/>
    <s v="06/2024"/>
    <x v="3"/>
    <s v="Petite"/>
  </r>
  <r>
    <n v="20"/>
    <x v="18"/>
    <x v="1"/>
    <x v="0"/>
    <x v="1"/>
    <x v="1"/>
    <n v="3"/>
    <n v="7800"/>
    <n v="10"/>
    <n v="23400"/>
    <x v="19"/>
    <x v="2"/>
    <x v="0"/>
    <x v="1"/>
    <x v="1"/>
    <s v="08/2023"/>
    <x v="1"/>
    <s v="Petite"/>
  </r>
  <r>
    <n v="21"/>
    <x v="19"/>
    <x v="4"/>
    <x v="1"/>
    <x v="2"/>
    <x v="13"/>
    <n v="37"/>
    <n v="4500"/>
    <n v="20"/>
    <n v="166500"/>
    <x v="20"/>
    <x v="0"/>
    <x v="1"/>
    <x v="9"/>
    <x v="1"/>
    <s v="01/2023"/>
    <x v="2"/>
    <s v="Moyenne"/>
  </r>
  <r>
    <n v="22"/>
    <x v="20"/>
    <x v="7"/>
    <x v="5"/>
    <x v="1"/>
    <x v="14"/>
    <n v="23"/>
    <n v="127800"/>
    <n v="20"/>
    <n v="2939400"/>
    <x v="21"/>
    <x v="0"/>
    <x v="2"/>
    <x v="6"/>
    <x v="0"/>
    <s v="04/2024"/>
    <x v="3"/>
    <s v="Grande"/>
  </r>
  <r>
    <n v="23"/>
    <x v="21"/>
    <x v="0"/>
    <x v="0"/>
    <x v="4"/>
    <x v="15"/>
    <n v="7"/>
    <n v="8300"/>
    <n v="10"/>
    <n v="58100"/>
    <x v="22"/>
    <x v="0"/>
    <x v="1"/>
    <x v="7"/>
    <x v="1"/>
    <s v="02/2023"/>
    <x v="2"/>
    <s v="Moyenne"/>
  </r>
  <r>
    <n v="24"/>
    <x v="22"/>
    <x v="6"/>
    <x v="1"/>
    <x v="2"/>
    <x v="16"/>
    <n v="5"/>
    <n v="9800"/>
    <n v="0"/>
    <n v="49000"/>
    <x v="23"/>
    <x v="0"/>
    <x v="0"/>
    <x v="6"/>
    <x v="0"/>
    <s v="04/2024"/>
    <x v="3"/>
    <s v="Petite"/>
  </r>
  <r>
    <n v="25"/>
    <x v="23"/>
    <x v="2"/>
    <x v="0"/>
    <x v="1"/>
    <x v="1"/>
    <n v="32"/>
    <n v="8000"/>
    <n v="0"/>
    <n v="256000"/>
    <x v="24"/>
    <x v="0"/>
    <x v="2"/>
    <x v="0"/>
    <x v="0"/>
    <s v="10/2024"/>
    <x v="0"/>
    <s v="Grande"/>
  </r>
  <r>
    <n v="26"/>
    <x v="24"/>
    <x v="7"/>
    <x v="0"/>
    <x v="4"/>
    <x v="17"/>
    <n v="30"/>
    <n v="130100"/>
    <n v="0"/>
    <n v="3903000"/>
    <x v="25"/>
    <x v="0"/>
    <x v="2"/>
    <x v="8"/>
    <x v="1"/>
    <s v="06/2023"/>
    <x v="3"/>
    <s v="Grande"/>
  </r>
  <r>
    <n v="27"/>
    <x v="25"/>
    <x v="4"/>
    <x v="4"/>
    <x v="1"/>
    <x v="18"/>
    <n v="4"/>
    <n v="92400"/>
    <n v="10"/>
    <n v="369600"/>
    <x v="26"/>
    <x v="0"/>
    <x v="4"/>
    <x v="3"/>
    <x v="1"/>
    <s v="07/2023"/>
    <x v="1"/>
    <s v="Grande"/>
  </r>
  <r>
    <n v="28"/>
    <x v="26"/>
    <x v="6"/>
    <x v="0"/>
    <x v="3"/>
    <x v="19"/>
    <n v="5"/>
    <n v="2400"/>
    <n v="5"/>
    <n v="12000"/>
    <x v="27"/>
    <x v="0"/>
    <x v="1"/>
    <x v="8"/>
    <x v="0"/>
    <s v="06/2024"/>
    <x v="3"/>
    <s v="Petite"/>
  </r>
  <r>
    <n v="29"/>
    <x v="27"/>
    <x v="9"/>
    <x v="4"/>
    <x v="3"/>
    <x v="20"/>
    <n v="27"/>
    <n v="6900"/>
    <n v="0"/>
    <n v="186300"/>
    <x v="28"/>
    <x v="1"/>
    <x v="3"/>
    <x v="2"/>
    <x v="1"/>
    <s v="03/2023"/>
    <x v="2"/>
    <s v="Moyenne"/>
  </r>
  <r>
    <n v="30"/>
    <x v="28"/>
    <x v="3"/>
    <x v="4"/>
    <x v="0"/>
    <x v="21"/>
    <n v="42"/>
    <n v="4200"/>
    <n v="20"/>
    <n v="176400"/>
    <x v="29"/>
    <x v="0"/>
    <x v="4"/>
    <x v="3"/>
    <x v="1"/>
    <s v="07/2023"/>
    <x v="1"/>
    <s v="Moyenne"/>
  </r>
  <r>
    <n v="31"/>
    <x v="29"/>
    <x v="1"/>
    <x v="1"/>
    <x v="3"/>
    <x v="19"/>
    <n v="14"/>
    <n v="2000"/>
    <n v="0"/>
    <n v="28000"/>
    <x v="30"/>
    <x v="0"/>
    <x v="1"/>
    <x v="2"/>
    <x v="1"/>
    <s v="03/2023"/>
    <x v="2"/>
    <s v="Petite"/>
  </r>
  <r>
    <n v="32"/>
    <x v="30"/>
    <x v="5"/>
    <x v="2"/>
    <x v="0"/>
    <x v="22"/>
    <n v="35"/>
    <n v="12100"/>
    <n v="15"/>
    <n v="423500"/>
    <x v="31"/>
    <x v="1"/>
    <x v="0"/>
    <x v="10"/>
    <x v="1"/>
    <s v="12/2023"/>
    <x v="0"/>
    <s v="Grande"/>
  </r>
  <r>
    <n v="33"/>
    <x v="31"/>
    <x v="4"/>
    <x v="0"/>
    <x v="2"/>
    <x v="16"/>
    <n v="7"/>
    <n v="8900"/>
    <n v="0"/>
    <n v="62300"/>
    <x v="32"/>
    <x v="1"/>
    <x v="1"/>
    <x v="3"/>
    <x v="0"/>
    <s v="07/2024"/>
    <x v="1"/>
    <s v="Moyenne"/>
  </r>
  <r>
    <n v="34"/>
    <x v="32"/>
    <x v="9"/>
    <x v="4"/>
    <x v="0"/>
    <x v="0"/>
    <n v="17"/>
    <n v="23600"/>
    <n v="20"/>
    <n v="401200"/>
    <x v="33"/>
    <x v="0"/>
    <x v="3"/>
    <x v="0"/>
    <x v="1"/>
    <s v="10/2023"/>
    <x v="0"/>
    <s v="Grande"/>
  </r>
  <r>
    <n v="35"/>
    <x v="33"/>
    <x v="0"/>
    <x v="1"/>
    <x v="0"/>
    <x v="4"/>
    <n v="50"/>
    <n v="31500"/>
    <n v="0"/>
    <n v="1575000"/>
    <x v="34"/>
    <x v="0"/>
    <x v="3"/>
    <x v="7"/>
    <x v="1"/>
    <s v="02/2023"/>
    <x v="2"/>
    <s v="Grande"/>
  </r>
  <r>
    <n v="36"/>
    <x v="34"/>
    <x v="2"/>
    <x v="1"/>
    <x v="3"/>
    <x v="20"/>
    <n v="45"/>
    <n v="6000"/>
    <n v="20"/>
    <n v="270000"/>
    <x v="35"/>
    <x v="2"/>
    <x v="0"/>
    <x v="2"/>
    <x v="0"/>
    <s v="03/2024"/>
    <x v="2"/>
    <s v="Grande"/>
  </r>
  <r>
    <n v="37"/>
    <x v="35"/>
    <x v="9"/>
    <x v="3"/>
    <x v="2"/>
    <x v="23"/>
    <n v="20"/>
    <n v="4500"/>
    <n v="0"/>
    <n v="90000"/>
    <x v="36"/>
    <x v="0"/>
    <x v="0"/>
    <x v="9"/>
    <x v="0"/>
    <s v="01/2024"/>
    <x v="2"/>
    <s v="Moyenne"/>
  </r>
  <r>
    <n v="38"/>
    <x v="36"/>
    <x v="5"/>
    <x v="0"/>
    <x v="0"/>
    <x v="21"/>
    <n v="48"/>
    <n v="5100"/>
    <n v="20"/>
    <n v="244800"/>
    <x v="37"/>
    <x v="0"/>
    <x v="4"/>
    <x v="6"/>
    <x v="1"/>
    <s v="04/2023"/>
    <x v="3"/>
    <s v="Moyenne"/>
  </r>
  <r>
    <n v="39"/>
    <x v="37"/>
    <x v="6"/>
    <x v="1"/>
    <x v="1"/>
    <x v="12"/>
    <n v="22"/>
    <n v="19500"/>
    <n v="20"/>
    <n v="429000"/>
    <x v="38"/>
    <x v="1"/>
    <x v="2"/>
    <x v="8"/>
    <x v="1"/>
    <s v="06/2023"/>
    <x v="3"/>
    <s v="Grande"/>
  </r>
  <r>
    <n v="40"/>
    <x v="38"/>
    <x v="5"/>
    <x v="2"/>
    <x v="2"/>
    <x v="24"/>
    <n v="3"/>
    <n v="5500"/>
    <n v="0"/>
    <n v="16500"/>
    <x v="39"/>
    <x v="2"/>
    <x v="1"/>
    <x v="4"/>
    <x v="0"/>
    <s v="11/2024"/>
    <x v="0"/>
    <s v="Petite"/>
  </r>
  <r>
    <n v="41"/>
    <x v="39"/>
    <x v="3"/>
    <x v="2"/>
    <x v="2"/>
    <x v="3"/>
    <n v="13"/>
    <n v="1600"/>
    <n v="20"/>
    <n v="20800"/>
    <x v="40"/>
    <x v="0"/>
    <x v="3"/>
    <x v="6"/>
    <x v="0"/>
    <s v="04/2024"/>
    <x v="3"/>
    <s v="Petite"/>
  </r>
  <r>
    <n v="42"/>
    <x v="40"/>
    <x v="4"/>
    <x v="2"/>
    <x v="3"/>
    <x v="25"/>
    <n v="35"/>
    <n v="8000"/>
    <n v="0"/>
    <n v="280000"/>
    <x v="41"/>
    <x v="0"/>
    <x v="0"/>
    <x v="2"/>
    <x v="1"/>
    <s v="03/2023"/>
    <x v="2"/>
    <s v="Grande"/>
  </r>
  <r>
    <n v="43"/>
    <x v="41"/>
    <x v="6"/>
    <x v="3"/>
    <x v="0"/>
    <x v="4"/>
    <n v="28"/>
    <n v="32400"/>
    <n v="5"/>
    <n v="907200"/>
    <x v="42"/>
    <x v="0"/>
    <x v="3"/>
    <x v="5"/>
    <x v="1"/>
    <s v="09/2023"/>
    <x v="1"/>
    <s v="Grande"/>
  </r>
  <r>
    <n v="44"/>
    <x v="42"/>
    <x v="2"/>
    <x v="0"/>
    <x v="4"/>
    <x v="26"/>
    <n v="46"/>
    <n v="40500"/>
    <n v="0"/>
    <n v="1863000"/>
    <x v="43"/>
    <x v="0"/>
    <x v="1"/>
    <x v="10"/>
    <x v="0"/>
    <s v="12/2024"/>
    <x v="0"/>
    <s v="Grande"/>
  </r>
  <r>
    <n v="45"/>
    <x v="43"/>
    <x v="0"/>
    <x v="2"/>
    <x v="3"/>
    <x v="27"/>
    <n v="8"/>
    <n v="12800"/>
    <n v="10"/>
    <n v="102400"/>
    <x v="44"/>
    <x v="1"/>
    <x v="3"/>
    <x v="2"/>
    <x v="0"/>
    <s v="03/2024"/>
    <x v="2"/>
    <s v="Moyenne"/>
  </r>
  <r>
    <n v="46"/>
    <x v="44"/>
    <x v="7"/>
    <x v="5"/>
    <x v="4"/>
    <x v="17"/>
    <n v="13"/>
    <n v="119400"/>
    <n v="15"/>
    <n v="1552200"/>
    <x v="45"/>
    <x v="0"/>
    <x v="2"/>
    <x v="4"/>
    <x v="1"/>
    <s v="11/2023"/>
    <x v="0"/>
    <s v="Grande"/>
  </r>
  <r>
    <n v="47"/>
    <x v="45"/>
    <x v="9"/>
    <x v="3"/>
    <x v="0"/>
    <x v="21"/>
    <n v="1"/>
    <n v="4700"/>
    <n v="5"/>
    <n v="4700"/>
    <x v="46"/>
    <x v="0"/>
    <x v="1"/>
    <x v="8"/>
    <x v="1"/>
    <s v="06/2023"/>
    <x v="3"/>
    <s v="Petite"/>
  </r>
  <r>
    <n v="48"/>
    <x v="46"/>
    <x v="9"/>
    <x v="2"/>
    <x v="4"/>
    <x v="28"/>
    <n v="14"/>
    <n v="12100"/>
    <n v="15"/>
    <n v="169400"/>
    <x v="47"/>
    <x v="0"/>
    <x v="1"/>
    <x v="1"/>
    <x v="0"/>
    <s v="08/2024"/>
    <x v="1"/>
    <s v="Moyenne"/>
  </r>
  <r>
    <n v="49"/>
    <x v="47"/>
    <x v="4"/>
    <x v="3"/>
    <x v="3"/>
    <x v="27"/>
    <n v="49"/>
    <n v="11100"/>
    <n v="0"/>
    <n v="543900"/>
    <x v="48"/>
    <x v="0"/>
    <x v="3"/>
    <x v="2"/>
    <x v="1"/>
    <s v="03/2023"/>
    <x v="2"/>
    <s v="Grande"/>
  </r>
  <r>
    <n v="50"/>
    <x v="48"/>
    <x v="6"/>
    <x v="0"/>
    <x v="1"/>
    <x v="1"/>
    <n v="40"/>
    <n v="9700"/>
    <n v="5"/>
    <n v="388000"/>
    <x v="49"/>
    <x v="1"/>
    <x v="0"/>
    <x v="3"/>
    <x v="1"/>
    <s v="07/2023"/>
    <x v="1"/>
    <s v="Grande"/>
  </r>
  <r>
    <n v="51"/>
    <x v="49"/>
    <x v="9"/>
    <x v="4"/>
    <x v="4"/>
    <x v="28"/>
    <n v="10"/>
    <n v="12000"/>
    <n v="20"/>
    <n v="120000"/>
    <x v="50"/>
    <x v="1"/>
    <x v="0"/>
    <x v="7"/>
    <x v="0"/>
    <s v="02/2024"/>
    <x v="2"/>
    <s v="Moyenne"/>
  </r>
  <r>
    <n v="52"/>
    <x v="50"/>
    <x v="7"/>
    <x v="4"/>
    <x v="2"/>
    <x v="2"/>
    <n v="16"/>
    <n v="4900"/>
    <n v="5"/>
    <n v="78400"/>
    <x v="51"/>
    <x v="2"/>
    <x v="0"/>
    <x v="6"/>
    <x v="1"/>
    <s v="04/2023"/>
    <x v="3"/>
    <s v="Moyenne"/>
  </r>
  <r>
    <n v="53"/>
    <x v="51"/>
    <x v="8"/>
    <x v="3"/>
    <x v="3"/>
    <x v="27"/>
    <n v="29"/>
    <n v="13700"/>
    <n v="0"/>
    <n v="397300"/>
    <x v="52"/>
    <x v="0"/>
    <x v="2"/>
    <x v="11"/>
    <x v="1"/>
    <s v="05/2023"/>
    <x v="3"/>
    <s v="Grande"/>
  </r>
  <r>
    <n v="54"/>
    <x v="52"/>
    <x v="8"/>
    <x v="4"/>
    <x v="4"/>
    <x v="28"/>
    <n v="16"/>
    <n v="11600"/>
    <n v="20"/>
    <n v="185600"/>
    <x v="53"/>
    <x v="1"/>
    <x v="3"/>
    <x v="3"/>
    <x v="0"/>
    <s v="07/2024"/>
    <x v="1"/>
    <s v="Moyenne"/>
  </r>
  <r>
    <n v="55"/>
    <x v="53"/>
    <x v="8"/>
    <x v="4"/>
    <x v="0"/>
    <x v="5"/>
    <n v="19"/>
    <n v="3200"/>
    <n v="0"/>
    <n v="60800"/>
    <x v="54"/>
    <x v="0"/>
    <x v="3"/>
    <x v="8"/>
    <x v="0"/>
    <s v="06/2024"/>
    <x v="3"/>
    <s v="Moyenne"/>
  </r>
  <r>
    <n v="56"/>
    <x v="54"/>
    <x v="0"/>
    <x v="4"/>
    <x v="2"/>
    <x v="3"/>
    <n v="10"/>
    <n v="1800"/>
    <n v="5"/>
    <n v="18000"/>
    <x v="55"/>
    <x v="1"/>
    <x v="0"/>
    <x v="3"/>
    <x v="0"/>
    <s v="07/2024"/>
    <x v="1"/>
    <s v="Petite"/>
  </r>
  <r>
    <n v="57"/>
    <x v="55"/>
    <x v="3"/>
    <x v="3"/>
    <x v="4"/>
    <x v="29"/>
    <n v="27"/>
    <n v="16500"/>
    <n v="20"/>
    <n v="445500"/>
    <x v="56"/>
    <x v="0"/>
    <x v="0"/>
    <x v="7"/>
    <x v="0"/>
    <s v="02/2024"/>
    <x v="2"/>
    <s v="Grande"/>
  </r>
  <r>
    <n v="58"/>
    <x v="56"/>
    <x v="7"/>
    <x v="1"/>
    <x v="1"/>
    <x v="11"/>
    <n v="25"/>
    <n v="5800"/>
    <n v="10"/>
    <n v="145000"/>
    <x v="57"/>
    <x v="2"/>
    <x v="2"/>
    <x v="10"/>
    <x v="0"/>
    <s v="12/2024"/>
    <x v="0"/>
    <s v="Moyenne"/>
  </r>
  <r>
    <n v="59"/>
    <x v="57"/>
    <x v="9"/>
    <x v="4"/>
    <x v="4"/>
    <x v="26"/>
    <n v="32"/>
    <n v="40700"/>
    <n v="0"/>
    <n v="1302400"/>
    <x v="58"/>
    <x v="0"/>
    <x v="3"/>
    <x v="3"/>
    <x v="0"/>
    <s v="07/2024"/>
    <x v="1"/>
    <s v="Grande"/>
  </r>
  <r>
    <n v="60"/>
    <x v="58"/>
    <x v="7"/>
    <x v="4"/>
    <x v="4"/>
    <x v="30"/>
    <n v="35"/>
    <n v="32100"/>
    <n v="10"/>
    <n v="1123500"/>
    <x v="59"/>
    <x v="0"/>
    <x v="2"/>
    <x v="4"/>
    <x v="0"/>
    <s v="11/2024"/>
    <x v="0"/>
    <s v="Grande"/>
  </r>
  <r>
    <n v="61"/>
    <x v="59"/>
    <x v="1"/>
    <x v="0"/>
    <x v="4"/>
    <x v="30"/>
    <n v="12"/>
    <n v="31300"/>
    <n v="0"/>
    <n v="375600"/>
    <x v="60"/>
    <x v="0"/>
    <x v="2"/>
    <x v="3"/>
    <x v="0"/>
    <s v="07/2024"/>
    <x v="1"/>
    <s v="Grande"/>
  </r>
  <r>
    <n v="62"/>
    <x v="60"/>
    <x v="8"/>
    <x v="2"/>
    <x v="0"/>
    <x v="21"/>
    <n v="27"/>
    <n v="4400"/>
    <n v="5"/>
    <n v="118800"/>
    <x v="61"/>
    <x v="0"/>
    <x v="0"/>
    <x v="11"/>
    <x v="1"/>
    <s v="05/2023"/>
    <x v="3"/>
    <s v="Moyenne"/>
  </r>
  <r>
    <n v="63"/>
    <x v="61"/>
    <x v="2"/>
    <x v="0"/>
    <x v="0"/>
    <x v="0"/>
    <n v="50"/>
    <n v="23400"/>
    <n v="20"/>
    <n v="1170000"/>
    <x v="62"/>
    <x v="3"/>
    <x v="0"/>
    <x v="9"/>
    <x v="1"/>
    <s v="01/2023"/>
    <x v="2"/>
    <s v="Grande"/>
  </r>
  <r>
    <n v="64"/>
    <x v="62"/>
    <x v="5"/>
    <x v="4"/>
    <x v="1"/>
    <x v="12"/>
    <n v="31"/>
    <n v="17300"/>
    <n v="5"/>
    <n v="536300"/>
    <x v="63"/>
    <x v="1"/>
    <x v="1"/>
    <x v="9"/>
    <x v="1"/>
    <s v="01/2023"/>
    <x v="2"/>
    <s v="Grande"/>
  </r>
  <r>
    <n v="65"/>
    <x v="63"/>
    <x v="4"/>
    <x v="2"/>
    <x v="2"/>
    <x v="24"/>
    <n v="11"/>
    <n v="6000"/>
    <n v="10"/>
    <n v="66000"/>
    <x v="64"/>
    <x v="3"/>
    <x v="0"/>
    <x v="10"/>
    <x v="0"/>
    <s v="12/2024"/>
    <x v="0"/>
    <s v="Moyenne"/>
  </r>
  <r>
    <n v="66"/>
    <x v="64"/>
    <x v="4"/>
    <x v="3"/>
    <x v="4"/>
    <x v="29"/>
    <n v="13"/>
    <n v="20400"/>
    <n v="0"/>
    <n v="265200"/>
    <x v="65"/>
    <x v="0"/>
    <x v="1"/>
    <x v="9"/>
    <x v="1"/>
    <s v="01/2023"/>
    <x v="2"/>
    <s v="Grande"/>
  </r>
  <r>
    <n v="367"/>
    <x v="65"/>
    <x v="6"/>
    <x v="3"/>
    <x v="4"/>
    <x v="30"/>
    <n v="22"/>
    <n v="25600"/>
    <n v="5"/>
    <n v="563200"/>
    <x v="66"/>
    <x v="0"/>
    <x v="1"/>
    <x v="0"/>
    <x v="0"/>
    <s v="10/2024"/>
    <x v="0"/>
    <s v="Grande"/>
  </r>
  <r>
    <n v="67"/>
    <x v="66"/>
    <x v="4"/>
    <x v="3"/>
    <x v="1"/>
    <x v="18"/>
    <n v="28"/>
    <n v="83900"/>
    <n v="10"/>
    <n v="2349200"/>
    <x v="67"/>
    <x v="1"/>
    <x v="0"/>
    <x v="10"/>
    <x v="0"/>
    <s v="12/2024"/>
    <x v="0"/>
    <s v="Grande"/>
  </r>
  <r>
    <n v="68"/>
    <x v="67"/>
    <x v="3"/>
    <x v="0"/>
    <x v="4"/>
    <x v="28"/>
    <n v="24"/>
    <n v="11100"/>
    <n v="15"/>
    <n v="266400"/>
    <x v="68"/>
    <x v="0"/>
    <x v="2"/>
    <x v="0"/>
    <x v="0"/>
    <s v="10/2024"/>
    <x v="0"/>
    <s v="Grande"/>
  </r>
  <r>
    <n v="69"/>
    <x v="68"/>
    <x v="7"/>
    <x v="4"/>
    <x v="3"/>
    <x v="7"/>
    <n v="35"/>
    <n v="23200"/>
    <n v="5"/>
    <n v="812000"/>
    <x v="69"/>
    <x v="1"/>
    <x v="2"/>
    <x v="8"/>
    <x v="1"/>
    <s v="06/2023"/>
    <x v="3"/>
    <s v="Grande"/>
  </r>
  <r>
    <n v="70"/>
    <x v="69"/>
    <x v="4"/>
    <x v="2"/>
    <x v="2"/>
    <x v="24"/>
    <n v="29"/>
    <n v="5300"/>
    <n v="10"/>
    <n v="153700"/>
    <x v="70"/>
    <x v="0"/>
    <x v="2"/>
    <x v="1"/>
    <x v="0"/>
    <s v="08/2024"/>
    <x v="1"/>
    <s v="Moyenne"/>
  </r>
  <r>
    <n v="71"/>
    <x v="70"/>
    <x v="7"/>
    <x v="2"/>
    <x v="1"/>
    <x v="31"/>
    <n v="12"/>
    <n v="27800"/>
    <n v="20"/>
    <n v="333600"/>
    <x v="71"/>
    <x v="0"/>
    <x v="3"/>
    <x v="5"/>
    <x v="0"/>
    <s v="09/2024"/>
    <x v="1"/>
    <s v="Grande"/>
  </r>
  <r>
    <n v="72"/>
    <x v="71"/>
    <x v="3"/>
    <x v="2"/>
    <x v="3"/>
    <x v="7"/>
    <n v="34"/>
    <n v="22900"/>
    <n v="0"/>
    <n v="778600"/>
    <x v="72"/>
    <x v="3"/>
    <x v="0"/>
    <x v="5"/>
    <x v="1"/>
    <s v="09/2023"/>
    <x v="1"/>
    <s v="Grande"/>
  </r>
  <r>
    <n v="73"/>
    <x v="72"/>
    <x v="8"/>
    <x v="3"/>
    <x v="2"/>
    <x v="2"/>
    <n v="32"/>
    <n v="5700"/>
    <n v="0"/>
    <n v="182400"/>
    <x v="73"/>
    <x v="0"/>
    <x v="0"/>
    <x v="7"/>
    <x v="0"/>
    <s v="02/2024"/>
    <x v="2"/>
    <s v="Moyenne"/>
  </r>
  <r>
    <n v="74"/>
    <x v="73"/>
    <x v="5"/>
    <x v="1"/>
    <x v="2"/>
    <x v="16"/>
    <n v="24"/>
    <n v="10200"/>
    <n v="5"/>
    <n v="244800"/>
    <x v="74"/>
    <x v="0"/>
    <x v="3"/>
    <x v="0"/>
    <x v="1"/>
    <s v="10/2023"/>
    <x v="0"/>
    <s v="Grande"/>
  </r>
  <r>
    <n v="75"/>
    <x v="74"/>
    <x v="3"/>
    <x v="2"/>
    <x v="4"/>
    <x v="17"/>
    <n v="15"/>
    <n v="112300"/>
    <n v="0"/>
    <n v="1684500"/>
    <x v="75"/>
    <x v="0"/>
    <x v="1"/>
    <x v="3"/>
    <x v="0"/>
    <s v="07/2024"/>
    <x v="1"/>
    <s v="Grande"/>
  </r>
  <r>
    <n v="76"/>
    <x v="27"/>
    <x v="2"/>
    <x v="4"/>
    <x v="2"/>
    <x v="3"/>
    <n v="18"/>
    <n v="2000"/>
    <n v="0"/>
    <n v="36000"/>
    <x v="76"/>
    <x v="1"/>
    <x v="3"/>
    <x v="2"/>
    <x v="1"/>
    <s v="03/2023"/>
    <x v="2"/>
    <s v="Petite"/>
  </r>
  <r>
    <n v="77"/>
    <x v="75"/>
    <x v="4"/>
    <x v="4"/>
    <x v="0"/>
    <x v="22"/>
    <n v="46"/>
    <n v="11700"/>
    <n v="0"/>
    <n v="538200"/>
    <x v="77"/>
    <x v="0"/>
    <x v="3"/>
    <x v="3"/>
    <x v="1"/>
    <s v="07/2023"/>
    <x v="1"/>
    <s v="Grande"/>
  </r>
  <r>
    <n v="78"/>
    <x v="21"/>
    <x v="2"/>
    <x v="2"/>
    <x v="2"/>
    <x v="2"/>
    <n v="1"/>
    <n v="5000"/>
    <n v="5"/>
    <n v="5000"/>
    <x v="78"/>
    <x v="0"/>
    <x v="2"/>
    <x v="7"/>
    <x v="1"/>
    <s v="02/2023"/>
    <x v="2"/>
    <s v="Petite"/>
  </r>
  <r>
    <n v="79"/>
    <x v="76"/>
    <x v="3"/>
    <x v="4"/>
    <x v="1"/>
    <x v="32"/>
    <n v="31"/>
    <n v="2800"/>
    <n v="5"/>
    <n v="86800"/>
    <x v="79"/>
    <x v="0"/>
    <x v="0"/>
    <x v="2"/>
    <x v="0"/>
    <s v="03/2024"/>
    <x v="2"/>
    <s v="Moyenne"/>
  </r>
  <r>
    <n v="80"/>
    <x v="77"/>
    <x v="0"/>
    <x v="3"/>
    <x v="1"/>
    <x v="12"/>
    <n v="37"/>
    <n v="16900"/>
    <n v="0"/>
    <n v="625300"/>
    <x v="80"/>
    <x v="3"/>
    <x v="4"/>
    <x v="11"/>
    <x v="0"/>
    <s v="05/2024"/>
    <x v="3"/>
    <s v="Grande"/>
  </r>
  <r>
    <n v="81"/>
    <x v="78"/>
    <x v="2"/>
    <x v="1"/>
    <x v="3"/>
    <x v="33"/>
    <n v="25"/>
    <n v="4900"/>
    <n v="0"/>
    <n v="122500"/>
    <x v="81"/>
    <x v="0"/>
    <x v="2"/>
    <x v="7"/>
    <x v="1"/>
    <s v="02/2023"/>
    <x v="2"/>
    <s v="Moyenne"/>
  </r>
  <r>
    <n v="82"/>
    <x v="79"/>
    <x v="7"/>
    <x v="2"/>
    <x v="3"/>
    <x v="20"/>
    <n v="48"/>
    <n v="6800"/>
    <n v="15"/>
    <n v="326400"/>
    <x v="82"/>
    <x v="0"/>
    <x v="1"/>
    <x v="1"/>
    <x v="0"/>
    <s v="08/2024"/>
    <x v="1"/>
    <s v="Grande"/>
  </r>
  <r>
    <n v="83"/>
    <x v="60"/>
    <x v="4"/>
    <x v="0"/>
    <x v="2"/>
    <x v="3"/>
    <n v="5"/>
    <n v="1700"/>
    <n v="5"/>
    <n v="8500"/>
    <x v="83"/>
    <x v="0"/>
    <x v="2"/>
    <x v="11"/>
    <x v="1"/>
    <s v="05/2023"/>
    <x v="3"/>
    <s v="Petite"/>
  </r>
  <r>
    <n v="84"/>
    <x v="80"/>
    <x v="9"/>
    <x v="1"/>
    <x v="0"/>
    <x v="4"/>
    <n v="46"/>
    <n v="33500"/>
    <n v="0"/>
    <n v="1541000"/>
    <x v="84"/>
    <x v="0"/>
    <x v="2"/>
    <x v="8"/>
    <x v="0"/>
    <s v="06/2024"/>
    <x v="3"/>
    <s v="Grande"/>
  </r>
  <r>
    <n v="85"/>
    <x v="81"/>
    <x v="5"/>
    <x v="2"/>
    <x v="3"/>
    <x v="33"/>
    <n v="35"/>
    <n v="4500"/>
    <n v="0"/>
    <n v="157500"/>
    <x v="85"/>
    <x v="0"/>
    <x v="1"/>
    <x v="6"/>
    <x v="0"/>
    <s v="04/2024"/>
    <x v="3"/>
    <s v="Moyenne"/>
  </r>
  <r>
    <n v="86"/>
    <x v="82"/>
    <x v="0"/>
    <x v="0"/>
    <x v="2"/>
    <x v="16"/>
    <n v="37"/>
    <n v="10100"/>
    <n v="0"/>
    <n v="373700"/>
    <x v="86"/>
    <x v="2"/>
    <x v="2"/>
    <x v="11"/>
    <x v="1"/>
    <s v="05/2023"/>
    <x v="3"/>
    <s v="Grande"/>
  </r>
  <r>
    <n v="87"/>
    <x v="83"/>
    <x v="4"/>
    <x v="1"/>
    <x v="0"/>
    <x v="5"/>
    <n v="39"/>
    <n v="3500"/>
    <n v="0"/>
    <n v="136500"/>
    <x v="87"/>
    <x v="0"/>
    <x v="2"/>
    <x v="6"/>
    <x v="0"/>
    <s v="04/2024"/>
    <x v="3"/>
    <s v="Moyenne"/>
  </r>
  <r>
    <n v="88"/>
    <x v="84"/>
    <x v="9"/>
    <x v="2"/>
    <x v="1"/>
    <x v="14"/>
    <n v="44"/>
    <n v="114900"/>
    <n v="0"/>
    <n v="5055600"/>
    <x v="88"/>
    <x v="1"/>
    <x v="0"/>
    <x v="4"/>
    <x v="1"/>
    <s v="11/2023"/>
    <x v="0"/>
    <s v="Grande"/>
  </r>
  <r>
    <n v="89"/>
    <x v="85"/>
    <x v="4"/>
    <x v="3"/>
    <x v="1"/>
    <x v="12"/>
    <n v="42"/>
    <n v="18300"/>
    <n v="0"/>
    <n v="768600"/>
    <x v="89"/>
    <x v="0"/>
    <x v="3"/>
    <x v="4"/>
    <x v="0"/>
    <s v="11/2024"/>
    <x v="0"/>
    <s v="Grande"/>
  </r>
  <r>
    <n v="90"/>
    <x v="86"/>
    <x v="7"/>
    <x v="1"/>
    <x v="1"/>
    <x v="31"/>
    <n v="22"/>
    <n v="24700"/>
    <n v="20"/>
    <n v="543400"/>
    <x v="90"/>
    <x v="0"/>
    <x v="0"/>
    <x v="1"/>
    <x v="0"/>
    <s v="08/2024"/>
    <x v="1"/>
    <s v="Grande"/>
  </r>
  <r>
    <n v="91"/>
    <x v="87"/>
    <x v="3"/>
    <x v="1"/>
    <x v="4"/>
    <x v="17"/>
    <n v="26"/>
    <n v="122500"/>
    <n v="5"/>
    <n v="3185000"/>
    <x v="91"/>
    <x v="1"/>
    <x v="0"/>
    <x v="8"/>
    <x v="1"/>
    <s v="06/2023"/>
    <x v="3"/>
    <s v="Grande"/>
  </r>
  <r>
    <n v="92"/>
    <x v="88"/>
    <x v="3"/>
    <x v="2"/>
    <x v="0"/>
    <x v="10"/>
    <n v="26"/>
    <n v="32000"/>
    <n v="0"/>
    <n v="832000"/>
    <x v="92"/>
    <x v="2"/>
    <x v="0"/>
    <x v="9"/>
    <x v="1"/>
    <s v="01/2023"/>
    <x v="2"/>
    <s v="Grande"/>
  </r>
  <r>
    <n v="93"/>
    <x v="89"/>
    <x v="8"/>
    <x v="1"/>
    <x v="1"/>
    <x v="1"/>
    <n v="40"/>
    <n v="8800"/>
    <n v="20"/>
    <n v="352000"/>
    <x v="93"/>
    <x v="1"/>
    <x v="2"/>
    <x v="5"/>
    <x v="0"/>
    <s v="09/2024"/>
    <x v="1"/>
    <s v="Grande"/>
  </r>
  <r>
    <n v="94"/>
    <x v="33"/>
    <x v="5"/>
    <x v="2"/>
    <x v="3"/>
    <x v="6"/>
    <n v="29"/>
    <n v="11100"/>
    <n v="0"/>
    <n v="321900"/>
    <x v="94"/>
    <x v="2"/>
    <x v="2"/>
    <x v="7"/>
    <x v="1"/>
    <s v="02/2023"/>
    <x v="2"/>
    <s v="Grande"/>
  </r>
  <r>
    <n v="95"/>
    <x v="90"/>
    <x v="9"/>
    <x v="4"/>
    <x v="2"/>
    <x v="16"/>
    <n v="36"/>
    <n v="10000"/>
    <n v="20"/>
    <n v="360000"/>
    <x v="95"/>
    <x v="0"/>
    <x v="1"/>
    <x v="9"/>
    <x v="1"/>
    <s v="01/2023"/>
    <x v="2"/>
    <s v="Grande"/>
  </r>
  <r>
    <n v="96"/>
    <x v="91"/>
    <x v="8"/>
    <x v="0"/>
    <x v="2"/>
    <x v="2"/>
    <n v="19"/>
    <n v="6100"/>
    <n v="5"/>
    <n v="115900"/>
    <x v="96"/>
    <x v="0"/>
    <x v="3"/>
    <x v="6"/>
    <x v="1"/>
    <s v="04/2023"/>
    <x v="3"/>
    <s v="Moyenne"/>
  </r>
  <r>
    <n v="97"/>
    <x v="92"/>
    <x v="8"/>
    <x v="4"/>
    <x v="4"/>
    <x v="30"/>
    <n v="39"/>
    <n v="27900"/>
    <n v="20"/>
    <n v="1088100"/>
    <x v="97"/>
    <x v="0"/>
    <x v="1"/>
    <x v="5"/>
    <x v="0"/>
    <s v="09/2024"/>
    <x v="1"/>
    <s v="Grande"/>
  </r>
  <r>
    <n v="98"/>
    <x v="40"/>
    <x v="4"/>
    <x v="1"/>
    <x v="0"/>
    <x v="34"/>
    <n v="19"/>
    <n v="35400"/>
    <n v="20"/>
    <n v="672600"/>
    <x v="98"/>
    <x v="1"/>
    <x v="2"/>
    <x v="2"/>
    <x v="1"/>
    <s v="03/2023"/>
    <x v="2"/>
    <s v="Grande"/>
  </r>
  <r>
    <n v="99"/>
    <x v="93"/>
    <x v="8"/>
    <x v="3"/>
    <x v="4"/>
    <x v="15"/>
    <n v="49"/>
    <n v="7400"/>
    <n v="0"/>
    <n v="362600"/>
    <x v="99"/>
    <x v="0"/>
    <x v="2"/>
    <x v="7"/>
    <x v="1"/>
    <s v="02/2023"/>
    <x v="2"/>
    <s v="Grande"/>
  </r>
  <r>
    <n v="100"/>
    <x v="94"/>
    <x v="5"/>
    <x v="3"/>
    <x v="4"/>
    <x v="26"/>
    <n v="27"/>
    <n v="46800"/>
    <n v="15"/>
    <n v="1263600"/>
    <x v="100"/>
    <x v="0"/>
    <x v="2"/>
    <x v="3"/>
    <x v="1"/>
    <s v="07/2023"/>
    <x v="1"/>
    <s v="Grande"/>
  </r>
  <r>
    <n v="101"/>
    <x v="95"/>
    <x v="7"/>
    <x v="4"/>
    <x v="4"/>
    <x v="35"/>
    <n v="38"/>
    <n v="88500"/>
    <n v="20"/>
    <n v="3363000"/>
    <x v="101"/>
    <x v="0"/>
    <x v="0"/>
    <x v="9"/>
    <x v="0"/>
    <s v="01/2024"/>
    <x v="2"/>
    <s v="Grande"/>
  </r>
  <r>
    <n v="102"/>
    <x v="96"/>
    <x v="0"/>
    <x v="3"/>
    <x v="4"/>
    <x v="35"/>
    <n v="27"/>
    <n v="102700"/>
    <n v="0"/>
    <n v="2772900"/>
    <x v="102"/>
    <x v="2"/>
    <x v="1"/>
    <x v="2"/>
    <x v="0"/>
    <s v="03/2024"/>
    <x v="2"/>
    <s v="Grande"/>
  </r>
  <r>
    <n v="103"/>
    <x v="97"/>
    <x v="4"/>
    <x v="2"/>
    <x v="3"/>
    <x v="25"/>
    <n v="22"/>
    <n v="8000"/>
    <n v="0"/>
    <n v="176000"/>
    <x v="103"/>
    <x v="2"/>
    <x v="2"/>
    <x v="6"/>
    <x v="0"/>
    <s v="04/2024"/>
    <x v="3"/>
    <s v="Moyenne"/>
  </r>
  <r>
    <n v="104"/>
    <x v="98"/>
    <x v="8"/>
    <x v="3"/>
    <x v="1"/>
    <x v="14"/>
    <n v="44"/>
    <n v="115000"/>
    <n v="15"/>
    <n v="5060000"/>
    <x v="104"/>
    <x v="2"/>
    <x v="1"/>
    <x v="2"/>
    <x v="0"/>
    <s v="03/2024"/>
    <x v="2"/>
    <s v="Grande"/>
  </r>
  <r>
    <n v="105"/>
    <x v="99"/>
    <x v="7"/>
    <x v="0"/>
    <x v="1"/>
    <x v="31"/>
    <n v="20"/>
    <n v="23500"/>
    <n v="0"/>
    <n v="470000"/>
    <x v="105"/>
    <x v="2"/>
    <x v="0"/>
    <x v="2"/>
    <x v="1"/>
    <s v="03/2023"/>
    <x v="2"/>
    <s v="Grande"/>
  </r>
  <r>
    <n v="106"/>
    <x v="100"/>
    <x v="4"/>
    <x v="2"/>
    <x v="0"/>
    <x v="21"/>
    <n v="34"/>
    <n v="4200"/>
    <n v="0"/>
    <n v="142800"/>
    <x v="106"/>
    <x v="0"/>
    <x v="1"/>
    <x v="7"/>
    <x v="1"/>
    <s v="02/2023"/>
    <x v="2"/>
    <s v="Moyenne"/>
  </r>
  <r>
    <n v="107"/>
    <x v="101"/>
    <x v="0"/>
    <x v="3"/>
    <x v="4"/>
    <x v="26"/>
    <n v="38"/>
    <n v="43000"/>
    <n v="15"/>
    <n v="1634000"/>
    <x v="107"/>
    <x v="0"/>
    <x v="2"/>
    <x v="8"/>
    <x v="1"/>
    <s v="06/2023"/>
    <x v="3"/>
    <s v="Grande"/>
  </r>
  <r>
    <n v="108"/>
    <x v="102"/>
    <x v="8"/>
    <x v="2"/>
    <x v="1"/>
    <x v="31"/>
    <n v="44"/>
    <n v="28100"/>
    <n v="5"/>
    <n v="1236400"/>
    <x v="108"/>
    <x v="0"/>
    <x v="0"/>
    <x v="5"/>
    <x v="1"/>
    <s v="09/2023"/>
    <x v="1"/>
    <s v="Grande"/>
  </r>
  <r>
    <n v="109"/>
    <x v="103"/>
    <x v="9"/>
    <x v="2"/>
    <x v="4"/>
    <x v="17"/>
    <n v="20"/>
    <n v="116600"/>
    <n v="20"/>
    <n v="2332000"/>
    <x v="109"/>
    <x v="0"/>
    <x v="2"/>
    <x v="10"/>
    <x v="1"/>
    <s v="12/2023"/>
    <x v="0"/>
    <s v="Grande"/>
  </r>
  <r>
    <n v="110"/>
    <x v="92"/>
    <x v="0"/>
    <x v="4"/>
    <x v="4"/>
    <x v="15"/>
    <n v="45"/>
    <n v="7800"/>
    <n v="0"/>
    <n v="351000"/>
    <x v="110"/>
    <x v="0"/>
    <x v="2"/>
    <x v="5"/>
    <x v="0"/>
    <s v="09/2024"/>
    <x v="1"/>
    <s v="Grande"/>
  </r>
  <r>
    <n v="111"/>
    <x v="104"/>
    <x v="9"/>
    <x v="0"/>
    <x v="3"/>
    <x v="36"/>
    <n v="19"/>
    <n v="4200"/>
    <n v="10"/>
    <n v="79800"/>
    <x v="111"/>
    <x v="1"/>
    <x v="1"/>
    <x v="5"/>
    <x v="1"/>
    <s v="09/2023"/>
    <x v="1"/>
    <s v="Moyenne"/>
  </r>
  <r>
    <n v="112"/>
    <x v="105"/>
    <x v="5"/>
    <x v="4"/>
    <x v="3"/>
    <x v="7"/>
    <n v="47"/>
    <n v="23500"/>
    <n v="15"/>
    <n v="1104500"/>
    <x v="112"/>
    <x v="1"/>
    <x v="1"/>
    <x v="10"/>
    <x v="1"/>
    <s v="12/2023"/>
    <x v="0"/>
    <s v="Grande"/>
  </r>
  <r>
    <n v="221"/>
    <x v="106"/>
    <x v="7"/>
    <x v="2"/>
    <x v="4"/>
    <x v="8"/>
    <n v="9"/>
    <n v="69600"/>
    <n v="5"/>
    <n v="626400"/>
    <x v="113"/>
    <x v="0"/>
    <x v="1"/>
    <x v="6"/>
    <x v="1"/>
    <s v="04/2023"/>
    <x v="3"/>
    <s v="Grande"/>
  </r>
  <r>
    <n v="222"/>
    <x v="107"/>
    <x v="8"/>
    <x v="1"/>
    <x v="2"/>
    <x v="16"/>
    <n v="42"/>
    <n v="9400"/>
    <n v="15"/>
    <n v="394800"/>
    <x v="114"/>
    <x v="0"/>
    <x v="0"/>
    <x v="0"/>
    <x v="0"/>
    <s v="10/2024"/>
    <x v="0"/>
    <s v="Grande"/>
  </r>
  <r>
    <n v="113"/>
    <x v="108"/>
    <x v="1"/>
    <x v="2"/>
    <x v="4"/>
    <x v="35"/>
    <n v="47"/>
    <n v="99300"/>
    <n v="0"/>
    <n v="4667100"/>
    <x v="115"/>
    <x v="0"/>
    <x v="3"/>
    <x v="0"/>
    <x v="1"/>
    <s v="10/2023"/>
    <x v="0"/>
    <s v="Grande"/>
  </r>
  <r>
    <n v="114"/>
    <x v="109"/>
    <x v="6"/>
    <x v="4"/>
    <x v="2"/>
    <x v="37"/>
    <n v="18"/>
    <n v="3300"/>
    <n v="20"/>
    <n v="59400"/>
    <x v="116"/>
    <x v="1"/>
    <x v="3"/>
    <x v="9"/>
    <x v="0"/>
    <s v="01/2024"/>
    <x v="2"/>
    <s v="Petite"/>
  </r>
  <r>
    <n v="115"/>
    <x v="110"/>
    <x v="4"/>
    <x v="2"/>
    <x v="1"/>
    <x v="31"/>
    <n v="10"/>
    <n v="28500"/>
    <n v="20"/>
    <n v="285000"/>
    <x v="117"/>
    <x v="1"/>
    <x v="1"/>
    <x v="1"/>
    <x v="0"/>
    <s v="08/2024"/>
    <x v="1"/>
    <s v="Grande"/>
  </r>
  <r>
    <n v="116"/>
    <x v="111"/>
    <x v="7"/>
    <x v="3"/>
    <x v="0"/>
    <x v="10"/>
    <n v="1"/>
    <n v="30700"/>
    <n v="5"/>
    <n v="30700"/>
    <x v="118"/>
    <x v="0"/>
    <x v="0"/>
    <x v="4"/>
    <x v="0"/>
    <s v="11/2024"/>
    <x v="0"/>
    <s v="Petite"/>
  </r>
  <r>
    <n v="117"/>
    <x v="112"/>
    <x v="4"/>
    <x v="3"/>
    <x v="4"/>
    <x v="15"/>
    <n v="15"/>
    <n v="7000"/>
    <n v="10"/>
    <n v="105000"/>
    <x v="119"/>
    <x v="0"/>
    <x v="3"/>
    <x v="9"/>
    <x v="0"/>
    <s v="01/2024"/>
    <x v="2"/>
    <s v="Moyenne"/>
  </r>
  <r>
    <n v="118"/>
    <x v="113"/>
    <x v="0"/>
    <x v="1"/>
    <x v="0"/>
    <x v="21"/>
    <n v="3"/>
    <n v="4200"/>
    <n v="5"/>
    <n v="12600"/>
    <x v="120"/>
    <x v="3"/>
    <x v="3"/>
    <x v="1"/>
    <x v="1"/>
    <s v="08/2023"/>
    <x v="1"/>
    <s v="Petite"/>
  </r>
  <r>
    <n v="119"/>
    <x v="114"/>
    <x v="0"/>
    <x v="4"/>
    <x v="3"/>
    <x v="6"/>
    <n v="24"/>
    <n v="9800"/>
    <n v="10"/>
    <n v="235200"/>
    <x v="121"/>
    <x v="1"/>
    <x v="2"/>
    <x v="6"/>
    <x v="1"/>
    <s v="04/2023"/>
    <x v="3"/>
    <s v="Grande"/>
  </r>
  <r>
    <n v="120"/>
    <x v="115"/>
    <x v="7"/>
    <x v="0"/>
    <x v="4"/>
    <x v="29"/>
    <n v="18"/>
    <n v="20400"/>
    <n v="0"/>
    <n v="367200"/>
    <x v="122"/>
    <x v="0"/>
    <x v="3"/>
    <x v="1"/>
    <x v="1"/>
    <s v="08/2023"/>
    <x v="1"/>
    <s v="Grande"/>
  </r>
  <r>
    <n v="121"/>
    <x v="116"/>
    <x v="8"/>
    <x v="4"/>
    <x v="0"/>
    <x v="10"/>
    <n v="24"/>
    <n v="32100"/>
    <n v="0"/>
    <n v="770400"/>
    <x v="123"/>
    <x v="0"/>
    <x v="3"/>
    <x v="2"/>
    <x v="0"/>
    <s v="03/2024"/>
    <x v="2"/>
    <s v="Grande"/>
  </r>
  <r>
    <n v="122"/>
    <x v="117"/>
    <x v="4"/>
    <x v="4"/>
    <x v="1"/>
    <x v="31"/>
    <n v="14"/>
    <n v="23100"/>
    <n v="0"/>
    <n v="323400"/>
    <x v="124"/>
    <x v="0"/>
    <x v="0"/>
    <x v="10"/>
    <x v="0"/>
    <s v="12/2024"/>
    <x v="0"/>
    <s v="Grande"/>
  </r>
  <r>
    <n v="123"/>
    <x v="118"/>
    <x v="5"/>
    <x v="4"/>
    <x v="3"/>
    <x v="33"/>
    <n v="49"/>
    <n v="4100"/>
    <n v="20"/>
    <n v="200900"/>
    <x v="125"/>
    <x v="0"/>
    <x v="1"/>
    <x v="1"/>
    <x v="1"/>
    <s v="08/2023"/>
    <x v="1"/>
    <s v="Moyenne"/>
  </r>
  <r>
    <n v="124"/>
    <x v="5"/>
    <x v="3"/>
    <x v="4"/>
    <x v="3"/>
    <x v="20"/>
    <n v="10"/>
    <n v="6300"/>
    <n v="20"/>
    <n v="63000"/>
    <x v="126"/>
    <x v="3"/>
    <x v="3"/>
    <x v="1"/>
    <x v="1"/>
    <s v="08/2023"/>
    <x v="1"/>
    <s v="Moyenne"/>
  </r>
  <r>
    <n v="125"/>
    <x v="45"/>
    <x v="0"/>
    <x v="0"/>
    <x v="2"/>
    <x v="38"/>
    <n v="16"/>
    <n v="13900"/>
    <n v="0"/>
    <n v="222400"/>
    <x v="127"/>
    <x v="0"/>
    <x v="0"/>
    <x v="8"/>
    <x v="1"/>
    <s v="06/2023"/>
    <x v="3"/>
    <s v="Grande"/>
  </r>
  <r>
    <n v="126"/>
    <x v="9"/>
    <x v="1"/>
    <x v="4"/>
    <x v="4"/>
    <x v="8"/>
    <n v="31"/>
    <n v="70600"/>
    <n v="10"/>
    <n v="2188600"/>
    <x v="128"/>
    <x v="0"/>
    <x v="3"/>
    <x v="5"/>
    <x v="1"/>
    <s v="09/2023"/>
    <x v="1"/>
    <s v="Grande"/>
  </r>
  <r>
    <n v="127"/>
    <x v="119"/>
    <x v="0"/>
    <x v="1"/>
    <x v="3"/>
    <x v="33"/>
    <n v="3"/>
    <n v="5100"/>
    <n v="5"/>
    <n v="15300"/>
    <x v="129"/>
    <x v="1"/>
    <x v="3"/>
    <x v="1"/>
    <x v="0"/>
    <s v="08/2024"/>
    <x v="1"/>
    <s v="Petite"/>
  </r>
  <r>
    <n v="128"/>
    <x v="120"/>
    <x v="1"/>
    <x v="0"/>
    <x v="4"/>
    <x v="29"/>
    <n v="7"/>
    <n v="18100"/>
    <n v="0"/>
    <n v="126700"/>
    <x v="130"/>
    <x v="0"/>
    <x v="2"/>
    <x v="0"/>
    <x v="0"/>
    <s v="10/2024"/>
    <x v="0"/>
    <s v="Moyenne"/>
  </r>
  <r>
    <n v="129"/>
    <x v="121"/>
    <x v="3"/>
    <x v="3"/>
    <x v="2"/>
    <x v="24"/>
    <n v="40"/>
    <n v="5100"/>
    <n v="5"/>
    <n v="204000"/>
    <x v="131"/>
    <x v="0"/>
    <x v="3"/>
    <x v="2"/>
    <x v="1"/>
    <s v="03/2023"/>
    <x v="2"/>
    <s v="Moyenne"/>
  </r>
  <r>
    <n v="130"/>
    <x v="122"/>
    <x v="2"/>
    <x v="2"/>
    <x v="4"/>
    <x v="29"/>
    <n v="45"/>
    <n v="16600"/>
    <n v="5"/>
    <n v="747000"/>
    <x v="132"/>
    <x v="0"/>
    <x v="1"/>
    <x v="5"/>
    <x v="0"/>
    <s v="09/2024"/>
    <x v="1"/>
    <s v="Grande"/>
  </r>
  <r>
    <n v="131"/>
    <x v="123"/>
    <x v="5"/>
    <x v="1"/>
    <x v="0"/>
    <x v="5"/>
    <n v="47"/>
    <n v="3500"/>
    <n v="0"/>
    <n v="164500"/>
    <x v="133"/>
    <x v="0"/>
    <x v="2"/>
    <x v="3"/>
    <x v="0"/>
    <s v="07/2024"/>
    <x v="1"/>
    <s v="Moyenne"/>
  </r>
  <r>
    <n v="132"/>
    <x v="124"/>
    <x v="4"/>
    <x v="2"/>
    <x v="2"/>
    <x v="2"/>
    <n v="6"/>
    <n v="5000"/>
    <n v="15"/>
    <n v="30000"/>
    <x v="134"/>
    <x v="0"/>
    <x v="0"/>
    <x v="10"/>
    <x v="0"/>
    <s v="12/2024"/>
    <x v="0"/>
    <s v="Petite"/>
  </r>
  <r>
    <n v="133"/>
    <x v="125"/>
    <x v="6"/>
    <x v="3"/>
    <x v="1"/>
    <x v="11"/>
    <n v="27"/>
    <n v="6400"/>
    <n v="20"/>
    <n v="172800"/>
    <x v="135"/>
    <x v="0"/>
    <x v="2"/>
    <x v="9"/>
    <x v="0"/>
    <s v="01/2024"/>
    <x v="2"/>
    <s v="Moyenne"/>
  </r>
  <r>
    <n v="134"/>
    <x v="33"/>
    <x v="4"/>
    <x v="3"/>
    <x v="0"/>
    <x v="39"/>
    <n v="33"/>
    <n v="7400"/>
    <n v="0"/>
    <n v="244200"/>
    <x v="136"/>
    <x v="0"/>
    <x v="2"/>
    <x v="7"/>
    <x v="1"/>
    <s v="02/2023"/>
    <x v="2"/>
    <s v="Grande"/>
  </r>
  <r>
    <n v="135"/>
    <x v="126"/>
    <x v="3"/>
    <x v="3"/>
    <x v="0"/>
    <x v="10"/>
    <n v="37"/>
    <n v="30500"/>
    <n v="20"/>
    <n v="1128500"/>
    <x v="137"/>
    <x v="0"/>
    <x v="2"/>
    <x v="6"/>
    <x v="1"/>
    <s v="04/2023"/>
    <x v="3"/>
    <s v="Grande"/>
  </r>
  <r>
    <n v="136"/>
    <x v="127"/>
    <x v="9"/>
    <x v="3"/>
    <x v="3"/>
    <x v="20"/>
    <n v="43"/>
    <n v="6800"/>
    <n v="0"/>
    <n v="292400"/>
    <x v="138"/>
    <x v="1"/>
    <x v="3"/>
    <x v="3"/>
    <x v="0"/>
    <s v="07/2024"/>
    <x v="1"/>
    <s v="Grande"/>
  </r>
  <r>
    <n v="137"/>
    <x v="128"/>
    <x v="4"/>
    <x v="2"/>
    <x v="0"/>
    <x v="39"/>
    <n v="10"/>
    <n v="7200"/>
    <n v="0"/>
    <n v="72000"/>
    <x v="139"/>
    <x v="0"/>
    <x v="2"/>
    <x v="6"/>
    <x v="1"/>
    <s v="04/2023"/>
    <x v="3"/>
    <s v="Moyenne"/>
  </r>
  <r>
    <n v="138"/>
    <x v="82"/>
    <x v="1"/>
    <x v="0"/>
    <x v="3"/>
    <x v="33"/>
    <n v="30"/>
    <n v="4500"/>
    <n v="0"/>
    <n v="135000"/>
    <x v="140"/>
    <x v="0"/>
    <x v="3"/>
    <x v="11"/>
    <x v="1"/>
    <s v="05/2023"/>
    <x v="3"/>
    <s v="Moyenne"/>
  </r>
  <r>
    <n v="139"/>
    <x v="129"/>
    <x v="9"/>
    <x v="3"/>
    <x v="1"/>
    <x v="18"/>
    <n v="49"/>
    <n v="79800"/>
    <n v="0"/>
    <n v="3910200"/>
    <x v="141"/>
    <x v="0"/>
    <x v="0"/>
    <x v="4"/>
    <x v="1"/>
    <s v="11/2023"/>
    <x v="0"/>
    <s v="Grande"/>
  </r>
  <r>
    <n v="140"/>
    <x v="130"/>
    <x v="7"/>
    <x v="1"/>
    <x v="3"/>
    <x v="36"/>
    <n v="14"/>
    <n v="3800"/>
    <n v="0"/>
    <n v="53200"/>
    <x v="142"/>
    <x v="1"/>
    <x v="0"/>
    <x v="2"/>
    <x v="0"/>
    <s v="03/2024"/>
    <x v="2"/>
    <s v="Moyenne"/>
  </r>
  <r>
    <n v="141"/>
    <x v="131"/>
    <x v="0"/>
    <x v="2"/>
    <x v="3"/>
    <x v="36"/>
    <n v="20"/>
    <n v="3900"/>
    <n v="10"/>
    <n v="78000"/>
    <x v="143"/>
    <x v="0"/>
    <x v="2"/>
    <x v="2"/>
    <x v="0"/>
    <s v="03/2024"/>
    <x v="2"/>
    <s v="Moyenne"/>
  </r>
  <r>
    <n v="142"/>
    <x v="132"/>
    <x v="1"/>
    <x v="4"/>
    <x v="0"/>
    <x v="0"/>
    <n v="49"/>
    <n v="24000"/>
    <n v="0"/>
    <n v="1176000"/>
    <x v="144"/>
    <x v="0"/>
    <x v="3"/>
    <x v="7"/>
    <x v="1"/>
    <s v="02/2023"/>
    <x v="2"/>
    <s v="Grande"/>
  </r>
  <r>
    <n v="143"/>
    <x v="133"/>
    <x v="8"/>
    <x v="1"/>
    <x v="2"/>
    <x v="13"/>
    <n v="46"/>
    <n v="4200"/>
    <n v="0"/>
    <n v="193200"/>
    <x v="145"/>
    <x v="0"/>
    <x v="3"/>
    <x v="1"/>
    <x v="1"/>
    <s v="08/2023"/>
    <x v="1"/>
    <s v="Moyenne"/>
  </r>
  <r>
    <n v="144"/>
    <x v="134"/>
    <x v="1"/>
    <x v="1"/>
    <x v="1"/>
    <x v="31"/>
    <n v="21"/>
    <n v="28300"/>
    <n v="15"/>
    <n v="594300"/>
    <x v="146"/>
    <x v="0"/>
    <x v="2"/>
    <x v="4"/>
    <x v="0"/>
    <s v="11/2024"/>
    <x v="0"/>
    <s v="Grande"/>
  </r>
  <r>
    <n v="145"/>
    <x v="7"/>
    <x v="7"/>
    <x v="2"/>
    <x v="1"/>
    <x v="9"/>
    <n v="21"/>
    <n v="8100"/>
    <n v="20"/>
    <n v="170100"/>
    <x v="147"/>
    <x v="0"/>
    <x v="2"/>
    <x v="0"/>
    <x v="0"/>
    <s v="10/2024"/>
    <x v="0"/>
    <s v="Moyenne"/>
  </r>
  <r>
    <n v="146"/>
    <x v="135"/>
    <x v="3"/>
    <x v="0"/>
    <x v="4"/>
    <x v="8"/>
    <n v="38"/>
    <n v="62500"/>
    <n v="5"/>
    <n v="2375000"/>
    <x v="148"/>
    <x v="0"/>
    <x v="0"/>
    <x v="3"/>
    <x v="0"/>
    <s v="07/2024"/>
    <x v="1"/>
    <s v="Grande"/>
  </r>
  <r>
    <n v="147"/>
    <x v="136"/>
    <x v="3"/>
    <x v="4"/>
    <x v="0"/>
    <x v="22"/>
    <n v="41"/>
    <n v="11000"/>
    <n v="20"/>
    <n v="451000"/>
    <x v="149"/>
    <x v="0"/>
    <x v="1"/>
    <x v="4"/>
    <x v="1"/>
    <s v="11/2023"/>
    <x v="0"/>
    <s v="Grande"/>
  </r>
  <r>
    <n v="148"/>
    <x v="137"/>
    <x v="3"/>
    <x v="4"/>
    <x v="2"/>
    <x v="24"/>
    <n v="13"/>
    <n v="5200"/>
    <n v="20"/>
    <n v="67600"/>
    <x v="150"/>
    <x v="0"/>
    <x v="1"/>
    <x v="10"/>
    <x v="1"/>
    <s v="12/2023"/>
    <x v="0"/>
    <s v="Moyenne"/>
  </r>
  <r>
    <n v="149"/>
    <x v="138"/>
    <x v="0"/>
    <x v="4"/>
    <x v="4"/>
    <x v="28"/>
    <n v="49"/>
    <n v="13100"/>
    <n v="20"/>
    <n v="641900"/>
    <x v="151"/>
    <x v="0"/>
    <x v="3"/>
    <x v="7"/>
    <x v="0"/>
    <s v="02/2024"/>
    <x v="2"/>
    <s v="Grande"/>
  </r>
  <r>
    <n v="150"/>
    <x v="139"/>
    <x v="3"/>
    <x v="4"/>
    <x v="4"/>
    <x v="8"/>
    <n v="41"/>
    <n v="66100"/>
    <n v="10"/>
    <n v="2710100"/>
    <x v="152"/>
    <x v="0"/>
    <x v="3"/>
    <x v="6"/>
    <x v="0"/>
    <s v="04/2024"/>
    <x v="3"/>
    <s v="Grande"/>
  </r>
  <r>
    <n v="151"/>
    <x v="100"/>
    <x v="3"/>
    <x v="3"/>
    <x v="1"/>
    <x v="32"/>
    <n v="3"/>
    <n v="2500"/>
    <n v="0"/>
    <n v="7500"/>
    <x v="153"/>
    <x v="0"/>
    <x v="3"/>
    <x v="7"/>
    <x v="1"/>
    <s v="02/2023"/>
    <x v="2"/>
    <s v="Petite"/>
  </r>
  <r>
    <n v="152"/>
    <x v="140"/>
    <x v="0"/>
    <x v="3"/>
    <x v="3"/>
    <x v="25"/>
    <n v="36"/>
    <n v="7600"/>
    <n v="5"/>
    <n v="273600"/>
    <x v="154"/>
    <x v="3"/>
    <x v="0"/>
    <x v="0"/>
    <x v="0"/>
    <s v="10/2024"/>
    <x v="0"/>
    <s v="Grande"/>
  </r>
  <r>
    <n v="153"/>
    <x v="141"/>
    <x v="5"/>
    <x v="2"/>
    <x v="3"/>
    <x v="36"/>
    <n v="4"/>
    <n v="3900"/>
    <n v="15"/>
    <n v="15600"/>
    <x v="155"/>
    <x v="0"/>
    <x v="3"/>
    <x v="1"/>
    <x v="0"/>
    <s v="08/2024"/>
    <x v="1"/>
    <s v="Petite"/>
  </r>
  <r>
    <n v="154"/>
    <x v="47"/>
    <x v="2"/>
    <x v="4"/>
    <x v="1"/>
    <x v="1"/>
    <n v="29"/>
    <n v="9200"/>
    <n v="0"/>
    <n v="266800"/>
    <x v="156"/>
    <x v="0"/>
    <x v="1"/>
    <x v="2"/>
    <x v="1"/>
    <s v="03/2023"/>
    <x v="2"/>
    <s v="Grande"/>
  </r>
  <r>
    <n v="155"/>
    <x v="125"/>
    <x v="4"/>
    <x v="1"/>
    <x v="4"/>
    <x v="15"/>
    <n v="4"/>
    <n v="8000"/>
    <n v="0"/>
    <n v="32000"/>
    <x v="157"/>
    <x v="1"/>
    <x v="3"/>
    <x v="9"/>
    <x v="0"/>
    <s v="01/2024"/>
    <x v="2"/>
    <s v="Petite"/>
  </r>
  <r>
    <n v="156"/>
    <x v="142"/>
    <x v="0"/>
    <x v="3"/>
    <x v="4"/>
    <x v="17"/>
    <n v="43"/>
    <n v="110700"/>
    <n v="0"/>
    <n v="4760100"/>
    <x v="158"/>
    <x v="3"/>
    <x v="1"/>
    <x v="10"/>
    <x v="1"/>
    <s v="12/2023"/>
    <x v="0"/>
    <s v="Grande"/>
  </r>
  <r>
    <n v="157"/>
    <x v="143"/>
    <x v="9"/>
    <x v="4"/>
    <x v="0"/>
    <x v="34"/>
    <n v="45"/>
    <n v="36500"/>
    <n v="10"/>
    <n v="1642500"/>
    <x v="159"/>
    <x v="1"/>
    <x v="1"/>
    <x v="2"/>
    <x v="1"/>
    <s v="03/2023"/>
    <x v="2"/>
    <s v="Grande"/>
  </r>
  <r>
    <n v="158"/>
    <x v="144"/>
    <x v="0"/>
    <x v="2"/>
    <x v="3"/>
    <x v="25"/>
    <n v="22"/>
    <n v="8000"/>
    <n v="15"/>
    <n v="176000"/>
    <x v="160"/>
    <x v="1"/>
    <x v="0"/>
    <x v="10"/>
    <x v="0"/>
    <s v="12/2024"/>
    <x v="0"/>
    <s v="Moyenne"/>
  </r>
  <r>
    <n v="159"/>
    <x v="6"/>
    <x v="7"/>
    <x v="3"/>
    <x v="0"/>
    <x v="4"/>
    <n v="12"/>
    <n v="34700"/>
    <n v="20"/>
    <n v="416400"/>
    <x v="161"/>
    <x v="3"/>
    <x v="3"/>
    <x v="4"/>
    <x v="0"/>
    <s v="11/2024"/>
    <x v="0"/>
    <s v="Grande"/>
  </r>
  <r>
    <n v="160"/>
    <x v="145"/>
    <x v="5"/>
    <x v="4"/>
    <x v="2"/>
    <x v="13"/>
    <n v="7"/>
    <n v="3900"/>
    <n v="15"/>
    <n v="27300"/>
    <x v="162"/>
    <x v="0"/>
    <x v="0"/>
    <x v="10"/>
    <x v="0"/>
    <s v="12/2024"/>
    <x v="0"/>
    <s v="Petite"/>
  </r>
  <r>
    <n v="161"/>
    <x v="146"/>
    <x v="9"/>
    <x v="4"/>
    <x v="3"/>
    <x v="25"/>
    <n v="12"/>
    <n v="7000"/>
    <n v="15"/>
    <n v="84000"/>
    <x v="163"/>
    <x v="1"/>
    <x v="1"/>
    <x v="4"/>
    <x v="1"/>
    <s v="11/2023"/>
    <x v="0"/>
    <s v="Moyenne"/>
  </r>
  <r>
    <n v="162"/>
    <x v="147"/>
    <x v="1"/>
    <x v="1"/>
    <x v="0"/>
    <x v="0"/>
    <n v="40"/>
    <n v="25100"/>
    <n v="0"/>
    <n v="1004000"/>
    <x v="164"/>
    <x v="0"/>
    <x v="2"/>
    <x v="2"/>
    <x v="0"/>
    <s v="03/2024"/>
    <x v="2"/>
    <s v="Grande"/>
  </r>
  <r>
    <n v="163"/>
    <x v="148"/>
    <x v="5"/>
    <x v="2"/>
    <x v="4"/>
    <x v="26"/>
    <n v="37"/>
    <n v="41700"/>
    <n v="20"/>
    <n v="1542900"/>
    <x v="165"/>
    <x v="3"/>
    <x v="2"/>
    <x v="8"/>
    <x v="0"/>
    <s v="06/2024"/>
    <x v="3"/>
    <s v="Grande"/>
  </r>
  <r>
    <n v="164"/>
    <x v="32"/>
    <x v="7"/>
    <x v="3"/>
    <x v="3"/>
    <x v="25"/>
    <n v="13"/>
    <n v="8600"/>
    <n v="20"/>
    <n v="111800"/>
    <x v="166"/>
    <x v="1"/>
    <x v="1"/>
    <x v="0"/>
    <x v="1"/>
    <s v="10/2023"/>
    <x v="0"/>
    <s v="Moyenne"/>
  </r>
  <r>
    <n v="165"/>
    <x v="149"/>
    <x v="1"/>
    <x v="1"/>
    <x v="0"/>
    <x v="10"/>
    <n v="34"/>
    <n v="30200"/>
    <n v="0"/>
    <n v="1026800"/>
    <x v="167"/>
    <x v="2"/>
    <x v="4"/>
    <x v="5"/>
    <x v="1"/>
    <s v="09/2023"/>
    <x v="1"/>
    <s v="Grande"/>
  </r>
  <r>
    <n v="166"/>
    <x v="87"/>
    <x v="4"/>
    <x v="1"/>
    <x v="3"/>
    <x v="6"/>
    <n v="6"/>
    <n v="10900"/>
    <n v="20"/>
    <n v="65400"/>
    <x v="168"/>
    <x v="3"/>
    <x v="1"/>
    <x v="8"/>
    <x v="1"/>
    <s v="06/2023"/>
    <x v="3"/>
    <s v="Moyenne"/>
  </r>
  <r>
    <n v="167"/>
    <x v="150"/>
    <x v="3"/>
    <x v="0"/>
    <x v="4"/>
    <x v="35"/>
    <n v="24"/>
    <n v="94900"/>
    <n v="0"/>
    <n v="2277600"/>
    <x v="169"/>
    <x v="0"/>
    <x v="0"/>
    <x v="8"/>
    <x v="0"/>
    <s v="06/2024"/>
    <x v="3"/>
    <s v="Grande"/>
  </r>
  <r>
    <n v="168"/>
    <x v="151"/>
    <x v="1"/>
    <x v="2"/>
    <x v="1"/>
    <x v="11"/>
    <n v="9"/>
    <n v="6600"/>
    <n v="15"/>
    <n v="59400"/>
    <x v="170"/>
    <x v="0"/>
    <x v="2"/>
    <x v="1"/>
    <x v="1"/>
    <s v="08/2023"/>
    <x v="1"/>
    <s v="Moyenne"/>
  </r>
  <r>
    <n v="169"/>
    <x v="152"/>
    <x v="8"/>
    <x v="1"/>
    <x v="3"/>
    <x v="20"/>
    <n v="2"/>
    <n v="7300"/>
    <n v="10"/>
    <n v="14600"/>
    <x v="171"/>
    <x v="0"/>
    <x v="1"/>
    <x v="11"/>
    <x v="1"/>
    <s v="05/2023"/>
    <x v="3"/>
    <s v="Petite"/>
  </r>
  <r>
    <n v="170"/>
    <x v="153"/>
    <x v="2"/>
    <x v="1"/>
    <x v="1"/>
    <x v="32"/>
    <n v="8"/>
    <n v="2400"/>
    <n v="15"/>
    <n v="19200"/>
    <x v="172"/>
    <x v="0"/>
    <x v="2"/>
    <x v="5"/>
    <x v="0"/>
    <s v="09/2024"/>
    <x v="1"/>
    <s v="Petite"/>
  </r>
  <r>
    <n v="171"/>
    <x v="154"/>
    <x v="8"/>
    <x v="0"/>
    <x v="1"/>
    <x v="31"/>
    <n v="2"/>
    <n v="26200"/>
    <n v="15"/>
    <n v="52400"/>
    <x v="173"/>
    <x v="0"/>
    <x v="1"/>
    <x v="5"/>
    <x v="0"/>
    <s v="09/2024"/>
    <x v="1"/>
    <s v="Petite"/>
  </r>
  <r>
    <n v="172"/>
    <x v="155"/>
    <x v="4"/>
    <x v="1"/>
    <x v="1"/>
    <x v="11"/>
    <n v="27"/>
    <n v="5800"/>
    <n v="10"/>
    <n v="156600"/>
    <x v="174"/>
    <x v="0"/>
    <x v="0"/>
    <x v="11"/>
    <x v="1"/>
    <s v="05/2023"/>
    <x v="3"/>
    <s v="Moyenne"/>
  </r>
  <r>
    <n v="173"/>
    <x v="156"/>
    <x v="0"/>
    <x v="3"/>
    <x v="3"/>
    <x v="20"/>
    <n v="31"/>
    <n v="6500"/>
    <n v="0"/>
    <n v="201500"/>
    <x v="175"/>
    <x v="0"/>
    <x v="2"/>
    <x v="11"/>
    <x v="0"/>
    <s v="05/2024"/>
    <x v="3"/>
    <s v="Grande"/>
  </r>
  <r>
    <n v="174"/>
    <x v="157"/>
    <x v="1"/>
    <x v="2"/>
    <x v="1"/>
    <x v="11"/>
    <n v="43"/>
    <n v="5800"/>
    <n v="0"/>
    <n v="249400"/>
    <x v="176"/>
    <x v="0"/>
    <x v="3"/>
    <x v="5"/>
    <x v="1"/>
    <s v="09/2023"/>
    <x v="1"/>
    <s v="Grande"/>
  </r>
  <r>
    <n v="175"/>
    <x v="158"/>
    <x v="3"/>
    <x v="3"/>
    <x v="0"/>
    <x v="22"/>
    <n v="44"/>
    <n v="13300"/>
    <n v="15"/>
    <n v="585200"/>
    <x v="177"/>
    <x v="0"/>
    <x v="2"/>
    <x v="7"/>
    <x v="1"/>
    <s v="02/2023"/>
    <x v="2"/>
    <s v="Grande"/>
  </r>
  <r>
    <n v="176"/>
    <x v="159"/>
    <x v="6"/>
    <x v="0"/>
    <x v="4"/>
    <x v="35"/>
    <n v="3"/>
    <n v="92500"/>
    <n v="0"/>
    <n v="277500"/>
    <x v="178"/>
    <x v="1"/>
    <x v="0"/>
    <x v="8"/>
    <x v="1"/>
    <s v="06/2023"/>
    <x v="3"/>
    <s v="Grande"/>
  </r>
  <r>
    <n v="177"/>
    <x v="136"/>
    <x v="2"/>
    <x v="1"/>
    <x v="3"/>
    <x v="36"/>
    <n v="49"/>
    <n v="3700"/>
    <n v="0"/>
    <n v="181300"/>
    <x v="179"/>
    <x v="0"/>
    <x v="3"/>
    <x v="4"/>
    <x v="1"/>
    <s v="11/2023"/>
    <x v="0"/>
    <s v="Moyenne"/>
  </r>
  <r>
    <n v="178"/>
    <x v="160"/>
    <x v="3"/>
    <x v="2"/>
    <x v="1"/>
    <x v="11"/>
    <n v="26"/>
    <n v="6100"/>
    <n v="0"/>
    <n v="158600"/>
    <x v="180"/>
    <x v="1"/>
    <x v="2"/>
    <x v="7"/>
    <x v="1"/>
    <s v="02/2023"/>
    <x v="2"/>
    <s v="Moyenne"/>
  </r>
  <r>
    <n v="179"/>
    <x v="161"/>
    <x v="8"/>
    <x v="1"/>
    <x v="0"/>
    <x v="34"/>
    <n v="47"/>
    <n v="35200"/>
    <n v="10"/>
    <n v="1654400"/>
    <x v="181"/>
    <x v="0"/>
    <x v="2"/>
    <x v="4"/>
    <x v="1"/>
    <s v="11/2023"/>
    <x v="0"/>
    <s v="Grande"/>
  </r>
  <r>
    <n v="180"/>
    <x v="128"/>
    <x v="2"/>
    <x v="2"/>
    <x v="0"/>
    <x v="10"/>
    <n v="43"/>
    <n v="25800"/>
    <n v="10"/>
    <n v="1109400"/>
    <x v="182"/>
    <x v="0"/>
    <x v="2"/>
    <x v="6"/>
    <x v="1"/>
    <s v="04/2023"/>
    <x v="3"/>
    <s v="Grande"/>
  </r>
  <r>
    <n v="181"/>
    <x v="162"/>
    <x v="6"/>
    <x v="1"/>
    <x v="0"/>
    <x v="5"/>
    <n v="23"/>
    <n v="3200"/>
    <n v="0"/>
    <n v="73600"/>
    <x v="183"/>
    <x v="0"/>
    <x v="2"/>
    <x v="10"/>
    <x v="0"/>
    <s v="12/2024"/>
    <x v="0"/>
    <s v="Moyenne"/>
  </r>
  <r>
    <n v="182"/>
    <x v="0"/>
    <x v="1"/>
    <x v="0"/>
    <x v="4"/>
    <x v="15"/>
    <n v="48"/>
    <n v="7700"/>
    <n v="0"/>
    <n v="369600"/>
    <x v="184"/>
    <x v="1"/>
    <x v="0"/>
    <x v="0"/>
    <x v="0"/>
    <s v="10/2024"/>
    <x v="0"/>
    <s v="Grande"/>
  </r>
  <r>
    <n v="183"/>
    <x v="163"/>
    <x v="8"/>
    <x v="0"/>
    <x v="2"/>
    <x v="24"/>
    <n v="42"/>
    <n v="5300"/>
    <n v="10"/>
    <n v="222600"/>
    <x v="185"/>
    <x v="0"/>
    <x v="2"/>
    <x v="5"/>
    <x v="0"/>
    <s v="09/2024"/>
    <x v="1"/>
    <s v="Grande"/>
  </r>
  <r>
    <n v="184"/>
    <x v="164"/>
    <x v="9"/>
    <x v="4"/>
    <x v="4"/>
    <x v="15"/>
    <n v="49"/>
    <n v="7400"/>
    <n v="10"/>
    <n v="362600"/>
    <x v="186"/>
    <x v="0"/>
    <x v="1"/>
    <x v="2"/>
    <x v="1"/>
    <s v="03/2023"/>
    <x v="2"/>
    <s v="Grande"/>
  </r>
  <r>
    <n v="185"/>
    <x v="165"/>
    <x v="7"/>
    <x v="2"/>
    <x v="0"/>
    <x v="0"/>
    <n v="2"/>
    <n v="25100"/>
    <n v="10"/>
    <n v="50200"/>
    <x v="187"/>
    <x v="1"/>
    <x v="2"/>
    <x v="4"/>
    <x v="0"/>
    <s v="11/2024"/>
    <x v="0"/>
    <s v="Petite"/>
  </r>
  <r>
    <n v="186"/>
    <x v="166"/>
    <x v="2"/>
    <x v="0"/>
    <x v="0"/>
    <x v="34"/>
    <n v="14"/>
    <n v="34400"/>
    <n v="15"/>
    <n v="481600"/>
    <x v="188"/>
    <x v="3"/>
    <x v="3"/>
    <x v="9"/>
    <x v="0"/>
    <s v="01/2024"/>
    <x v="2"/>
    <s v="Grande"/>
  </r>
  <r>
    <n v="187"/>
    <x v="167"/>
    <x v="5"/>
    <x v="0"/>
    <x v="2"/>
    <x v="24"/>
    <n v="46"/>
    <n v="5600"/>
    <n v="20"/>
    <n v="257600"/>
    <x v="189"/>
    <x v="0"/>
    <x v="0"/>
    <x v="11"/>
    <x v="0"/>
    <s v="05/2024"/>
    <x v="3"/>
    <s v="Grande"/>
  </r>
  <r>
    <n v="188"/>
    <x v="168"/>
    <x v="3"/>
    <x v="5"/>
    <x v="1"/>
    <x v="32"/>
    <n v="11"/>
    <n v="2800"/>
    <n v="20"/>
    <n v="30800"/>
    <x v="190"/>
    <x v="1"/>
    <x v="1"/>
    <x v="4"/>
    <x v="0"/>
    <s v="11/2024"/>
    <x v="0"/>
    <s v="Petite"/>
  </r>
  <r>
    <n v="189"/>
    <x v="169"/>
    <x v="2"/>
    <x v="4"/>
    <x v="1"/>
    <x v="1"/>
    <n v="16"/>
    <n v="9300"/>
    <n v="0"/>
    <n v="148800"/>
    <x v="191"/>
    <x v="1"/>
    <x v="0"/>
    <x v="9"/>
    <x v="0"/>
    <s v="01/2024"/>
    <x v="2"/>
    <s v="Moyenne"/>
  </r>
  <r>
    <n v="190"/>
    <x v="31"/>
    <x v="9"/>
    <x v="2"/>
    <x v="4"/>
    <x v="30"/>
    <n v="6"/>
    <n v="29500"/>
    <n v="15"/>
    <n v="177000"/>
    <x v="192"/>
    <x v="0"/>
    <x v="2"/>
    <x v="3"/>
    <x v="0"/>
    <s v="07/2024"/>
    <x v="1"/>
    <s v="Moyenne"/>
  </r>
  <r>
    <n v="191"/>
    <x v="170"/>
    <x v="2"/>
    <x v="1"/>
    <x v="4"/>
    <x v="8"/>
    <n v="21"/>
    <n v="60500"/>
    <n v="5"/>
    <n v="1270500"/>
    <x v="193"/>
    <x v="0"/>
    <x v="2"/>
    <x v="11"/>
    <x v="0"/>
    <s v="05/2024"/>
    <x v="3"/>
    <s v="Grande"/>
  </r>
  <r>
    <n v="192"/>
    <x v="11"/>
    <x v="2"/>
    <x v="2"/>
    <x v="2"/>
    <x v="13"/>
    <n v="9"/>
    <n v="4600"/>
    <n v="20"/>
    <n v="41400"/>
    <x v="194"/>
    <x v="0"/>
    <x v="0"/>
    <x v="4"/>
    <x v="0"/>
    <s v="11/2024"/>
    <x v="0"/>
    <s v="Petite"/>
  </r>
  <r>
    <n v="193"/>
    <x v="171"/>
    <x v="2"/>
    <x v="4"/>
    <x v="0"/>
    <x v="22"/>
    <n v="46"/>
    <n v="11300"/>
    <n v="20"/>
    <n v="519800"/>
    <x v="195"/>
    <x v="0"/>
    <x v="3"/>
    <x v="1"/>
    <x v="1"/>
    <s v="08/2023"/>
    <x v="1"/>
    <s v="Grande"/>
  </r>
  <r>
    <n v="194"/>
    <x v="15"/>
    <x v="4"/>
    <x v="4"/>
    <x v="3"/>
    <x v="7"/>
    <n v="20"/>
    <n v="20500"/>
    <n v="0"/>
    <n v="410000"/>
    <x v="196"/>
    <x v="0"/>
    <x v="0"/>
    <x v="2"/>
    <x v="1"/>
    <s v="03/2023"/>
    <x v="2"/>
    <s v="Grande"/>
  </r>
  <r>
    <n v="195"/>
    <x v="172"/>
    <x v="6"/>
    <x v="3"/>
    <x v="3"/>
    <x v="6"/>
    <n v="40"/>
    <n v="9200"/>
    <n v="20"/>
    <n v="368000"/>
    <x v="197"/>
    <x v="1"/>
    <x v="3"/>
    <x v="0"/>
    <x v="0"/>
    <s v="10/2024"/>
    <x v="0"/>
    <s v="Grande"/>
  </r>
  <r>
    <n v="196"/>
    <x v="59"/>
    <x v="1"/>
    <x v="0"/>
    <x v="1"/>
    <x v="18"/>
    <n v="50"/>
    <n v="96700"/>
    <n v="20"/>
    <n v="4835000"/>
    <x v="198"/>
    <x v="0"/>
    <x v="1"/>
    <x v="3"/>
    <x v="0"/>
    <s v="07/2024"/>
    <x v="1"/>
    <s v="Grande"/>
  </r>
  <r>
    <n v="197"/>
    <x v="141"/>
    <x v="7"/>
    <x v="3"/>
    <x v="1"/>
    <x v="31"/>
    <n v="35"/>
    <n v="28100"/>
    <n v="5"/>
    <n v="983500"/>
    <x v="199"/>
    <x v="0"/>
    <x v="3"/>
    <x v="1"/>
    <x v="0"/>
    <s v="08/2024"/>
    <x v="1"/>
    <s v="Grande"/>
  </r>
  <r>
    <n v="198"/>
    <x v="173"/>
    <x v="7"/>
    <x v="5"/>
    <x v="4"/>
    <x v="8"/>
    <n v="11"/>
    <n v="69700"/>
    <n v="5"/>
    <n v="766700"/>
    <x v="200"/>
    <x v="0"/>
    <x v="2"/>
    <x v="1"/>
    <x v="1"/>
    <s v="08/2023"/>
    <x v="1"/>
    <s v="Grande"/>
  </r>
  <r>
    <n v="199"/>
    <x v="174"/>
    <x v="3"/>
    <x v="3"/>
    <x v="2"/>
    <x v="37"/>
    <n v="21"/>
    <n v="3600"/>
    <n v="5"/>
    <n v="75600"/>
    <x v="111"/>
    <x v="1"/>
    <x v="3"/>
    <x v="3"/>
    <x v="1"/>
    <s v="07/2023"/>
    <x v="1"/>
    <s v="Moyenne"/>
  </r>
  <r>
    <n v="200"/>
    <x v="175"/>
    <x v="3"/>
    <x v="3"/>
    <x v="3"/>
    <x v="19"/>
    <n v="30"/>
    <n v="2200"/>
    <n v="0"/>
    <n v="66000"/>
    <x v="201"/>
    <x v="0"/>
    <x v="2"/>
    <x v="11"/>
    <x v="1"/>
    <s v="05/2023"/>
    <x v="3"/>
    <s v="Moyenne"/>
  </r>
  <r>
    <n v="201"/>
    <x v="176"/>
    <x v="0"/>
    <x v="0"/>
    <x v="0"/>
    <x v="21"/>
    <n v="27"/>
    <n v="5000"/>
    <n v="20"/>
    <n v="135000"/>
    <x v="202"/>
    <x v="0"/>
    <x v="1"/>
    <x v="11"/>
    <x v="1"/>
    <s v="05/2023"/>
    <x v="3"/>
    <s v="Moyenne"/>
  </r>
  <r>
    <n v="202"/>
    <x v="177"/>
    <x v="9"/>
    <x v="2"/>
    <x v="2"/>
    <x v="13"/>
    <n v="33"/>
    <n v="4300"/>
    <n v="5"/>
    <n v="141900"/>
    <x v="203"/>
    <x v="0"/>
    <x v="3"/>
    <x v="7"/>
    <x v="1"/>
    <s v="02/2023"/>
    <x v="2"/>
    <s v="Moyenne"/>
  </r>
  <r>
    <n v="203"/>
    <x v="178"/>
    <x v="0"/>
    <x v="1"/>
    <x v="3"/>
    <x v="36"/>
    <n v="14"/>
    <n v="4300"/>
    <n v="0"/>
    <n v="60200"/>
    <x v="204"/>
    <x v="0"/>
    <x v="0"/>
    <x v="9"/>
    <x v="1"/>
    <s v="01/2023"/>
    <x v="2"/>
    <s v="Moyenne"/>
  </r>
  <r>
    <n v="204"/>
    <x v="32"/>
    <x v="8"/>
    <x v="3"/>
    <x v="4"/>
    <x v="17"/>
    <n v="7"/>
    <n v="118900"/>
    <n v="15"/>
    <n v="832300"/>
    <x v="205"/>
    <x v="0"/>
    <x v="3"/>
    <x v="0"/>
    <x v="1"/>
    <s v="10/2023"/>
    <x v="0"/>
    <s v="Grande"/>
  </r>
  <r>
    <n v="205"/>
    <x v="179"/>
    <x v="7"/>
    <x v="2"/>
    <x v="1"/>
    <x v="9"/>
    <n v="36"/>
    <n v="8200"/>
    <n v="0"/>
    <n v="295200"/>
    <x v="206"/>
    <x v="0"/>
    <x v="3"/>
    <x v="0"/>
    <x v="0"/>
    <s v="10/2024"/>
    <x v="0"/>
    <s v="Grande"/>
  </r>
  <r>
    <n v="206"/>
    <x v="180"/>
    <x v="2"/>
    <x v="1"/>
    <x v="3"/>
    <x v="7"/>
    <n v="40"/>
    <n v="24300"/>
    <n v="0"/>
    <n v="972000"/>
    <x v="207"/>
    <x v="1"/>
    <x v="0"/>
    <x v="9"/>
    <x v="0"/>
    <s v="01/2024"/>
    <x v="2"/>
    <s v="Grande"/>
  </r>
  <r>
    <n v="207"/>
    <x v="108"/>
    <x v="7"/>
    <x v="2"/>
    <x v="0"/>
    <x v="39"/>
    <n v="13"/>
    <n v="8700"/>
    <n v="10"/>
    <n v="113100"/>
    <x v="208"/>
    <x v="0"/>
    <x v="2"/>
    <x v="0"/>
    <x v="1"/>
    <s v="10/2023"/>
    <x v="0"/>
    <s v="Moyenne"/>
  </r>
  <r>
    <n v="208"/>
    <x v="181"/>
    <x v="1"/>
    <x v="0"/>
    <x v="2"/>
    <x v="37"/>
    <n v="34"/>
    <n v="3500"/>
    <n v="0"/>
    <n v="119000"/>
    <x v="209"/>
    <x v="0"/>
    <x v="1"/>
    <x v="4"/>
    <x v="1"/>
    <s v="11/2023"/>
    <x v="0"/>
    <s v="Moyenne"/>
  </r>
  <r>
    <n v="209"/>
    <x v="182"/>
    <x v="3"/>
    <x v="4"/>
    <x v="4"/>
    <x v="17"/>
    <n v="33"/>
    <n v="120600"/>
    <n v="15"/>
    <n v="3979800"/>
    <x v="210"/>
    <x v="1"/>
    <x v="2"/>
    <x v="5"/>
    <x v="0"/>
    <s v="09/2024"/>
    <x v="1"/>
    <s v="Grande"/>
  </r>
  <r>
    <n v="210"/>
    <x v="183"/>
    <x v="4"/>
    <x v="1"/>
    <x v="1"/>
    <x v="11"/>
    <n v="8"/>
    <n v="5900"/>
    <n v="20"/>
    <n v="47200"/>
    <x v="211"/>
    <x v="3"/>
    <x v="3"/>
    <x v="3"/>
    <x v="0"/>
    <s v="07/2024"/>
    <x v="1"/>
    <s v="Petite"/>
  </r>
  <r>
    <n v="211"/>
    <x v="184"/>
    <x v="1"/>
    <x v="3"/>
    <x v="4"/>
    <x v="17"/>
    <n v="50"/>
    <n v="131300"/>
    <n v="15"/>
    <n v="6565000"/>
    <x v="212"/>
    <x v="0"/>
    <x v="1"/>
    <x v="11"/>
    <x v="0"/>
    <s v="05/2024"/>
    <x v="3"/>
    <s v="Grande"/>
  </r>
  <r>
    <n v="212"/>
    <x v="33"/>
    <x v="9"/>
    <x v="1"/>
    <x v="2"/>
    <x v="23"/>
    <n v="44"/>
    <n v="4500"/>
    <n v="0"/>
    <n v="198000"/>
    <x v="213"/>
    <x v="0"/>
    <x v="0"/>
    <x v="7"/>
    <x v="1"/>
    <s v="02/2023"/>
    <x v="2"/>
    <s v="Moyenne"/>
  </r>
  <r>
    <n v="213"/>
    <x v="61"/>
    <x v="8"/>
    <x v="2"/>
    <x v="4"/>
    <x v="30"/>
    <n v="14"/>
    <n v="28100"/>
    <n v="20"/>
    <n v="393400"/>
    <x v="214"/>
    <x v="0"/>
    <x v="2"/>
    <x v="9"/>
    <x v="1"/>
    <s v="01/2023"/>
    <x v="2"/>
    <s v="Grande"/>
  </r>
  <r>
    <n v="214"/>
    <x v="185"/>
    <x v="6"/>
    <x v="3"/>
    <x v="2"/>
    <x v="37"/>
    <n v="31"/>
    <n v="3700"/>
    <n v="0"/>
    <n v="114700"/>
    <x v="215"/>
    <x v="0"/>
    <x v="3"/>
    <x v="11"/>
    <x v="1"/>
    <s v="05/2023"/>
    <x v="3"/>
    <s v="Moyenne"/>
  </r>
  <r>
    <n v="215"/>
    <x v="186"/>
    <x v="2"/>
    <x v="2"/>
    <x v="3"/>
    <x v="27"/>
    <n v="47"/>
    <n v="12800"/>
    <n v="10"/>
    <n v="601600"/>
    <x v="216"/>
    <x v="1"/>
    <x v="3"/>
    <x v="6"/>
    <x v="0"/>
    <s v="04/2024"/>
    <x v="3"/>
    <s v="Grande"/>
  </r>
  <r>
    <n v="216"/>
    <x v="187"/>
    <x v="5"/>
    <x v="4"/>
    <x v="0"/>
    <x v="34"/>
    <n v="20"/>
    <n v="30600"/>
    <n v="15"/>
    <n v="612000"/>
    <x v="217"/>
    <x v="1"/>
    <x v="1"/>
    <x v="0"/>
    <x v="0"/>
    <s v="10/2024"/>
    <x v="0"/>
    <s v="Grande"/>
  </r>
  <r>
    <n v="217"/>
    <x v="188"/>
    <x v="8"/>
    <x v="2"/>
    <x v="4"/>
    <x v="15"/>
    <n v="47"/>
    <n v="7800"/>
    <n v="10"/>
    <n v="366600"/>
    <x v="218"/>
    <x v="0"/>
    <x v="0"/>
    <x v="10"/>
    <x v="0"/>
    <s v="12/2024"/>
    <x v="0"/>
    <s v="Grande"/>
  </r>
  <r>
    <n v="218"/>
    <x v="111"/>
    <x v="2"/>
    <x v="1"/>
    <x v="4"/>
    <x v="15"/>
    <n v="10"/>
    <n v="8500"/>
    <n v="15"/>
    <n v="85000"/>
    <x v="219"/>
    <x v="0"/>
    <x v="3"/>
    <x v="4"/>
    <x v="0"/>
    <s v="11/2024"/>
    <x v="0"/>
    <s v="Moyenne"/>
  </r>
  <r>
    <n v="219"/>
    <x v="15"/>
    <x v="3"/>
    <x v="1"/>
    <x v="0"/>
    <x v="5"/>
    <n v="35"/>
    <n v="3300"/>
    <n v="0"/>
    <n v="115500"/>
    <x v="220"/>
    <x v="0"/>
    <x v="3"/>
    <x v="2"/>
    <x v="1"/>
    <s v="03/2023"/>
    <x v="2"/>
    <s v="Moyenne"/>
  </r>
  <r>
    <n v="220"/>
    <x v="189"/>
    <x v="9"/>
    <x v="3"/>
    <x v="2"/>
    <x v="3"/>
    <n v="34"/>
    <n v="1600"/>
    <n v="0"/>
    <n v="54400"/>
    <x v="221"/>
    <x v="0"/>
    <x v="4"/>
    <x v="6"/>
    <x v="1"/>
    <s v="04/2023"/>
    <x v="3"/>
    <s v="Moyenne"/>
  </r>
  <r>
    <n v="223"/>
    <x v="190"/>
    <x v="5"/>
    <x v="3"/>
    <x v="1"/>
    <x v="12"/>
    <n v="12"/>
    <n v="18100"/>
    <n v="20"/>
    <n v="217200"/>
    <x v="222"/>
    <x v="3"/>
    <x v="0"/>
    <x v="0"/>
    <x v="0"/>
    <s v="10/2024"/>
    <x v="0"/>
    <s v="Moyenne"/>
  </r>
  <r>
    <n v="224"/>
    <x v="134"/>
    <x v="8"/>
    <x v="4"/>
    <x v="0"/>
    <x v="4"/>
    <n v="37"/>
    <n v="31600"/>
    <n v="0"/>
    <n v="1169200"/>
    <x v="223"/>
    <x v="0"/>
    <x v="3"/>
    <x v="4"/>
    <x v="0"/>
    <s v="11/2024"/>
    <x v="0"/>
    <s v="Grande"/>
  </r>
  <r>
    <n v="225"/>
    <x v="191"/>
    <x v="2"/>
    <x v="3"/>
    <x v="4"/>
    <x v="30"/>
    <n v="30"/>
    <n v="31200"/>
    <n v="0"/>
    <n v="936000"/>
    <x v="62"/>
    <x v="0"/>
    <x v="0"/>
    <x v="0"/>
    <x v="0"/>
    <s v="10/2024"/>
    <x v="0"/>
    <s v="Grande"/>
  </r>
  <r>
    <n v="226"/>
    <x v="37"/>
    <x v="8"/>
    <x v="2"/>
    <x v="2"/>
    <x v="38"/>
    <n v="19"/>
    <n v="15200"/>
    <n v="0"/>
    <n v="288800"/>
    <x v="224"/>
    <x v="0"/>
    <x v="1"/>
    <x v="8"/>
    <x v="1"/>
    <s v="06/2023"/>
    <x v="3"/>
    <s v="Grande"/>
  </r>
  <r>
    <n v="227"/>
    <x v="192"/>
    <x v="7"/>
    <x v="1"/>
    <x v="3"/>
    <x v="27"/>
    <n v="43"/>
    <n v="11100"/>
    <n v="5"/>
    <n v="477300"/>
    <x v="225"/>
    <x v="0"/>
    <x v="4"/>
    <x v="5"/>
    <x v="0"/>
    <s v="09/2024"/>
    <x v="1"/>
    <s v="Grande"/>
  </r>
  <r>
    <n v="228"/>
    <x v="14"/>
    <x v="5"/>
    <x v="0"/>
    <x v="0"/>
    <x v="21"/>
    <n v="49"/>
    <n v="4300"/>
    <n v="0"/>
    <n v="210700"/>
    <x v="226"/>
    <x v="0"/>
    <x v="3"/>
    <x v="4"/>
    <x v="1"/>
    <s v="11/2023"/>
    <x v="0"/>
    <s v="Grande"/>
  </r>
  <r>
    <n v="229"/>
    <x v="193"/>
    <x v="9"/>
    <x v="0"/>
    <x v="0"/>
    <x v="39"/>
    <n v="4"/>
    <n v="8600"/>
    <n v="0"/>
    <n v="34400"/>
    <x v="227"/>
    <x v="1"/>
    <x v="2"/>
    <x v="1"/>
    <x v="0"/>
    <s v="08/2024"/>
    <x v="1"/>
    <s v="Petite"/>
  </r>
  <r>
    <n v="230"/>
    <x v="194"/>
    <x v="7"/>
    <x v="3"/>
    <x v="0"/>
    <x v="10"/>
    <n v="19"/>
    <n v="29700"/>
    <n v="0"/>
    <n v="564300"/>
    <x v="228"/>
    <x v="0"/>
    <x v="1"/>
    <x v="8"/>
    <x v="1"/>
    <s v="06/2023"/>
    <x v="3"/>
    <s v="Grande"/>
  </r>
  <r>
    <n v="231"/>
    <x v="51"/>
    <x v="8"/>
    <x v="4"/>
    <x v="4"/>
    <x v="15"/>
    <n v="36"/>
    <n v="7500"/>
    <n v="20"/>
    <n v="270000"/>
    <x v="35"/>
    <x v="2"/>
    <x v="1"/>
    <x v="11"/>
    <x v="1"/>
    <s v="05/2023"/>
    <x v="3"/>
    <s v="Grande"/>
  </r>
  <r>
    <n v="232"/>
    <x v="195"/>
    <x v="9"/>
    <x v="0"/>
    <x v="3"/>
    <x v="36"/>
    <n v="24"/>
    <n v="3900"/>
    <n v="0"/>
    <n v="93600"/>
    <x v="229"/>
    <x v="0"/>
    <x v="0"/>
    <x v="4"/>
    <x v="1"/>
    <s v="11/2023"/>
    <x v="0"/>
    <s v="Moyenne"/>
  </r>
  <r>
    <n v="233"/>
    <x v="196"/>
    <x v="2"/>
    <x v="4"/>
    <x v="3"/>
    <x v="6"/>
    <n v="34"/>
    <n v="9200"/>
    <n v="15"/>
    <n v="312800"/>
    <x v="230"/>
    <x v="0"/>
    <x v="1"/>
    <x v="3"/>
    <x v="0"/>
    <s v="07/2024"/>
    <x v="1"/>
    <s v="Grande"/>
  </r>
  <r>
    <n v="234"/>
    <x v="197"/>
    <x v="8"/>
    <x v="0"/>
    <x v="3"/>
    <x v="36"/>
    <n v="30"/>
    <n v="4200"/>
    <n v="5"/>
    <n v="126000"/>
    <x v="231"/>
    <x v="0"/>
    <x v="2"/>
    <x v="1"/>
    <x v="0"/>
    <s v="08/2024"/>
    <x v="1"/>
    <s v="Moyenne"/>
  </r>
  <r>
    <n v="235"/>
    <x v="59"/>
    <x v="1"/>
    <x v="3"/>
    <x v="4"/>
    <x v="17"/>
    <n v="26"/>
    <n v="124300"/>
    <n v="15"/>
    <n v="3231800"/>
    <x v="232"/>
    <x v="0"/>
    <x v="0"/>
    <x v="3"/>
    <x v="0"/>
    <s v="07/2024"/>
    <x v="1"/>
    <s v="Grande"/>
  </r>
  <r>
    <n v="236"/>
    <x v="198"/>
    <x v="9"/>
    <x v="0"/>
    <x v="1"/>
    <x v="9"/>
    <n v="5"/>
    <n v="8900"/>
    <n v="0"/>
    <n v="44500"/>
    <x v="233"/>
    <x v="0"/>
    <x v="0"/>
    <x v="10"/>
    <x v="1"/>
    <s v="12/2023"/>
    <x v="0"/>
    <s v="Petite"/>
  </r>
  <r>
    <n v="237"/>
    <x v="199"/>
    <x v="1"/>
    <x v="5"/>
    <x v="4"/>
    <x v="30"/>
    <n v="50"/>
    <n v="30600"/>
    <n v="0"/>
    <n v="1530000"/>
    <x v="234"/>
    <x v="0"/>
    <x v="2"/>
    <x v="6"/>
    <x v="0"/>
    <s v="04/2024"/>
    <x v="3"/>
    <s v="Grande"/>
  </r>
  <r>
    <n v="238"/>
    <x v="200"/>
    <x v="8"/>
    <x v="1"/>
    <x v="4"/>
    <x v="8"/>
    <n v="43"/>
    <n v="69600"/>
    <n v="15"/>
    <n v="2992800"/>
    <x v="235"/>
    <x v="2"/>
    <x v="1"/>
    <x v="9"/>
    <x v="0"/>
    <s v="01/2024"/>
    <x v="2"/>
    <s v="Grande"/>
  </r>
  <r>
    <n v="239"/>
    <x v="201"/>
    <x v="0"/>
    <x v="4"/>
    <x v="3"/>
    <x v="25"/>
    <n v="47"/>
    <n v="7700"/>
    <n v="20"/>
    <n v="361900"/>
    <x v="236"/>
    <x v="3"/>
    <x v="0"/>
    <x v="10"/>
    <x v="1"/>
    <s v="12/2023"/>
    <x v="0"/>
    <s v="Grande"/>
  </r>
  <r>
    <n v="240"/>
    <x v="178"/>
    <x v="4"/>
    <x v="1"/>
    <x v="3"/>
    <x v="25"/>
    <n v="15"/>
    <n v="7700"/>
    <n v="0"/>
    <n v="115500"/>
    <x v="220"/>
    <x v="0"/>
    <x v="3"/>
    <x v="9"/>
    <x v="1"/>
    <s v="01/2023"/>
    <x v="2"/>
    <s v="Moyenne"/>
  </r>
  <r>
    <n v="241"/>
    <x v="202"/>
    <x v="5"/>
    <x v="0"/>
    <x v="1"/>
    <x v="9"/>
    <n v="2"/>
    <n v="9500"/>
    <n v="0"/>
    <n v="19000"/>
    <x v="237"/>
    <x v="0"/>
    <x v="0"/>
    <x v="0"/>
    <x v="1"/>
    <s v="10/2023"/>
    <x v="0"/>
    <s v="Petite"/>
  </r>
  <r>
    <n v="242"/>
    <x v="203"/>
    <x v="1"/>
    <x v="1"/>
    <x v="3"/>
    <x v="20"/>
    <n v="3"/>
    <n v="6200"/>
    <n v="10"/>
    <n v="18600"/>
    <x v="238"/>
    <x v="0"/>
    <x v="1"/>
    <x v="1"/>
    <x v="0"/>
    <s v="08/2024"/>
    <x v="1"/>
    <s v="Petite"/>
  </r>
  <r>
    <n v="243"/>
    <x v="204"/>
    <x v="1"/>
    <x v="4"/>
    <x v="3"/>
    <x v="7"/>
    <n v="47"/>
    <n v="21100"/>
    <n v="0"/>
    <n v="991700"/>
    <x v="239"/>
    <x v="0"/>
    <x v="3"/>
    <x v="4"/>
    <x v="1"/>
    <s v="11/2023"/>
    <x v="0"/>
    <s v="Grande"/>
  </r>
  <r>
    <n v="244"/>
    <x v="205"/>
    <x v="6"/>
    <x v="3"/>
    <x v="2"/>
    <x v="23"/>
    <n v="4"/>
    <n v="4700"/>
    <n v="15"/>
    <n v="18800"/>
    <x v="240"/>
    <x v="0"/>
    <x v="1"/>
    <x v="8"/>
    <x v="1"/>
    <s v="06/2023"/>
    <x v="3"/>
    <s v="Petite"/>
  </r>
  <r>
    <n v="245"/>
    <x v="58"/>
    <x v="7"/>
    <x v="3"/>
    <x v="4"/>
    <x v="35"/>
    <n v="42"/>
    <n v="108600"/>
    <n v="15"/>
    <n v="4561200"/>
    <x v="241"/>
    <x v="1"/>
    <x v="3"/>
    <x v="4"/>
    <x v="0"/>
    <s v="11/2024"/>
    <x v="0"/>
    <s v="Grande"/>
  </r>
  <r>
    <n v="246"/>
    <x v="206"/>
    <x v="7"/>
    <x v="4"/>
    <x v="0"/>
    <x v="21"/>
    <n v="35"/>
    <n v="4300"/>
    <n v="0"/>
    <n v="150500"/>
    <x v="242"/>
    <x v="0"/>
    <x v="1"/>
    <x v="7"/>
    <x v="0"/>
    <s v="02/2024"/>
    <x v="2"/>
    <s v="Moyenne"/>
  </r>
  <r>
    <n v="247"/>
    <x v="207"/>
    <x v="6"/>
    <x v="1"/>
    <x v="1"/>
    <x v="9"/>
    <n v="36"/>
    <n v="10300"/>
    <n v="0"/>
    <n v="370800"/>
    <x v="243"/>
    <x v="0"/>
    <x v="2"/>
    <x v="10"/>
    <x v="0"/>
    <s v="12/2024"/>
    <x v="0"/>
    <s v="Grande"/>
  </r>
  <r>
    <n v="248"/>
    <x v="208"/>
    <x v="5"/>
    <x v="2"/>
    <x v="1"/>
    <x v="31"/>
    <n v="6"/>
    <n v="27800"/>
    <n v="0"/>
    <n v="166800"/>
    <x v="244"/>
    <x v="0"/>
    <x v="1"/>
    <x v="5"/>
    <x v="1"/>
    <s v="09/2023"/>
    <x v="1"/>
    <s v="Moyenne"/>
  </r>
  <r>
    <n v="249"/>
    <x v="209"/>
    <x v="7"/>
    <x v="3"/>
    <x v="3"/>
    <x v="20"/>
    <n v="13"/>
    <n v="7300"/>
    <n v="5"/>
    <n v="94900"/>
    <x v="245"/>
    <x v="1"/>
    <x v="1"/>
    <x v="7"/>
    <x v="1"/>
    <s v="02/2023"/>
    <x v="2"/>
    <s v="Moyenne"/>
  </r>
  <r>
    <n v="250"/>
    <x v="210"/>
    <x v="3"/>
    <x v="2"/>
    <x v="1"/>
    <x v="1"/>
    <n v="48"/>
    <n v="9600"/>
    <n v="0"/>
    <n v="460800"/>
    <x v="246"/>
    <x v="0"/>
    <x v="2"/>
    <x v="7"/>
    <x v="1"/>
    <s v="02/2023"/>
    <x v="2"/>
    <s v="Grande"/>
  </r>
  <r>
    <n v="251"/>
    <x v="211"/>
    <x v="9"/>
    <x v="4"/>
    <x v="4"/>
    <x v="26"/>
    <n v="50"/>
    <n v="43600"/>
    <n v="10"/>
    <n v="2180000"/>
    <x v="247"/>
    <x v="0"/>
    <x v="2"/>
    <x v="10"/>
    <x v="0"/>
    <s v="12/2024"/>
    <x v="0"/>
    <s v="Grande"/>
  </r>
  <r>
    <n v="391"/>
    <x v="205"/>
    <x v="2"/>
    <x v="3"/>
    <x v="4"/>
    <x v="8"/>
    <n v="43"/>
    <n v="58600"/>
    <n v="10"/>
    <n v="2519800"/>
    <x v="248"/>
    <x v="3"/>
    <x v="3"/>
    <x v="8"/>
    <x v="1"/>
    <s v="06/2023"/>
    <x v="3"/>
    <s v="Grande"/>
  </r>
  <r>
    <n v="252"/>
    <x v="212"/>
    <x v="3"/>
    <x v="2"/>
    <x v="0"/>
    <x v="39"/>
    <n v="32"/>
    <n v="8200"/>
    <n v="20"/>
    <n v="262400"/>
    <x v="249"/>
    <x v="0"/>
    <x v="2"/>
    <x v="0"/>
    <x v="0"/>
    <s v="10/2024"/>
    <x v="0"/>
    <s v="Grande"/>
  </r>
  <r>
    <n v="253"/>
    <x v="213"/>
    <x v="5"/>
    <x v="2"/>
    <x v="0"/>
    <x v="21"/>
    <n v="15"/>
    <n v="4100"/>
    <n v="0"/>
    <n v="61500"/>
    <x v="250"/>
    <x v="1"/>
    <x v="0"/>
    <x v="4"/>
    <x v="1"/>
    <s v="11/2023"/>
    <x v="0"/>
    <s v="Moyenne"/>
  </r>
  <r>
    <n v="254"/>
    <x v="214"/>
    <x v="9"/>
    <x v="3"/>
    <x v="4"/>
    <x v="17"/>
    <n v="22"/>
    <n v="107900"/>
    <n v="5"/>
    <n v="2373800"/>
    <x v="251"/>
    <x v="0"/>
    <x v="1"/>
    <x v="3"/>
    <x v="0"/>
    <s v="07/2024"/>
    <x v="1"/>
    <s v="Grande"/>
  </r>
  <r>
    <n v="255"/>
    <x v="74"/>
    <x v="3"/>
    <x v="2"/>
    <x v="4"/>
    <x v="28"/>
    <n v="47"/>
    <n v="12200"/>
    <n v="0"/>
    <n v="573400"/>
    <x v="252"/>
    <x v="1"/>
    <x v="1"/>
    <x v="3"/>
    <x v="0"/>
    <s v="07/2024"/>
    <x v="1"/>
    <s v="Grande"/>
  </r>
  <r>
    <n v="256"/>
    <x v="57"/>
    <x v="8"/>
    <x v="4"/>
    <x v="3"/>
    <x v="20"/>
    <n v="5"/>
    <n v="6700"/>
    <n v="20"/>
    <n v="33500"/>
    <x v="253"/>
    <x v="3"/>
    <x v="0"/>
    <x v="3"/>
    <x v="0"/>
    <s v="07/2024"/>
    <x v="1"/>
    <s v="Petite"/>
  </r>
  <r>
    <n v="257"/>
    <x v="215"/>
    <x v="7"/>
    <x v="4"/>
    <x v="2"/>
    <x v="24"/>
    <n v="1"/>
    <n v="5900"/>
    <n v="0"/>
    <n v="5900"/>
    <x v="254"/>
    <x v="0"/>
    <x v="2"/>
    <x v="3"/>
    <x v="1"/>
    <s v="07/2023"/>
    <x v="1"/>
    <s v="Petite"/>
  </r>
  <r>
    <n v="258"/>
    <x v="216"/>
    <x v="9"/>
    <x v="3"/>
    <x v="4"/>
    <x v="28"/>
    <n v="35"/>
    <n v="10800"/>
    <n v="0"/>
    <n v="378000"/>
    <x v="255"/>
    <x v="0"/>
    <x v="0"/>
    <x v="2"/>
    <x v="1"/>
    <s v="03/2023"/>
    <x v="2"/>
    <s v="Grande"/>
  </r>
  <r>
    <n v="259"/>
    <x v="217"/>
    <x v="4"/>
    <x v="3"/>
    <x v="0"/>
    <x v="4"/>
    <n v="45"/>
    <n v="35900"/>
    <n v="0"/>
    <n v="1615500"/>
    <x v="256"/>
    <x v="1"/>
    <x v="1"/>
    <x v="8"/>
    <x v="0"/>
    <s v="06/2024"/>
    <x v="3"/>
    <s v="Grande"/>
  </r>
  <r>
    <n v="260"/>
    <x v="218"/>
    <x v="2"/>
    <x v="4"/>
    <x v="2"/>
    <x v="3"/>
    <n v="17"/>
    <n v="1900"/>
    <n v="20"/>
    <n v="32300"/>
    <x v="257"/>
    <x v="1"/>
    <x v="3"/>
    <x v="5"/>
    <x v="1"/>
    <s v="09/2023"/>
    <x v="1"/>
    <s v="Petite"/>
  </r>
  <r>
    <n v="261"/>
    <x v="138"/>
    <x v="0"/>
    <x v="2"/>
    <x v="4"/>
    <x v="28"/>
    <n v="45"/>
    <n v="12500"/>
    <n v="15"/>
    <n v="562500"/>
    <x v="258"/>
    <x v="0"/>
    <x v="0"/>
    <x v="7"/>
    <x v="0"/>
    <s v="02/2024"/>
    <x v="2"/>
    <s v="Grande"/>
  </r>
  <r>
    <n v="262"/>
    <x v="2"/>
    <x v="1"/>
    <x v="0"/>
    <x v="4"/>
    <x v="29"/>
    <n v="31"/>
    <n v="17900"/>
    <n v="15"/>
    <n v="554900"/>
    <x v="259"/>
    <x v="0"/>
    <x v="0"/>
    <x v="0"/>
    <x v="0"/>
    <s v="10/2024"/>
    <x v="0"/>
    <s v="Grande"/>
  </r>
  <r>
    <n v="263"/>
    <x v="219"/>
    <x v="0"/>
    <x v="1"/>
    <x v="4"/>
    <x v="15"/>
    <n v="7"/>
    <n v="7800"/>
    <n v="0"/>
    <n v="54600"/>
    <x v="260"/>
    <x v="2"/>
    <x v="0"/>
    <x v="8"/>
    <x v="1"/>
    <s v="06/2023"/>
    <x v="3"/>
    <s v="Moyenne"/>
  </r>
  <r>
    <n v="264"/>
    <x v="60"/>
    <x v="9"/>
    <x v="1"/>
    <x v="0"/>
    <x v="4"/>
    <n v="44"/>
    <n v="39600"/>
    <n v="0"/>
    <n v="1742400"/>
    <x v="261"/>
    <x v="2"/>
    <x v="0"/>
    <x v="11"/>
    <x v="1"/>
    <s v="05/2023"/>
    <x v="3"/>
    <s v="Grande"/>
  </r>
  <r>
    <n v="265"/>
    <x v="220"/>
    <x v="1"/>
    <x v="4"/>
    <x v="3"/>
    <x v="6"/>
    <n v="46"/>
    <n v="10700"/>
    <n v="0"/>
    <n v="492200"/>
    <x v="262"/>
    <x v="1"/>
    <x v="0"/>
    <x v="4"/>
    <x v="1"/>
    <s v="11/2023"/>
    <x v="0"/>
    <s v="Grande"/>
  </r>
  <r>
    <n v="266"/>
    <x v="37"/>
    <x v="9"/>
    <x v="4"/>
    <x v="3"/>
    <x v="25"/>
    <n v="35"/>
    <n v="8000"/>
    <n v="20"/>
    <n v="280000"/>
    <x v="263"/>
    <x v="0"/>
    <x v="1"/>
    <x v="8"/>
    <x v="1"/>
    <s v="06/2023"/>
    <x v="3"/>
    <s v="Grande"/>
  </r>
  <r>
    <n v="267"/>
    <x v="80"/>
    <x v="0"/>
    <x v="3"/>
    <x v="0"/>
    <x v="4"/>
    <n v="15"/>
    <n v="32400"/>
    <n v="10"/>
    <n v="486000"/>
    <x v="264"/>
    <x v="1"/>
    <x v="3"/>
    <x v="8"/>
    <x v="0"/>
    <s v="06/2024"/>
    <x v="3"/>
    <s v="Grande"/>
  </r>
  <r>
    <n v="268"/>
    <x v="221"/>
    <x v="9"/>
    <x v="1"/>
    <x v="0"/>
    <x v="4"/>
    <n v="29"/>
    <n v="37000"/>
    <n v="10"/>
    <n v="1073000"/>
    <x v="265"/>
    <x v="0"/>
    <x v="3"/>
    <x v="5"/>
    <x v="0"/>
    <s v="09/2024"/>
    <x v="1"/>
    <s v="Grande"/>
  </r>
  <r>
    <n v="269"/>
    <x v="222"/>
    <x v="7"/>
    <x v="5"/>
    <x v="3"/>
    <x v="25"/>
    <n v="40"/>
    <n v="6900"/>
    <n v="15"/>
    <n v="276000"/>
    <x v="266"/>
    <x v="0"/>
    <x v="1"/>
    <x v="9"/>
    <x v="0"/>
    <s v="01/2024"/>
    <x v="2"/>
    <s v="Grande"/>
  </r>
  <r>
    <n v="270"/>
    <x v="223"/>
    <x v="0"/>
    <x v="5"/>
    <x v="2"/>
    <x v="23"/>
    <n v="41"/>
    <n v="5200"/>
    <n v="0"/>
    <n v="213200"/>
    <x v="267"/>
    <x v="0"/>
    <x v="2"/>
    <x v="2"/>
    <x v="1"/>
    <s v="03/2023"/>
    <x v="2"/>
    <s v="Grande"/>
  </r>
  <r>
    <n v="271"/>
    <x v="156"/>
    <x v="0"/>
    <x v="0"/>
    <x v="1"/>
    <x v="32"/>
    <n v="49"/>
    <n v="2500"/>
    <n v="0"/>
    <n v="122500"/>
    <x v="81"/>
    <x v="0"/>
    <x v="1"/>
    <x v="11"/>
    <x v="0"/>
    <s v="05/2024"/>
    <x v="3"/>
    <s v="Moyenne"/>
  </r>
  <r>
    <n v="272"/>
    <x v="161"/>
    <x v="7"/>
    <x v="1"/>
    <x v="3"/>
    <x v="25"/>
    <n v="6"/>
    <n v="6900"/>
    <n v="10"/>
    <n v="41400"/>
    <x v="268"/>
    <x v="0"/>
    <x v="0"/>
    <x v="4"/>
    <x v="1"/>
    <s v="11/2023"/>
    <x v="0"/>
    <s v="Petite"/>
  </r>
  <r>
    <n v="273"/>
    <x v="224"/>
    <x v="3"/>
    <x v="1"/>
    <x v="1"/>
    <x v="32"/>
    <n v="50"/>
    <n v="2500"/>
    <n v="0"/>
    <n v="125000"/>
    <x v="269"/>
    <x v="0"/>
    <x v="1"/>
    <x v="5"/>
    <x v="0"/>
    <s v="09/2024"/>
    <x v="1"/>
    <s v="Moyenne"/>
  </r>
  <r>
    <n v="274"/>
    <x v="53"/>
    <x v="6"/>
    <x v="1"/>
    <x v="2"/>
    <x v="13"/>
    <n v="18"/>
    <n v="4100"/>
    <n v="0"/>
    <n v="73800"/>
    <x v="270"/>
    <x v="0"/>
    <x v="0"/>
    <x v="8"/>
    <x v="0"/>
    <s v="06/2024"/>
    <x v="3"/>
    <s v="Moyenne"/>
  </r>
  <r>
    <n v="275"/>
    <x v="225"/>
    <x v="4"/>
    <x v="1"/>
    <x v="0"/>
    <x v="5"/>
    <n v="24"/>
    <n v="3800"/>
    <n v="15"/>
    <n v="91200"/>
    <x v="271"/>
    <x v="0"/>
    <x v="1"/>
    <x v="2"/>
    <x v="0"/>
    <s v="03/2024"/>
    <x v="2"/>
    <s v="Moyenne"/>
  </r>
  <r>
    <n v="276"/>
    <x v="226"/>
    <x v="8"/>
    <x v="3"/>
    <x v="3"/>
    <x v="33"/>
    <n v="9"/>
    <n v="4600"/>
    <n v="0"/>
    <n v="41400"/>
    <x v="272"/>
    <x v="0"/>
    <x v="2"/>
    <x v="7"/>
    <x v="0"/>
    <s v="02/2024"/>
    <x v="2"/>
    <s v="Petite"/>
  </r>
  <r>
    <n v="277"/>
    <x v="227"/>
    <x v="7"/>
    <x v="2"/>
    <x v="4"/>
    <x v="15"/>
    <n v="42"/>
    <n v="7600"/>
    <n v="0"/>
    <n v="319200"/>
    <x v="273"/>
    <x v="3"/>
    <x v="1"/>
    <x v="5"/>
    <x v="0"/>
    <s v="09/2024"/>
    <x v="1"/>
    <s v="Grande"/>
  </r>
  <r>
    <n v="278"/>
    <x v="228"/>
    <x v="9"/>
    <x v="4"/>
    <x v="4"/>
    <x v="15"/>
    <n v="26"/>
    <n v="7100"/>
    <n v="15"/>
    <n v="184600"/>
    <x v="274"/>
    <x v="3"/>
    <x v="3"/>
    <x v="4"/>
    <x v="1"/>
    <s v="11/2023"/>
    <x v="0"/>
    <s v="Moyenne"/>
  </r>
  <r>
    <n v="279"/>
    <x v="229"/>
    <x v="8"/>
    <x v="3"/>
    <x v="2"/>
    <x v="37"/>
    <n v="26"/>
    <n v="3200"/>
    <n v="10"/>
    <n v="83200"/>
    <x v="275"/>
    <x v="0"/>
    <x v="1"/>
    <x v="10"/>
    <x v="0"/>
    <s v="12/2024"/>
    <x v="0"/>
    <s v="Moyenne"/>
  </r>
  <r>
    <n v="280"/>
    <x v="230"/>
    <x v="6"/>
    <x v="3"/>
    <x v="1"/>
    <x v="31"/>
    <n v="14"/>
    <n v="28400"/>
    <n v="20"/>
    <n v="397600"/>
    <x v="276"/>
    <x v="0"/>
    <x v="3"/>
    <x v="10"/>
    <x v="0"/>
    <s v="12/2024"/>
    <x v="0"/>
    <s v="Grande"/>
  </r>
  <r>
    <n v="281"/>
    <x v="231"/>
    <x v="0"/>
    <x v="1"/>
    <x v="4"/>
    <x v="30"/>
    <n v="16"/>
    <n v="29600"/>
    <n v="15"/>
    <n v="473600"/>
    <x v="277"/>
    <x v="0"/>
    <x v="1"/>
    <x v="0"/>
    <x v="0"/>
    <s v="10/2024"/>
    <x v="0"/>
    <s v="Grande"/>
  </r>
  <r>
    <n v="282"/>
    <x v="122"/>
    <x v="7"/>
    <x v="0"/>
    <x v="4"/>
    <x v="28"/>
    <n v="35"/>
    <n v="12500"/>
    <n v="10"/>
    <n v="437500"/>
    <x v="278"/>
    <x v="0"/>
    <x v="2"/>
    <x v="5"/>
    <x v="0"/>
    <s v="09/2024"/>
    <x v="1"/>
    <s v="Grande"/>
  </r>
  <r>
    <n v="283"/>
    <x v="232"/>
    <x v="3"/>
    <x v="3"/>
    <x v="3"/>
    <x v="19"/>
    <n v="16"/>
    <n v="2000"/>
    <n v="0"/>
    <n v="32000"/>
    <x v="157"/>
    <x v="1"/>
    <x v="3"/>
    <x v="3"/>
    <x v="1"/>
    <s v="07/2023"/>
    <x v="1"/>
    <s v="Petite"/>
  </r>
  <r>
    <n v="284"/>
    <x v="233"/>
    <x v="9"/>
    <x v="0"/>
    <x v="3"/>
    <x v="25"/>
    <n v="22"/>
    <n v="8600"/>
    <n v="0"/>
    <n v="189200"/>
    <x v="279"/>
    <x v="3"/>
    <x v="2"/>
    <x v="0"/>
    <x v="0"/>
    <s v="10/2024"/>
    <x v="0"/>
    <s v="Moyenne"/>
  </r>
  <r>
    <n v="285"/>
    <x v="234"/>
    <x v="0"/>
    <x v="2"/>
    <x v="2"/>
    <x v="3"/>
    <n v="26"/>
    <n v="1800"/>
    <n v="0"/>
    <n v="46800"/>
    <x v="280"/>
    <x v="0"/>
    <x v="1"/>
    <x v="4"/>
    <x v="1"/>
    <s v="11/2023"/>
    <x v="0"/>
    <s v="Petite"/>
  </r>
  <r>
    <n v="286"/>
    <x v="235"/>
    <x v="8"/>
    <x v="0"/>
    <x v="0"/>
    <x v="21"/>
    <n v="6"/>
    <n v="5100"/>
    <n v="0"/>
    <n v="30600"/>
    <x v="281"/>
    <x v="0"/>
    <x v="1"/>
    <x v="9"/>
    <x v="1"/>
    <s v="01/2023"/>
    <x v="2"/>
    <s v="Petite"/>
  </r>
  <r>
    <n v="287"/>
    <x v="236"/>
    <x v="3"/>
    <x v="1"/>
    <x v="2"/>
    <x v="2"/>
    <n v="7"/>
    <n v="5300"/>
    <n v="0"/>
    <n v="37100"/>
    <x v="282"/>
    <x v="0"/>
    <x v="2"/>
    <x v="4"/>
    <x v="1"/>
    <s v="11/2023"/>
    <x v="0"/>
    <s v="Petite"/>
  </r>
  <r>
    <n v="288"/>
    <x v="237"/>
    <x v="4"/>
    <x v="0"/>
    <x v="1"/>
    <x v="18"/>
    <n v="42"/>
    <n v="94500"/>
    <n v="15"/>
    <n v="3969000"/>
    <x v="283"/>
    <x v="0"/>
    <x v="1"/>
    <x v="0"/>
    <x v="1"/>
    <s v="10/2023"/>
    <x v="0"/>
    <s v="Grande"/>
  </r>
  <r>
    <n v="289"/>
    <x v="238"/>
    <x v="2"/>
    <x v="4"/>
    <x v="3"/>
    <x v="6"/>
    <n v="28"/>
    <n v="9600"/>
    <n v="20"/>
    <n v="268800"/>
    <x v="284"/>
    <x v="3"/>
    <x v="1"/>
    <x v="3"/>
    <x v="1"/>
    <s v="07/2023"/>
    <x v="1"/>
    <s v="Grande"/>
  </r>
  <r>
    <n v="290"/>
    <x v="239"/>
    <x v="6"/>
    <x v="4"/>
    <x v="4"/>
    <x v="29"/>
    <n v="40"/>
    <n v="16300"/>
    <n v="0"/>
    <n v="652000"/>
    <x v="285"/>
    <x v="2"/>
    <x v="2"/>
    <x v="7"/>
    <x v="0"/>
    <s v="02/2024"/>
    <x v="2"/>
    <s v="Grande"/>
  </r>
  <r>
    <n v="291"/>
    <x v="240"/>
    <x v="7"/>
    <x v="0"/>
    <x v="2"/>
    <x v="3"/>
    <n v="46"/>
    <n v="1700"/>
    <n v="10"/>
    <n v="78200"/>
    <x v="286"/>
    <x v="1"/>
    <x v="0"/>
    <x v="2"/>
    <x v="0"/>
    <s v="03/2024"/>
    <x v="2"/>
    <s v="Moyenne"/>
  </r>
  <r>
    <n v="292"/>
    <x v="241"/>
    <x v="2"/>
    <x v="4"/>
    <x v="0"/>
    <x v="39"/>
    <n v="8"/>
    <n v="7600"/>
    <n v="10"/>
    <n v="60800"/>
    <x v="287"/>
    <x v="0"/>
    <x v="2"/>
    <x v="6"/>
    <x v="1"/>
    <s v="04/2023"/>
    <x v="3"/>
    <s v="Moyenne"/>
  </r>
  <r>
    <n v="293"/>
    <x v="0"/>
    <x v="3"/>
    <x v="3"/>
    <x v="4"/>
    <x v="29"/>
    <n v="23"/>
    <n v="18800"/>
    <n v="10"/>
    <n v="432400"/>
    <x v="288"/>
    <x v="0"/>
    <x v="2"/>
    <x v="0"/>
    <x v="0"/>
    <s v="10/2024"/>
    <x v="0"/>
    <s v="Grande"/>
  </r>
  <r>
    <n v="294"/>
    <x v="242"/>
    <x v="4"/>
    <x v="3"/>
    <x v="3"/>
    <x v="19"/>
    <n v="21"/>
    <n v="2300"/>
    <n v="0"/>
    <n v="48300"/>
    <x v="289"/>
    <x v="0"/>
    <x v="3"/>
    <x v="8"/>
    <x v="1"/>
    <s v="06/2023"/>
    <x v="3"/>
    <s v="Petite"/>
  </r>
  <r>
    <n v="295"/>
    <x v="243"/>
    <x v="3"/>
    <x v="4"/>
    <x v="3"/>
    <x v="25"/>
    <n v="9"/>
    <n v="7500"/>
    <n v="0"/>
    <n v="67500"/>
    <x v="290"/>
    <x v="0"/>
    <x v="2"/>
    <x v="3"/>
    <x v="1"/>
    <s v="07/2023"/>
    <x v="1"/>
    <s v="Moyenne"/>
  </r>
  <r>
    <n v="296"/>
    <x v="244"/>
    <x v="2"/>
    <x v="4"/>
    <x v="3"/>
    <x v="6"/>
    <n v="9"/>
    <n v="10000"/>
    <n v="10"/>
    <n v="90000"/>
    <x v="291"/>
    <x v="0"/>
    <x v="2"/>
    <x v="11"/>
    <x v="0"/>
    <s v="05/2024"/>
    <x v="3"/>
    <s v="Moyenne"/>
  </r>
  <r>
    <n v="297"/>
    <x v="245"/>
    <x v="3"/>
    <x v="0"/>
    <x v="4"/>
    <x v="30"/>
    <n v="25"/>
    <n v="26600"/>
    <n v="5"/>
    <n v="665000"/>
    <x v="292"/>
    <x v="3"/>
    <x v="2"/>
    <x v="7"/>
    <x v="1"/>
    <s v="02/2023"/>
    <x v="2"/>
    <s v="Grande"/>
  </r>
  <r>
    <n v="298"/>
    <x v="246"/>
    <x v="8"/>
    <x v="1"/>
    <x v="4"/>
    <x v="28"/>
    <n v="37"/>
    <n v="11300"/>
    <n v="0"/>
    <n v="418100"/>
    <x v="293"/>
    <x v="0"/>
    <x v="1"/>
    <x v="7"/>
    <x v="0"/>
    <s v="02/2024"/>
    <x v="2"/>
    <s v="Grande"/>
  </r>
  <r>
    <n v="299"/>
    <x v="164"/>
    <x v="4"/>
    <x v="4"/>
    <x v="3"/>
    <x v="7"/>
    <n v="30"/>
    <n v="20700"/>
    <n v="10"/>
    <n v="621000"/>
    <x v="294"/>
    <x v="0"/>
    <x v="2"/>
    <x v="2"/>
    <x v="1"/>
    <s v="03/2023"/>
    <x v="2"/>
    <s v="Grande"/>
  </r>
  <r>
    <n v="300"/>
    <x v="247"/>
    <x v="0"/>
    <x v="3"/>
    <x v="1"/>
    <x v="32"/>
    <n v="24"/>
    <n v="2700"/>
    <n v="20"/>
    <n v="64800"/>
    <x v="295"/>
    <x v="0"/>
    <x v="0"/>
    <x v="3"/>
    <x v="0"/>
    <s v="07/2024"/>
    <x v="1"/>
    <s v="Moyenne"/>
  </r>
  <r>
    <n v="301"/>
    <x v="76"/>
    <x v="2"/>
    <x v="4"/>
    <x v="4"/>
    <x v="8"/>
    <n v="42"/>
    <n v="70500"/>
    <n v="20"/>
    <n v="2961000"/>
    <x v="296"/>
    <x v="1"/>
    <x v="3"/>
    <x v="2"/>
    <x v="0"/>
    <s v="03/2024"/>
    <x v="2"/>
    <s v="Grande"/>
  </r>
  <r>
    <n v="302"/>
    <x v="164"/>
    <x v="8"/>
    <x v="2"/>
    <x v="0"/>
    <x v="10"/>
    <n v="8"/>
    <n v="28300"/>
    <n v="0"/>
    <n v="226400"/>
    <x v="297"/>
    <x v="1"/>
    <x v="1"/>
    <x v="2"/>
    <x v="1"/>
    <s v="03/2023"/>
    <x v="2"/>
    <s v="Grande"/>
  </r>
  <r>
    <n v="303"/>
    <x v="79"/>
    <x v="3"/>
    <x v="3"/>
    <x v="4"/>
    <x v="30"/>
    <n v="14"/>
    <n v="29500"/>
    <n v="10"/>
    <n v="413000"/>
    <x v="298"/>
    <x v="1"/>
    <x v="0"/>
    <x v="1"/>
    <x v="0"/>
    <s v="08/2024"/>
    <x v="1"/>
    <s v="Grande"/>
  </r>
  <r>
    <n v="304"/>
    <x v="248"/>
    <x v="2"/>
    <x v="2"/>
    <x v="3"/>
    <x v="6"/>
    <n v="46"/>
    <n v="9600"/>
    <n v="20"/>
    <n v="441600"/>
    <x v="299"/>
    <x v="0"/>
    <x v="3"/>
    <x v="10"/>
    <x v="1"/>
    <s v="12/2023"/>
    <x v="0"/>
    <s v="Grande"/>
  </r>
  <r>
    <n v="305"/>
    <x v="249"/>
    <x v="0"/>
    <x v="4"/>
    <x v="4"/>
    <x v="35"/>
    <n v="42"/>
    <n v="109100"/>
    <n v="0"/>
    <n v="4582200"/>
    <x v="300"/>
    <x v="0"/>
    <x v="1"/>
    <x v="0"/>
    <x v="0"/>
    <s v="10/2024"/>
    <x v="0"/>
    <s v="Grande"/>
  </r>
  <r>
    <n v="306"/>
    <x v="250"/>
    <x v="3"/>
    <x v="4"/>
    <x v="4"/>
    <x v="28"/>
    <n v="41"/>
    <n v="11200"/>
    <n v="5"/>
    <n v="459200"/>
    <x v="301"/>
    <x v="0"/>
    <x v="2"/>
    <x v="11"/>
    <x v="1"/>
    <s v="05/2023"/>
    <x v="3"/>
    <s v="Grande"/>
  </r>
  <r>
    <n v="307"/>
    <x v="123"/>
    <x v="0"/>
    <x v="0"/>
    <x v="4"/>
    <x v="17"/>
    <n v="24"/>
    <n v="123500"/>
    <n v="0"/>
    <n v="2964000"/>
    <x v="302"/>
    <x v="0"/>
    <x v="2"/>
    <x v="3"/>
    <x v="0"/>
    <s v="07/2024"/>
    <x v="1"/>
    <s v="Grande"/>
  </r>
  <r>
    <n v="308"/>
    <x v="251"/>
    <x v="1"/>
    <x v="0"/>
    <x v="4"/>
    <x v="15"/>
    <n v="35"/>
    <n v="8300"/>
    <n v="20"/>
    <n v="290500"/>
    <x v="303"/>
    <x v="0"/>
    <x v="2"/>
    <x v="1"/>
    <x v="0"/>
    <s v="08/2024"/>
    <x v="1"/>
    <s v="Grande"/>
  </r>
  <r>
    <n v="309"/>
    <x v="60"/>
    <x v="8"/>
    <x v="2"/>
    <x v="0"/>
    <x v="34"/>
    <n v="37"/>
    <n v="31500"/>
    <n v="20"/>
    <n v="1165500"/>
    <x v="304"/>
    <x v="0"/>
    <x v="2"/>
    <x v="11"/>
    <x v="1"/>
    <s v="05/2023"/>
    <x v="3"/>
    <s v="Grande"/>
  </r>
  <r>
    <n v="310"/>
    <x v="252"/>
    <x v="1"/>
    <x v="0"/>
    <x v="1"/>
    <x v="31"/>
    <n v="11"/>
    <n v="22600"/>
    <n v="5"/>
    <n v="248600"/>
    <x v="305"/>
    <x v="0"/>
    <x v="0"/>
    <x v="10"/>
    <x v="1"/>
    <s v="12/2023"/>
    <x v="0"/>
    <s v="Grande"/>
  </r>
  <r>
    <n v="311"/>
    <x v="253"/>
    <x v="6"/>
    <x v="2"/>
    <x v="2"/>
    <x v="16"/>
    <n v="24"/>
    <n v="8900"/>
    <n v="15"/>
    <n v="213600"/>
    <x v="306"/>
    <x v="0"/>
    <x v="3"/>
    <x v="3"/>
    <x v="1"/>
    <s v="07/2023"/>
    <x v="1"/>
    <s v="Moyenne"/>
  </r>
  <r>
    <n v="312"/>
    <x v="212"/>
    <x v="6"/>
    <x v="0"/>
    <x v="4"/>
    <x v="17"/>
    <n v="49"/>
    <n v="124400"/>
    <n v="15"/>
    <n v="6095600"/>
    <x v="307"/>
    <x v="0"/>
    <x v="0"/>
    <x v="0"/>
    <x v="0"/>
    <s v="10/2024"/>
    <x v="0"/>
    <s v="Grande"/>
  </r>
  <r>
    <n v="313"/>
    <x v="254"/>
    <x v="1"/>
    <x v="4"/>
    <x v="4"/>
    <x v="8"/>
    <n v="15"/>
    <n v="60700"/>
    <n v="0"/>
    <n v="910500"/>
    <x v="308"/>
    <x v="0"/>
    <x v="2"/>
    <x v="1"/>
    <x v="1"/>
    <s v="08/2023"/>
    <x v="1"/>
    <s v="Grande"/>
  </r>
  <r>
    <n v="314"/>
    <x v="104"/>
    <x v="3"/>
    <x v="0"/>
    <x v="4"/>
    <x v="30"/>
    <n v="15"/>
    <n v="28500"/>
    <n v="0"/>
    <n v="427500"/>
    <x v="309"/>
    <x v="0"/>
    <x v="0"/>
    <x v="5"/>
    <x v="1"/>
    <s v="09/2023"/>
    <x v="1"/>
    <s v="Grande"/>
  </r>
  <r>
    <n v="315"/>
    <x v="255"/>
    <x v="3"/>
    <x v="2"/>
    <x v="2"/>
    <x v="23"/>
    <n v="49"/>
    <n v="5200"/>
    <n v="0"/>
    <n v="254800"/>
    <x v="310"/>
    <x v="2"/>
    <x v="4"/>
    <x v="4"/>
    <x v="1"/>
    <s v="11/2023"/>
    <x v="0"/>
    <s v="Grande"/>
  </r>
  <r>
    <n v="316"/>
    <x v="26"/>
    <x v="9"/>
    <x v="0"/>
    <x v="3"/>
    <x v="6"/>
    <n v="47"/>
    <n v="9900"/>
    <n v="5"/>
    <n v="465300"/>
    <x v="311"/>
    <x v="0"/>
    <x v="1"/>
    <x v="8"/>
    <x v="0"/>
    <s v="06/2024"/>
    <x v="3"/>
    <s v="Grande"/>
  </r>
  <r>
    <n v="317"/>
    <x v="256"/>
    <x v="8"/>
    <x v="4"/>
    <x v="1"/>
    <x v="14"/>
    <n v="8"/>
    <n v="112200"/>
    <n v="0"/>
    <n v="897600"/>
    <x v="312"/>
    <x v="0"/>
    <x v="2"/>
    <x v="5"/>
    <x v="0"/>
    <s v="09/2024"/>
    <x v="1"/>
    <s v="Grande"/>
  </r>
  <r>
    <n v="318"/>
    <x v="240"/>
    <x v="3"/>
    <x v="4"/>
    <x v="2"/>
    <x v="16"/>
    <n v="16"/>
    <n v="10200"/>
    <n v="20"/>
    <n v="163200"/>
    <x v="313"/>
    <x v="0"/>
    <x v="3"/>
    <x v="2"/>
    <x v="0"/>
    <s v="03/2024"/>
    <x v="2"/>
    <s v="Moyenne"/>
  </r>
  <r>
    <n v="319"/>
    <x v="257"/>
    <x v="1"/>
    <x v="2"/>
    <x v="2"/>
    <x v="3"/>
    <n v="19"/>
    <n v="2000"/>
    <n v="5"/>
    <n v="38000"/>
    <x v="314"/>
    <x v="0"/>
    <x v="1"/>
    <x v="1"/>
    <x v="0"/>
    <s v="08/2024"/>
    <x v="1"/>
    <s v="Petite"/>
  </r>
  <r>
    <n v="320"/>
    <x v="180"/>
    <x v="0"/>
    <x v="4"/>
    <x v="4"/>
    <x v="8"/>
    <n v="1"/>
    <n v="67100"/>
    <n v="0"/>
    <n v="67100"/>
    <x v="315"/>
    <x v="3"/>
    <x v="3"/>
    <x v="9"/>
    <x v="0"/>
    <s v="01/2024"/>
    <x v="2"/>
    <s v="Moyenne"/>
  </r>
  <r>
    <n v="321"/>
    <x v="166"/>
    <x v="9"/>
    <x v="1"/>
    <x v="0"/>
    <x v="22"/>
    <n v="50"/>
    <n v="13100"/>
    <n v="0"/>
    <n v="655000"/>
    <x v="316"/>
    <x v="0"/>
    <x v="0"/>
    <x v="9"/>
    <x v="0"/>
    <s v="01/2024"/>
    <x v="2"/>
    <s v="Grande"/>
  </r>
  <r>
    <n v="322"/>
    <x v="258"/>
    <x v="5"/>
    <x v="0"/>
    <x v="1"/>
    <x v="9"/>
    <n v="41"/>
    <n v="9200"/>
    <n v="5"/>
    <n v="377200"/>
    <x v="317"/>
    <x v="1"/>
    <x v="2"/>
    <x v="5"/>
    <x v="1"/>
    <s v="09/2023"/>
    <x v="1"/>
    <s v="Grande"/>
  </r>
  <r>
    <n v="323"/>
    <x v="259"/>
    <x v="7"/>
    <x v="0"/>
    <x v="3"/>
    <x v="6"/>
    <n v="20"/>
    <n v="9500"/>
    <n v="20"/>
    <n v="190000"/>
    <x v="318"/>
    <x v="0"/>
    <x v="1"/>
    <x v="10"/>
    <x v="0"/>
    <s v="12/2024"/>
    <x v="0"/>
    <s v="Moyenne"/>
  </r>
  <r>
    <n v="324"/>
    <x v="260"/>
    <x v="2"/>
    <x v="2"/>
    <x v="4"/>
    <x v="8"/>
    <n v="28"/>
    <n v="63500"/>
    <n v="0"/>
    <n v="1778000"/>
    <x v="319"/>
    <x v="1"/>
    <x v="1"/>
    <x v="5"/>
    <x v="1"/>
    <s v="09/2023"/>
    <x v="1"/>
    <s v="Grande"/>
  </r>
  <r>
    <n v="325"/>
    <x v="173"/>
    <x v="0"/>
    <x v="1"/>
    <x v="1"/>
    <x v="31"/>
    <n v="4"/>
    <n v="26300"/>
    <n v="0"/>
    <n v="105200"/>
    <x v="320"/>
    <x v="0"/>
    <x v="1"/>
    <x v="1"/>
    <x v="1"/>
    <s v="08/2023"/>
    <x v="1"/>
    <s v="Moyenne"/>
  </r>
  <r>
    <n v="326"/>
    <x v="261"/>
    <x v="6"/>
    <x v="0"/>
    <x v="2"/>
    <x v="2"/>
    <n v="34"/>
    <n v="6100"/>
    <n v="0"/>
    <n v="207400"/>
    <x v="321"/>
    <x v="0"/>
    <x v="3"/>
    <x v="9"/>
    <x v="1"/>
    <s v="01/2023"/>
    <x v="2"/>
    <s v="Grande"/>
  </r>
  <r>
    <n v="327"/>
    <x v="262"/>
    <x v="6"/>
    <x v="2"/>
    <x v="1"/>
    <x v="18"/>
    <n v="28"/>
    <n v="83600"/>
    <n v="0"/>
    <n v="2340800"/>
    <x v="322"/>
    <x v="0"/>
    <x v="0"/>
    <x v="9"/>
    <x v="0"/>
    <s v="01/2024"/>
    <x v="2"/>
    <s v="Grande"/>
  </r>
  <r>
    <n v="328"/>
    <x v="263"/>
    <x v="9"/>
    <x v="0"/>
    <x v="4"/>
    <x v="28"/>
    <n v="4"/>
    <n v="12300"/>
    <n v="0"/>
    <n v="49200"/>
    <x v="323"/>
    <x v="0"/>
    <x v="1"/>
    <x v="10"/>
    <x v="0"/>
    <s v="12/2024"/>
    <x v="0"/>
    <s v="Petite"/>
  </r>
  <r>
    <n v="329"/>
    <x v="264"/>
    <x v="4"/>
    <x v="0"/>
    <x v="3"/>
    <x v="19"/>
    <n v="33"/>
    <n v="2100"/>
    <n v="0"/>
    <n v="69300"/>
    <x v="324"/>
    <x v="0"/>
    <x v="0"/>
    <x v="4"/>
    <x v="1"/>
    <s v="11/2023"/>
    <x v="0"/>
    <s v="Moyenne"/>
  </r>
  <r>
    <n v="330"/>
    <x v="265"/>
    <x v="8"/>
    <x v="2"/>
    <x v="4"/>
    <x v="30"/>
    <n v="3"/>
    <n v="26500"/>
    <n v="0"/>
    <n v="79500"/>
    <x v="325"/>
    <x v="0"/>
    <x v="2"/>
    <x v="7"/>
    <x v="1"/>
    <s v="02/2023"/>
    <x v="2"/>
    <s v="Moyenne"/>
  </r>
  <r>
    <n v="331"/>
    <x v="266"/>
    <x v="5"/>
    <x v="1"/>
    <x v="0"/>
    <x v="34"/>
    <n v="37"/>
    <n v="35400"/>
    <n v="0"/>
    <n v="1309800"/>
    <x v="326"/>
    <x v="0"/>
    <x v="0"/>
    <x v="4"/>
    <x v="1"/>
    <s v="11/2023"/>
    <x v="0"/>
    <s v="Grande"/>
  </r>
  <r>
    <n v="332"/>
    <x v="267"/>
    <x v="2"/>
    <x v="0"/>
    <x v="4"/>
    <x v="8"/>
    <n v="19"/>
    <n v="72800"/>
    <n v="0"/>
    <n v="1383200"/>
    <x v="327"/>
    <x v="1"/>
    <x v="3"/>
    <x v="1"/>
    <x v="1"/>
    <s v="08/2023"/>
    <x v="1"/>
    <s v="Grande"/>
  </r>
  <r>
    <n v="333"/>
    <x v="268"/>
    <x v="2"/>
    <x v="1"/>
    <x v="1"/>
    <x v="11"/>
    <n v="37"/>
    <n v="5700"/>
    <n v="5"/>
    <n v="210900"/>
    <x v="328"/>
    <x v="1"/>
    <x v="1"/>
    <x v="2"/>
    <x v="1"/>
    <s v="03/2023"/>
    <x v="2"/>
    <s v="Grande"/>
  </r>
  <r>
    <n v="334"/>
    <x v="112"/>
    <x v="9"/>
    <x v="1"/>
    <x v="2"/>
    <x v="3"/>
    <n v="27"/>
    <n v="1700"/>
    <n v="15"/>
    <n v="45900"/>
    <x v="329"/>
    <x v="0"/>
    <x v="3"/>
    <x v="9"/>
    <x v="0"/>
    <s v="01/2024"/>
    <x v="2"/>
    <s v="Petite"/>
  </r>
  <r>
    <n v="335"/>
    <x v="269"/>
    <x v="1"/>
    <x v="2"/>
    <x v="1"/>
    <x v="9"/>
    <n v="47"/>
    <n v="10000"/>
    <n v="10"/>
    <n v="470000"/>
    <x v="330"/>
    <x v="0"/>
    <x v="1"/>
    <x v="4"/>
    <x v="0"/>
    <s v="11/2024"/>
    <x v="0"/>
    <s v="Grande"/>
  </r>
  <r>
    <n v="336"/>
    <x v="19"/>
    <x v="7"/>
    <x v="1"/>
    <x v="1"/>
    <x v="12"/>
    <n v="6"/>
    <n v="19400"/>
    <n v="20"/>
    <n v="116400"/>
    <x v="331"/>
    <x v="0"/>
    <x v="1"/>
    <x v="9"/>
    <x v="1"/>
    <s v="01/2023"/>
    <x v="2"/>
    <s v="Moyenne"/>
  </r>
  <r>
    <n v="337"/>
    <x v="270"/>
    <x v="7"/>
    <x v="2"/>
    <x v="4"/>
    <x v="8"/>
    <n v="33"/>
    <n v="67900"/>
    <n v="0"/>
    <n v="2240700"/>
    <x v="332"/>
    <x v="0"/>
    <x v="2"/>
    <x v="8"/>
    <x v="0"/>
    <s v="06/2024"/>
    <x v="3"/>
    <s v="Grande"/>
  </r>
  <r>
    <n v="338"/>
    <x v="69"/>
    <x v="9"/>
    <x v="0"/>
    <x v="4"/>
    <x v="30"/>
    <n v="17"/>
    <n v="26900"/>
    <n v="15"/>
    <n v="457300"/>
    <x v="333"/>
    <x v="2"/>
    <x v="4"/>
    <x v="1"/>
    <x v="0"/>
    <s v="08/2024"/>
    <x v="1"/>
    <s v="Grande"/>
  </r>
  <r>
    <n v="339"/>
    <x v="271"/>
    <x v="3"/>
    <x v="1"/>
    <x v="0"/>
    <x v="0"/>
    <n v="13"/>
    <n v="20200"/>
    <n v="0"/>
    <n v="262600"/>
    <x v="334"/>
    <x v="0"/>
    <x v="0"/>
    <x v="9"/>
    <x v="1"/>
    <s v="01/2023"/>
    <x v="2"/>
    <s v="Grande"/>
  </r>
  <r>
    <n v="340"/>
    <x v="272"/>
    <x v="6"/>
    <x v="1"/>
    <x v="4"/>
    <x v="15"/>
    <n v="35"/>
    <n v="7500"/>
    <n v="5"/>
    <n v="262500"/>
    <x v="335"/>
    <x v="0"/>
    <x v="1"/>
    <x v="6"/>
    <x v="1"/>
    <s v="04/2023"/>
    <x v="3"/>
    <s v="Grande"/>
  </r>
  <r>
    <n v="341"/>
    <x v="273"/>
    <x v="8"/>
    <x v="2"/>
    <x v="1"/>
    <x v="14"/>
    <n v="44"/>
    <n v="112700"/>
    <n v="0"/>
    <n v="4958800"/>
    <x v="336"/>
    <x v="0"/>
    <x v="0"/>
    <x v="10"/>
    <x v="1"/>
    <s v="12/2023"/>
    <x v="0"/>
    <s v="Grande"/>
  </r>
  <r>
    <n v="342"/>
    <x v="177"/>
    <x v="6"/>
    <x v="0"/>
    <x v="2"/>
    <x v="37"/>
    <n v="4"/>
    <n v="3200"/>
    <n v="20"/>
    <n v="12800"/>
    <x v="337"/>
    <x v="1"/>
    <x v="3"/>
    <x v="7"/>
    <x v="1"/>
    <s v="02/2023"/>
    <x v="2"/>
    <s v="Petite"/>
  </r>
  <r>
    <n v="343"/>
    <x v="45"/>
    <x v="1"/>
    <x v="1"/>
    <x v="4"/>
    <x v="26"/>
    <n v="7"/>
    <n v="38800"/>
    <n v="0"/>
    <n v="271600"/>
    <x v="338"/>
    <x v="1"/>
    <x v="1"/>
    <x v="8"/>
    <x v="1"/>
    <s v="06/2023"/>
    <x v="3"/>
    <s v="Grande"/>
  </r>
  <r>
    <n v="344"/>
    <x v="261"/>
    <x v="1"/>
    <x v="4"/>
    <x v="2"/>
    <x v="3"/>
    <n v="24"/>
    <n v="2000"/>
    <n v="10"/>
    <n v="48000"/>
    <x v="339"/>
    <x v="1"/>
    <x v="4"/>
    <x v="9"/>
    <x v="1"/>
    <s v="01/2023"/>
    <x v="2"/>
    <s v="Petite"/>
  </r>
  <r>
    <n v="345"/>
    <x v="274"/>
    <x v="4"/>
    <x v="0"/>
    <x v="1"/>
    <x v="14"/>
    <n v="42"/>
    <n v="113900"/>
    <n v="0"/>
    <n v="4783800"/>
    <x v="340"/>
    <x v="0"/>
    <x v="1"/>
    <x v="1"/>
    <x v="0"/>
    <s v="08/2024"/>
    <x v="1"/>
    <s v="Grande"/>
  </r>
  <r>
    <n v="346"/>
    <x v="275"/>
    <x v="0"/>
    <x v="0"/>
    <x v="4"/>
    <x v="35"/>
    <n v="37"/>
    <n v="89500"/>
    <n v="5"/>
    <n v="3311500"/>
    <x v="341"/>
    <x v="0"/>
    <x v="2"/>
    <x v="8"/>
    <x v="1"/>
    <s v="06/2023"/>
    <x v="3"/>
    <s v="Grande"/>
  </r>
  <r>
    <n v="347"/>
    <x v="276"/>
    <x v="7"/>
    <x v="1"/>
    <x v="2"/>
    <x v="37"/>
    <n v="12"/>
    <n v="3100"/>
    <n v="0"/>
    <n v="37200"/>
    <x v="342"/>
    <x v="0"/>
    <x v="2"/>
    <x v="9"/>
    <x v="1"/>
    <s v="01/2023"/>
    <x v="2"/>
    <s v="Petite"/>
  </r>
  <r>
    <n v="348"/>
    <x v="78"/>
    <x v="9"/>
    <x v="3"/>
    <x v="3"/>
    <x v="33"/>
    <n v="32"/>
    <n v="4800"/>
    <n v="0"/>
    <n v="153600"/>
    <x v="343"/>
    <x v="0"/>
    <x v="2"/>
    <x v="7"/>
    <x v="1"/>
    <s v="02/2023"/>
    <x v="2"/>
    <s v="Moyenne"/>
  </r>
  <r>
    <n v="349"/>
    <x v="277"/>
    <x v="4"/>
    <x v="1"/>
    <x v="2"/>
    <x v="23"/>
    <n v="34"/>
    <n v="4600"/>
    <n v="5"/>
    <n v="156400"/>
    <x v="344"/>
    <x v="0"/>
    <x v="0"/>
    <x v="2"/>
    <x v="1"/>
    <s v="03/2023"/>
    <x v="2"/>
    <s v="Moyenne"/>
  </r>
  <r>
    <n v="350"/>
    <x v="278"/>
    <x v="3"/>
    <x v="1"/>
    <x v="3"/>
    <x v="36"/>
    <n v="37"/>
    <n v="3700"/>
    <n v="0"/>
    <n v="136900"/>
    <x v="345"/>
    <x v="0"/>
    <x v="2"/>
    <x v="10"/>
    <x v="0"/>
    <s v="12/2024"/>
    <x v="0"/>
    <s v="Moyenne"/>
  </r>
  <r>
    <n v="351"/>
    <x v="128"/>
    <x v="1"/>
    <x v="2"/>
    <x v="3"/>
    <x v="33"/>
    <n v="50"/>
    <n v="4100"/>
    <n v="10"/>
    <n v="205000"/>
    <x v="346"/>
    <x v="0"/>
    <x v="2"/>
    <x v="6"/>
    <x v="1"/>
    <s v="04/2023"/>
    <x v="3"/>
    <s v="Moyenne"/>
  </r>
  <r>
    <n v="352"/>
    <x v="279"/>
    <x v="9"/>
    <x v="4"/>
    <x v="2"/>
    <x v="24"/>
    <n v="16"/>
    <n v="5300"/>
    <n v="20"/>
    <n v="84800"/>
    <x v="347"/>
    <x v="0"/>
    <x v="0"/>
    <x v="7"/>
    <x v="0"/>
    <s v="02/2024"/>
    <x v="2"/>
    <s v="Moyenne"/>
  </r>
  <r>
    <n v="353"/>
    <x v="10"/>
    <x v="9"/>
    <x v="1"/>
    <x v="0"/>
    <x v="22"/>
    <n v="38"/>
    <n v="11300"/>
    <n v="10"/>
    <n v="429400"/>
    <x v="348"/>
    <x v="0"/>
    <x v="3"/>
    <x v="1"/>
    <x v="1"/>
    <s v="08/2023"/>
    <x v="1"/>
    <s v="Grande"/>
  </r>
  <r>
    <n v="354"/>
    <x v="280"/>
    <x v="3"/>
    <x v="3"/>
    <x v="3"/>
    <x v="6"/>
    <n v="13"/>
    <n v="10200"/>
    <n v="10"/>
    <n v="132600"/>
    <x v="349"/>
    <x v="1"/>
    <x v="2"/>
    <x v="9"/>
    <x v="1"/>
    <s v="01/2023"/>
    <x v="2"/>
    <s v="Moyenne"/>
  </r>
  <r>
    <n v="355"/>
    <x v="44"/>
    <x v="6"/>
    <x v="5"/>
    <x v="1"/>
    <x v="14"/>
    <n v="39"/>
    <n v="109700"/>
    <n v="0"/>
    <n v="4278300"/>
    <x v="350"/>
    <x v="0"/>
    <x v="2"/>
    <x v="4"/>
    <x v="1"/>
    <s v="11/2023"/>
    <x v="0"/>
    <s v="Grande"/>
  </r>
  <r>
    <n v="356"/>
    <x v="275"/>
    <x v="9"/>
    <x v="4"/>
    <x v="2"/>
    <x v="37"/>
    <n v="21"/>
    <n v="3500"/>
    <n v="10"/>
    <n v="73500"/>
    <x v="351"/>
    <x v="0"/>
    <x v="1"/>
    <x v="8"/>
    <x v="1"/>
    <s v="06/2023"/>
    <x v="3"/>
    <s v="Moyenne"/>
  </r>
  <r>
    <n v="357"/>
    <x v="188"/>
    <x v="6"/>
    <x v="0"/>
    <x v="3"/>
    <x v="27"/>
    <n v="24"/>
    <n v="13700"/>
    <n v="10"/>
    <n v="328800"/>
    <x v="352"/>
    <x v="1"/>
    <x v="2"/>
    <x v="10"/>
    <x v="0"/>
    <s v="12/2024"/>
    <x v="0"/>
    <s v="Grande"/>
  </r>
  <r>
    <n v="358"/>
    <x v="281"/>
    <x v="3"/>
    <x v="2"/>
    <x v="0"/>
    <x v="22"/>
    <n v="47"/>
    <n v="13700"/>
    <n v="15"/>
    <n v="643900"/>
    <x v="353"/>
    <x v="3"/>
    <x v="2"/>
    <x v="6"/>
    <x v="1"/>
    <s v="04/2023"/>
    <x v="3"/>
    <s v="Grande"/>
  </r>
  <r>
    <n v="359"/>
    <x v="282"/>
    <x v="6"/>
    <x v="3"/>
    <x v="3"/>
    <x v="27"/>
    <n v="38"/>
    <n v="11500"/>
    <n v="0"/>
    <n v="437000"/>
    <x v="354"/>
    <x v="1"/>
    <x v="2"/>
    <x v="4"/>
    <x v="1"/>
    <s v="11/2023"/>
    <x v="0"/>
    <s v="Grande"/>
  </r>
  <r>
    <n v="360"/>
    <x v="80"/>
    <x v="4"/>
    <x v="4"/>
    <x v="2"/>
    <x v="38"/>
    <n v="37"/>
    <n v="15900"/>
    <n v="0"/>
    <n v="588300"/>
    <x v="355"/>
    <x v="0"/>
    <x v="0"/>
    <x v="8"/>
    <x v="0"/>
    <s v="06/2024"/>
    <x v="3"/>
    <s v="Grande"/>
  </r>
  <r>
    <n v="361"/>
    <x v="283"/>
    <x v="3"/>
    <x v="3"/>
    <x v="2"/>
    <x v="24"/>
    <n v="10"/>
    <n v="6200"/>
    <n v="0"/>
    <n v="62000"/>
    <x v="356"/>
    <x v="0"/>
    <x v="0"/>
    <x v="1"/>
    <x v="0"/>
    <s v="08/2024"/>
    <x v="1"/>
    <s v="Moyenne"/>
  </r>
  <r>
    <n v="362"/>
    <x v="284"/>
    <x v="3"/>
    <x v="4"/>
    <x v="1"/>
    <x v="11"/>
    <n v="17"/>
    <n v="6100"/>
    <n v="0"/>
    <n v="103700"/>
    <x v="357"/>
    <x v="0"/>
    <x v="0"/>
    <x v="10"/>
    <x v="1"/>
    <s v="12/2023"/>
    <x v="0"/>
    <s v="Moyenne"/>
  </r>
  <r>
    <n v="363"/>
    <x v="285"/>
    <x v="0"/>
    <x v="0"/>
    <x v="1"/>
    <x v="9"/>
    <n v="27"/>
    <n v="9100"/>
    <n v="5"/>
    <n v="245700"/>
    <x v="358"/>
    <x v="3"/>
    <x v="2"/>
    <x v="5"/>
    <x v="1"/>
    <s v="09/2023"/>
    <x v="1"/>
    <s v="Grande"/>
  </r>
  <r>
    <n v="364"/>
    <x v="286"/>
    <x v="3"/>
    <x v="3"/>
    <x v="4"/>
    <x v="8"/>
    <n v="37"/>
    <n v="72000"/>
    <n v="0"/>
    <n v="2664000"/>
    <x v="359"/>
    <x v="1"/>
    <x v="1"/>
    <x v="9"/>
    <x v="0"/>
    <s v="01/2024"/>
    <x v="2"/>
    <s v="Grande"/>
  </r>
  <r>
    <n v="365"/>
    <x v="123"/>
    <x v="0"/>
    <x v="0"/>
    <x v="0"/>
    <x v="4"/>
    <n v="7"/>
    <n v="34300"/>
    <n v="5"/>
    <n v="240100"/>
    <x v="360"/>
    <x v="0"/>
    <x v="1"/>
    <x v="3"/>
    <x v="0"/>
    <s v="07/2024"/>
    <x v="1"/>
    <s v="Grande"/>
  </r>
  <r>
    <n v="366"/>
    <x v="87"/>
    <x v="0"/>
    <x v="3"/>
    <x v="1"/>
    <x v="11"/>
    <n v="40"/>
    <n v="6300"/>
    <n v="5"/>
    <n v="252000"/>
    <x v="361"/>
    <x v="2"/>
    <x v="0"/>
    <x v="8"/>
    <x v="1"/>
    <s v="06/2023"/>
    <x v="3"/>
    <s v="Grande"/>
  </r>
  <r>
    <n v="368"/>
    <x v="66"/>
    <x v="2"/>
    <x v="3"/>
    <x v="0"/>
    <x v="34"/>
    <n v="7"/>
    <n v="31200"/>
    <n v="0"/>
    <n v="218400"/>
    <x v="362"/>
    <x v="0"/>
    <x v="4"/>
    <x v="10"/>
    <x v="0"/>
    <s v="12/2024"/>
    <x v="0"/>
    <s v="Grande"/>
  </r>
  <r>
    <n v="369"/>
    <x v="21"/>
    <x v="3"/>
    <x v="0"/>
    <x v="4"/>
    <x v="8"/>
    <n v="43"/>
    <n v="63300"/>
    <n v="0"/>
    <n v="2721900"/>
    <x v="363"/>
    <x v="0"/>
    <x v="2"/>
    <x v="7"/>
    <x v="1"/>
    <s v="02/2023"/>
    <x v="2"/>
    <s v="Grande"/>
  </r>
  <r>
    <n v="370"/>
    <x v="108"/>
    <x v="1"/>
    <x v="4"/>
    <x v="2"/>
    <x v="16"/>
    <n v="31"/>
    <n v="11000"/>
    <n v="20"/>
    <n v="341000"/>
    <x v="364"/>
    <x v="1"/>
    <x v="3"/>
    <x v="0"/>
    <x v="1"/>
    <s v="10/2023"/>
    <x v="0"/>
    <s v="Grande"/>
  </r>
  <r>
    <n v="371"/>
    <x v="117"/>
    <x v="8"/>
    <x v="1"/>
    <x v="0"/>
    <x v="10"/>
    <n v="25"/>
    <n v="29700"/>
    <n v="0"/>
    <n v="742500"/>
    <x v="365"/>
    <x v="0"/>
    <x v="2"/>
    <x v="10"/>
    <x v="0"/>
    <s v="12/2024"/>
    <x v="0"/>
    <s v="Grande"/>
  </r>
  <r>
    <n v="372"/>
    <x v="161"/>
    <x v="8"/>
    <x v="0"/>
    <x v="0"/>
    <x v="5"/>
    <n v="15"/>
    <n v="3600"/>
    <n v="0"/>
    <n v="54000"/>
    <x v="366"/>
    <x v="1"/>
    <x v="0"/>
    <x v="4"/>
    <x v="1"/>
    <s v="11/2023"/>
    <x v="0"/>
    <s v="Moyenne"/>
  </r>
  <r>
    <n v="373"/>
    <x v="66"/>
    <x v="0"/>
    <x v="0"/>
    <x v="0"/>
    <x v="21"/>
    <n v="38"/>
    <n v="5100"/>
    <n v="20"/>
    <n v="193800"/>
    <x v="367"/>
    <x v="0"/>
    <x v="0"/>
    <x v="10"/>
    <x v="0"/>
    <s v="12/2024"/>
    <x v="0"/>
    <s v="Moyenne"/>
  </r>
  <r>
    <n v="374"/>
    <x v="166"/>
    <x v="2"/>
    <x v="1"/>
    <x v="3"/>
    <x v="36"/>
    <n v="16"/>
    <n v="4000"/>
    <n v="5"/>
    <n v="64000"/>
    <x v="54"/>
    <x v="0"/>
    <x v="0"/>
    <x v="9"/>
    <x v="0"/>
    <s v="01/2024"/>
    <x v="2"/>
    <s v="Moyenne"/>
  </r>
  <r>
    <n v="375"/>
    <x v="287"/>
    <x v="2"/>
    <x v="3"/>
    <x v="3"/>
    <x v="6"/>
    <n v="49"/>
    <n v="9100"/>
    <n v="0"/>
    <n v="445900"/>
    <x v="368"/>
    <x v="0"/>
    <x v="1"/>
    <x v="11"/>
    <x v="1"/>
    <s v="05/2023"/>
    <x v="3"/>
    <s v="Grande"/>
  </r>
  <r>
    <n v="376"/>
    <x v="288"/>
    <x v="6"/>
    <x v="0"/>
    <x v="4"/>
    <x v="8"/>
    <n v="28"/>
    <n v="74600"/>
    <n v="20"/>
    <n v="2088800"/>
    <x v="369"/>
    <x v="0"/>
    <x v="1"/>
    <x v="3"/>
    <x v="1"/>
    <s v="07/2023"/>
    <x v="1"/>
    <s v="Grande"/>
  </r>
  <r>
    <n v="377"/>
    <x v="289"/>
    <x v="4"/>
    <x v="2"/>
    <x v="1"/>
    <x v="14"/>
    <n v="26"/>
    <n v="119600"/>
    <n v="10"/>
    <n v="3109600"/>
    <x v="370"/>
    <x v="0"/>
    <x v="3"/>
    <x v="9"/>
    <x v="0"/>
    <s v="01/2024"/>
    <x v="2"/>
    <s v="Grande"/>
  </r>
  <r>
    <n v="378"/>
    <x v="290"/>
    <x v="1"/>
    <x v="3"/>
    <x v="3"/>
    <x v="25"/>
    <n v="10"/>
    <n v="7000"/>
    <n v="0"/>
    <n v="70000"/>
    <x v="371"/>
    <x v="0"/>
    <x v="0"/>
    <x v="6"/>
    <x v="0"/>
    <s v="04/2024"/>
    <x v="3"/>
    <s v="Moyenne"/>
  </r>
  <r>
    <n v="379"/>
    <x v="183"/>
    <x v="0"/>
    <x v="2"/>
    <x v="3"/>
    <x v="27"/>
    <n v="17"/>
    <n v="13400"/>
    <n v="10"/>
    <n v="227800"/>
    <x v="372"/>
    <x v="0"/>
    <x v="2"/>
    <x v="3"/>
    <x v="0"/>
    <s v="07/2024"/>
    <x v="1"/>
    <s v="Grande"/>
  </r>
  <r>
    <n v="380"/>
    <x v="153"/>
    <x v="8"/>
    <x v="0"/>
    <x v="2"/>
    <x v="16"/>
    <n v="40"/>
    <n v="9600"/>
    <n v="0"/>
    <n v="384000"/>
    <x v="373"/>
    <x v="0"/>
    <x v="2"/>
    <x v="5"/>
    <x v="0"/>
    <s v="09/2024"/>
    <x v="1"/>
    <s v="Grande"/>
  </r>
  <r>
    <n v="381"/>
    <x v="291"/>
    <x v="3"/>
    <x v="4"/>
    <x v="1"/>
    <x v="31"/>
    <n v="24"/>
    <n v="28300"/>
    <n v="0"/>
    <n v="679200"/>
    <x v="374"/>
    <x v="0"/>
    <x v="3"/>
    <x v="0"/>
    <x v="0"/>
    <s v="10/2024"/>
    <x v="0"/>
    <s v="Grande"/>
  </r>
  <r>
    <n v="382"/>
    <x v="292"/>
    <x v="8"/>
    <x v="0"/>
    <x v="2"/>
    <x v="13"/>
    <n v="48"/>
    <n v="4100"/>
    <n v="0"/>
    <n v="196800"/>
    <x v="375"/>
    <x v="0"/>
    <x v="3"/>
    <x v="0"/>
    <x v="1"/>
    <s v="10/2023"/>
    <x v="0"/>
    <s v="Moyenne"/>
  </r>
  <r>
    <n v="383"/>
    <x v="206"/>
    <x v="9"/>
    <x v="0"/>
    <x v="2"/>
    <x v="2"/>
    <n v="27"/>
    <n v="5100"/>
    <n v="20"/>
    <n v="137700"/>
    <x v="376"/>
    <x v="1"/>
    <x v="3"/>
    <x v="7"/>
    <x v="0"/>
    <s v="02/2024"/>
    <x v="2"/>
    <s v="Moyenne"/>
  </r>
  <r>
    <n v="384"/>
    <x v="100"/>
    <x v="2"/>
    <x v="4"/>
    <x v="1"/>
    <x v="32"/>
    <n v="26"/>
    <n v="2700"/>
    <n v="0"/>
    <n v="70200"/>
    <x v="143"/>
    <x v="0"/>
    <x v="0"/>
    <x v="7"/>
    <x v="1"/>
    <s v="02/2023"/>
    <x v="2"/>
    <s v="Moyenne"/>
  </r>
  <r>
    <n v="385"/>
    <x v="288"/>
    <x v="5"/>
    <x v="0"/>
    <x v="2"/>
    <x v="38"/>
    <n v="24"/>
    <n v="14200"/>
    <n v="0"/>
    <n v="340800"/>
    <x v="377"/>
    <x v="1"/>
    <x v="3"/>
    <x v="3"/>
    <x v="1"/>
    <s v="07/2023"/>
    <x v="1"/>
    <s v="Grande"/>
  </r>
  <r>
    <n v="386"/>
    <x v="293"/>
    <x v="2"/>
    <x v="1"/>
    <x v="1"/>
    <x v="18"/>
    <n v="32"/>
    <n v="81600"/>
    <n v="20"/>
    <n v="2611200"/>
    <x v="378"/>
    <x v="0"/>
    <x v="1"/>
    <x v="6"/>
    <x v="0"/>
    <s v="04/2024"/>
    <x v="3"/>
    <s v="Grande"/>
  </r>
  <r>
    <n v="387"/>
    <x v="294"/>
    <x v="9"/>
    <x v="3"/>
    <x v="0"/>
    <x v="39"/>
    <n v="17"/>
    <n v="7500"/>
    <n v="0"/>
    <n v="127500"/>
    <x v="379"/>
    <x v="1"/>
    <x v="0"/>
    <x v="6"/>
    <x v="0"/>
    <s v="04/2024"/>
    <x v="3"/>
    <s v="Moyenne"/>
  </r>
  <r>
    <n v="388"/>
    <x v="280"/>
    <x v="7"/>
    <x v="0"/>
    <x v="2"/>
    <x v="3"/>
    <n v="42"/>
    <n v="2000"/>
    <n v="0"/>
    <n v="84000"/>
    <x v="380"/>
    <x v="0"/>
    <x v="1"/>
    <x v="9"/>
    <x v="1"/>
    <s v="01/2023"/>
    <x v="2"/>
    <s v="Moyenne"/>
  </r>
  <r>
    <n v="389"/>
    <x v="23"/>
    <x v="7"/>
    <x v="3"/>
    <x v="1"/>
    <x v="18"/>
    <n v="9"/>
    <n v="86600"/>
    <n v="0"/>
    <n v="779400"/>
    <x v="381"/>
    <x v="0"/>
    <x v="0"/>
    <x v="0"/>
    <x v="0"/>
    <s v="10/2024"/>
    <x v="0"/>
    <s v="Grande"/>
  </r>
  <r>
    <n v="390"/>
    <x v="295"/>
    <x v="9"/>
    <x v="2"/>
    <x v="0"/>
    <x v="21"/>
    <n v="23"/>
    <n v="5100"/>
    <n v="5"/>
    <n v="117300"/>
    <x v="382"/>
    <x v="0"/>
    <x v="1"/>
    <x v="5"/>
    <x v="1"/>
    <s v="09/2023"/>
    <x v="1"/>
    <s v="Moyenne"/>
  </r>
  <r>
    <n v="392"/>
    <x v="233"/>
    <x v="9"/>
    <x v="3"/>
    <x v="0"/>
    <x v="34"/>
    <n v="31"/>
    <n v="34300"/>
    <n v="15"/>
    <n v="1063300"/>
    <x v="383"/>
    <x v="0"/>
    <x v="3"/>
    <x v="0"/>
    <x v="0"/>
    <s v="10/2024"/>
    <x v="0"/>
    <s v="Grande"/>
  </r>
  <r>
    <n v="393"/>
    <x v="129"/>
    <x v="4"/>
    <x v="2"/>
    <x v="0"/>
    <x v="0"/>
    <n v="49"/>
    <n v="20600"/>
    <n v="20"/>
    <n v="1009400"/>
    <x v="384"/>
    <x v="0"/>
    <x v="0"/>
    <x v="4"/>
    <x v="1"/>
    <s v="11/2023"/>
    <x v="0"/>
    <s v="Grande"/>
  </r>
  <r>
    <n v="394"/>
    <x v="296"/>
    <x v="7"/>
    <x v="2"/>
    <x v="2"/>
    <x v="38"/>
    <n v="19"/>
    <n v="14900"/>
    <n v="5"/>
    <n v="283100"/>
    <x v="385"/>
    <x v="0"/>
    <x v="2"/>
    <x v="8"/>
    <x v="0"/>
    <s v="06/2024"/>
    <x v="3"/>
    <s v="Grande"/>
  </r>
  <r>
    <n v="395"/>
    <x v="297"/>
    <x v="1"/>
    <x v="3"/>
    <x v="3"/>
    <x v="33"/>
    <n v="46"/>
    <n v="4400"/>
    <n v="15"/>
    <n v="202400"/>
    <x v="386"/>
    <x v="0"/>
    <x v="2"/>
    <x v="7"/>
    <x v="0"/>
    <s v="02/2024"/>
    <x v="2"/>
    <s v="Moyenne"/>
  </r>
  <r>
    <n v="396"/>
    <x v="3"/>
    <x v="2"/>
    <x v="2"/>
    <x v="2"/>
    <x v="13"/>
    <n v="31"/>
    <n v="4100"/>
    <n v="15"/>
    <n v="127100"/>
    <x v="387"/>
    <x v="0"/>
    <x v="3"/>
    <x v="2"/>
    <x v="0"/>
    <s v="03/2024"/>
    <x v="2"/>
    <s v="Moyenne"/>
  </r>
  <r>
    <n v="397"/>
    <x v="298"/>
    <x v="6"/>
    <x v="2"/>
    <x v="1"/>
    <x v="1"/>
    <n v="48"/>
    <n v="8400"/>
    <n v="20"/>
    <n v="403200"/>
    <x v="388"/>
    <x v="2"/>
    <x v="2"/>
    <x v="3"/>
    <x v="0"/>
    <s v="07/2024"/>
    <x v="1"/>
    <s v="Grande"/>
  </r>
  <r>
    <n v="398"/>
    <x v="275"/>
    <x v="3"/>
    <x v="2"/>
    <x v="3"/>
    <x v="7"/>
    <n v="8"/>
    <n v="22400"/>
    <n v="5"/>
    <n v="179200"/>
    <x v="389"/>
    <x v="0"/>
    <x v="0"/>
    <x v="8"/>
    <x v="1"/>
    <s v="06/2023"/>
    <x v="3"/>
    <s v="Moyenne"/>
  </r>
  <r>
    <n v="399"/>
    <x v="299"/>
    <x v="2"/>
    <x v="0"/>
    <x v="4"/>
    <x v="17"/>
    <n v="10"/>
    <n v="115400"/>
    <n v="0"/>
    <n v="1154000"/>
    <x v="390"/>
    <x v="0"/>
    <x v="1"/>
    <x v="3"/>
    <x v="1"/>
    <s v="07/2023"/>
    <x v="1"/>
    <s v="Grande"/>
  </r>
  <r>
    <n v="400"/>
    <x v="300"/>
    <x v="9"/>
    <x v="1"/>
    <x v="2"/>
    <x v="37"/>
    <n v="12"/>
    <n v="3600"/>
    <n v="0"/>
    <n v="43200"/>
    <x v="339"/>
    <x v="1"/>
    <x v="2"/>
    <x v="7"/>
    <x v="0"/>
    <s v="02/2024"/>
    <x v="2"/>
    <s v="Petite"/>
  </r>
  <r>
    <n v="401"/>
    <x v="301"/>
    <x v="6"/>
    <x v="2"/>
    <x v="1"/>
    <x v="18"/>
    <n v="14"/>
    <n v="86100"/>
    <n v="10"/>
    <n v="1205400"/>
    <x v="391"/>
    <x v="1"/>
    <x v="1"/>
    <x v="1"/>
    <x v="0"/>
    <s v="08/2024"/>
    <x v="1"/>
    <s v="Grande"/>
  </r>
  <r>
    <n v="402"/>
    <x v="302"/>
    <x v="8"/>
    <x v="0"/>
    <x v="2"/>
    <x v="23"/>
    <n v="26"/>
    <n v="5100"/>
    <n v="5"/>
    <n v="132600"/>
    <x v="392"/>
    <x v="0"/>
    <x v="2"/>
    <x v="10"/>
    <x v="1"/>
    <s v="12/2023"/>
    <x v="0"/>
    <s v="Moyenne"/>
  </r>
  <r>
    <n v="403"/>
    <x v="303"/>
    <x v="1"/>
    <x v="3"/>
    <x v="2"/>
    <x v="37"/>
    <n v="21"/>
    <n v="3600"/>
    <n v="0"/>
    <n v="75600"/>
    <x v="393"/>
    <x v="1"/>
    <x v="1"/>
    <x v="11"/>
    <x v="1"/>
    <s v="05/2023"/>
    <x v="3"/>
    <s v="Moyenne"/>
  </r>
  <r>
    <n v="404"/>
    <x v="111"/>
    <x v="1"/>
    <x v="4"/>
    <x v="2"/>
    <x v="37"/>
    <n v="7"/>
    <n v="3100"/>
    <n v="0"/>
    <n v="21700"/>
    <x v="394"/>
    <x v="0"/>
    <x v="3"/>
    <x v="4"/>
    <x v="0"/>
    <s v="11/2024"/>
    <x v="0"/>
    <s v="Petite"/>
  </r>
  <r>
    <n v="405"/>
    <x v="304"/>
    <x v="1"/>
    <x v="2"/>
    <x v="0"/>
    <x v="5"/>
    <n v="39"/>
    <n v="3800"/>
    <n v="15"/>
    <n v="148200"/>
    <x v="392"/>
    <x v="0"/>
    <x v="2"/>
    <x v="1"/>
    <x v="1"/>
    <s v="08/2023"/>
    <x v="1"/>
    <s v="Moyenne"/>
  </r>
  <r>
    <n v="406"/>
    <x v="305"/>
    <x v="3"/>
    <x v="1"/>
    <x v="0"/>
    <x v="0"/>
    <n v="26"/>
    <n v="20700"/>
    <n v="15"/>
    <n v="538200"/>
    <x v="395"/>
    <x v="0"/>
    <x v="1"/>
    <x v="11"/>
    <x v="1"/>
    <s v="05/2023"/>
    <x v="3"/>
    <s v="Grande"/>
  </r>
  <r>
    <n v="407"/>
    <x v="306"/>
    <x v="5"/>
    <x v="0"/>
    <x v="3"/>
    <x v="6"/>
    <n v="46"/>
    <n v="9100"/>
    <n v="5"/>
    <n v="418600"/>
    <x v="396"/>
    <x v="1"/>
    <x v="0"/>
    <x v="11"/>
    <x v="1"/>
    <s v="05/2023"/>
    <x v="3"/>
    <s v="Grande"/>
  </r>
  <r>
    <n v="408"/>
    <x v="7"/>
    <x v="4"/>
    <x v="3"/>
    <x v="3"/>
    <x v="20"/>
    <n v="4"/>
    <n v="6800"/>
    <n v="0"/>
    <n v="27200"/>
    <x v="397"/>
    <x v="1"/>
    <x v="0"/>
    <x v="0"/>
    <x v="0"/>
    <s v="10/2024"/>
    <x v="0"/>
    <s v="Petite"/>
  </r>
  <r>
    <n v="409"/>
    <x v="135"/>
    <x v="0"/>
    <x v="1"/>
    <x v="4"/>
    <x v="29"/>
    <n v="17"/>
    <n v="16800"/>
    <n v="0"/>
    <n v="285600"/>
    <x v="398"/>
    <x v="0"/>
    <x v="4"/>
    <x v="3"/>
    <x v="0"/>
    <s v="07/2024"/>
    <x v="1"/>
    <s v="Grande"/>
  </r>
  <r>
    <n v="410"/>
    <x v="229"/>
    <x v="1"/>
    <x v="2"/>
    <x v="4"/>
    <x v="8"/>
    <n v="18"/>
    <n v="69300"/>
    <n v="5"/>
    <n v="1247400"/>
    <x v="399"/>
    <x v="0"/>
    <x v="1"/>
    <x v="10"/>
    <x v="0"/>
    <s v="12/2024"/>
    <x v="0"/>
    <s v="Grande"/>
  </r>
  <r>
    <n v="411"/>
    <x v="307"/>
    <x v="2"/>
    <x v="3"/>
    <x v="1"/>
    <x v="32"/>
    <n v="7"/>
    <n v="2300"/>
    <n v="20"/>
    <n v="16100"/>
    <x v="400"/>
    <x v="0"/>
    <x v="1"/>
    <x v="6"/>
    <x v="1"/>
    <s v="04/2023"/>
    <x v="3"/>
    <s v="Petite"/>
  </r>
  <r>
    <n v="412"/>
    <x v="308"/>
    <x v="2"/>
    <x v="4"/>
    <x v="0"/>
    <x v="21"/>
    <n v="3"/>
    <n v="4400"/>
    <n v="15"/>
    <n v="13200"/>
    <x v="401"/>
    <x v="0"/>
    <x v="1"/>
    <x v="5"/>
    <x v="1"/>
    <s v="09/2023"/>
    <x v="1"/>
    <s v="Petite"/>
  </r>
  <r>
    <n v="413"/>
    <x v="309"/>
    <x v="3"/>
    <x v="4"/>
    <x v="1"/>
    <x v="18"/>
    <n v="8"/>
    <n v="90800"/>
    <n v="0"/>
    <n v="726400"/>
    <x v="402"/>
    <x v="1"/>
    <x v="2"/>
    <x v="3"/>
    <x v="0"/>
    <s v="07/2024"/>
    <x v="1"/>
    <s v="Grande"/>
  </r>
  <r>
    <n v="414"/>
    <x v="99"/>
    <x v="2"/>
    <x v="0"/>
    <x v="1"/>
    <x v="32"/>
    <n v="30"/>
    <n v="2700"/>
    <n v="0"/>
    <n v="81000"/>
    <x v="291"/>
    <x v="3"/>
    <x v="3"/>
    <x v="2"/>
    <x v="1"/>
    <s v="03/2023"/>
    <x v="2"/>
    <s v="Moyenne"/>
  </r>
  <r>
    <n v="415"/>
    <x v="293"/>
    <x v="1"/>
    <x v="0"/>
    <x v="2"/>
    <x v="38"/>
    <n v="24"/>
    <n v="15600"/>
    <n v="5"/>
    <n v="374400"/>
    <x v="403"/>
    <x v="1"/>
    <x v="3"/>
    <x v="6"/>
    <x v="0"/>
    <s v="04/2024"/>
    <x v="3"/>
    <s v="Grande"/>
  </r>
  <r>
    <n v="416"/>
    <x v="114"/>
    <x v="0"/>
    <x v="0"/>
    <x v="1"/>
    <x v="12"/>
    <n v="11"/>
    <n v="19200"/>
    <n v="10"/>
    <n v="211200"/>
    <x v="404"/>
    <x v="0"/>
    <x v="2"/>
    <x v="6"/>
    <x v="1"/>
    <s v="04/2023"/>
    <x v="3"/>
    <s v="Moyenne"/>
  </r>
  <r>
    <n v="417"/>
    <x v="310"/>
    <x v="0"/>
    <x v="2"/>
    <x v="0"/>
    <x v="22"/>
    <n v="26"/>
    <n v="11100"/>
    <n v="20"/>
    <n v="288600"/>
    <x v="405"/>
    <x v="3"/>
    <x v="3"/>
    <x v="0"/>
    <x v="1"/>
    <s v="10/2023"/>
    <x v="0"/>
    <s v="Grande"/>
  </r>
  <r>
    <n v="418"/>
    <x v="311"/>
    <x v="8"/>
    <x v="1"/>
    <x v="2"/>
    <x v="24"/>
    <n v="47"/>
    <n v="5100"/>
    <n v="0"/>
    <n v="239700"/>
    <x v="406"/>
    <x v="0"/>
    <x v="1"/>
    <x v="9"/>
    <x v="0"/>
    <s v="01/2024"/>
    <x v="2"/>
    <s v="Grande"/>
  </r>
  <r>
    <n v="419"/>
    <x v="312"/>
    <x v="9"/>
    <x v="1"/>
    <x v="3"/>
    <x v="36"/>
    <n v="25"/>
    <n v="3600"/>
    <n v="20"/>
    <n v="90000"/>
    <x v="139"/>
    <x v="1"/>
    <x v="0"/>
    <x v="2"/>
    <x v="0"/>
    <s v="03/2024"/>
    <x v="2"/>
    <s v="Moyenne"/>
  </r>
  <r>
    <n v="420"/>
    <x v="313"/>
    <x v="6"/>
    <x v="1"/>
    <x v="4"/>
    <x v="8"/>
    <n v="29"/>
    <n v="72900"/>
    <n v="15"/>
    <n v="2114100"/>
    <x v="407"/>
    <x v="0"/>
    <x v="3"/>
    <x v="9"/>
    <x v="0"/>
    <s v="01/2024"/>
    <x v="2"/>
    <s v="Grande"/>
  </r>
  <r>
    <n v="421"/>
    <x v="314"/>
    <x v="1"/>
    <x v="3"/>
    <x v="3"/>
    <x v="33"/>
    <n v="43"/>
    <n v="5200"/>
    <n v="5"/>
    <n v="223600"/>
    <x v="408"/>
    <x v="2"/>
    <x v="0"/>
    <x v="4"/>
    <x v="1"/>
    <s v="11/2023"/>
    <x v="0"/>
    <s v="Grande"/>
  </r>
  <r>
    <n v="422"/>
    <x v="315"/>
    <x v="5"/>
    <x v="1"/>
    <x v="0"/>
    <x v="21"/>
    <n v="36"/>
    <n v="4200"/>
    <n v="0"/>
    <n v="151200"/>
    <x v="409"/>
    <x v="2"/>
    <x v="0"/>
    <x v="1"/>
    <x v="0"/>
    <s v="08/2024"/>
    <x v="1"/>
    <s v="Moyenne"/>
  </r>
  <r>
    <n v="423"/>
    <x v="120"/>
    <x v="6"/>
    <x v="3"/>
    <x v="4"/>
    <x v="28"/>
    <n v="5"/>
    <n v="13400"/>
    <n v="0"/>
    <n v="67000"/>
    <x v="410"/>
    <x v="1"/>
    <x v="3"/>
    <x v="0"/>
    <x v="0"/>
    <s v="10/2024"/>
    <x v="0"/>
    <s v="Moyenne"/>
  </r>
  <r>
    <n v="424"/>
    <x v="316"/>
    <x v="4"/>
    <x v="0"/>
    <x v="3"/>
    <x v="33"/>
    <n v="25"/>
    <n v="4700"/>
    <n v="0"/>
    <n v="117500"/>
    <x v="411"/>
    <x v="0"/>
    <x v="1"/>
    <x v="11"/>
    <x v="1"/>
    <s v="05/2023"/>
    <x v="3"/>
    <s v="Moyenne"/>
  </r>
  <r>
    <n v="425"/>
    <x v="186"/>
    <x v="8"/>
    <x v="5"/>
    <x v="4"/>
    <x v="8"/>
    <n v="29"/>
    <n v="72400"/>
    <n v="15"/>
    <n v="2099600"/>
    <x v="412"/>
    <x v="0"/>
    <x v="2"/>
    <x v="6"/>
    <x v="0"/>
    <s v="04/2024"/>
    <x v="3"/>
    <s v="Grande"/>
  </r>
  <r>
    <n v="426"/>
    <x v="65"/>
    <x v="1"/>
    <x v="0"/>
    <x v="4"/>
    <x v="29"/>
    <n v="36"/>
    <n v="16400"/>
    <n v="20"/>
    <n v="590400"/>
    <x v="413"/>
    <x v="0"/>
    <x v="0"/>
    <x v="0"/>
    <x v="0"/>
    <s v="10/2024"/>
    <x v="0"/>
    <s v="Grande"/>
  </r>
  <r>
    <n v="427"/>
    <x v="317"/>
    <x v="9"/>
    <x v="2"/>
    <x v="3"/>
    <x v="33"/>
    <n v="30"/>
    <n v="4800"/>
    <n v="20"/>
    <n v="144000"/>
    <x v="414"/>
    <x v="3"/>
    <x v="3"/>
    <x v="0"/>
    <x v="0"/>
    <s v="10/2024"/>
    <x v="0"/>
    <s v="Moyenne"/>
  </r>
  <r>
    <n v="428"/>
    <x v="21"/>
    <x v="5"/>
    <x v="5"/>
    <x v="0"/>
    <x v="5"/>
    <n v="24"/>
    <n v="3800"/>
    <n v="0"/>
    <n v="91200"/>
    <x v="415"/>
    <x v="1"/>
    <x v="0"/>
    <x v="7"/>
    <x v="1"/>
    <s v="02/2023"/>
    <x v="2"/>
    <s v="Moyenne"/>
  </r>
  <r>
    <n v="429"/>
    <x v="318"/>
    <x v="5"/>
    <x v="0"/>
    <x v="0"/>
    <x v="39"/>
    <n v="19"/>
    <n v="8900"/>
    <n v="15"/>
    <n v="169100"/>
    <x v="416"/>
    <x v="0"/>
    <x v="3"/>
    <x v="11"/>
    <x v="0"/>
    <s v="05/2024"/>
    <x v="3"/>
    <s v="Moyenne"/>
  </r>
  <r>
    <n v="430"/>
    <x v="272"/>
    <x v="1"/>
    <x v="4"/>
    <x v="4"/>
    <x v="30"/>
    <n v="48"/>
    <n v="31000"/>
    <n v="0"/>
    <n v="1488000"/>
    <x v="417"/>
    <x v="1"/>
    <x v="0"/>
    <x v="6"/>
    <x v="1"/>
    <s v="04/2023"/>
    <x v="3"/>
    <s v="Grande"/>
  </r>
  <r>
    <n v="431"/>
    <x v="192"/>
    <x v="5"/>
    <x v="4"/>
    <x v="1"/>
    <x v="9"/>
    <n v="13"/>
    <n v="8600"/>
    <n v="20"/>
    <n v="111800"/>
    <x v="166"/>
    <x v="1"/>
    <x v="0"/>
    <x v="5"/>
    <x v="0"/>
    <s v="09/2024"/>
    <x v="1"/>
    <s v="Moyenne"/>
  </r>
  <r>
    <n v="432"/>
    <x v="49"/>
    <x v="1"/>
    <x v="3"/>
    <x v="1"/>
    <x v="31"/>
    <n v="38"/>
    <n v="25400"/>
    <n v="5"/>
    <n v="965200"/>
    <x v="418"/>
    <x v="3"/>
    <x v="1"/>
    <x v="7"/>
    <x v="0"/>
    <s v="02/2024"/>
    <x v="2"/>
    <s v="Grande"/>
  </r>
  <r>
    <n v="433"/>
    <x v="303"/>
    <x v="2"/>
    <x v="0"/>
    <x v="3"/>
    <x v="25"/>
    <n v="31"/>
    <n v="8300"/>
    <n v="15"/>
    <n v="257300"/>
    <x v="419"/>
    <x v="2"/>
    <x v="1"/>
    <x v="11"/>
    <x v="1"/>
    <s v="05/2023"/>
    <x v="3"/>
    <s v="Grande"/>
  </r>
  <r>
    <n v="434"/>
    <x v="319"/>
    <x v="6"/>
    <x v="4"/>
    <x v="1"/>
    <x v="9"/>
    <n v="39"/>
    <n v="9600"/>
    <n v="5"/>
    <n v="374400"/>
    <x v="403"/>
    <x v="2"/>
    <x v="2"/>
    <x v="1"/>
    <x v="0"/>
    <s v="08/2024"/>
    <x v="1"/>
    <s v="Grande"/>
  </r>
  <r>
    <n v="435"/>
    <x v="153"/>
    <x v="5"/>
    <x v="2"/>
    <x v="4"/>
    <x v="15"/>
    <n v="29"/>
    <n v="8600"/>
    <n v="5"/>
    <n v="249400"/>
    <x v="420"/>
    <x v="1"/>
    <x v="1"/>
    <x v="5"/>
    <x v="0"/>
    <s v="09/2024"/>
    <x v="1"/>
    <s v="Grande"/>
  </r>
  <r>
    <n v="436"/>
    <x v="283"/>
    <x v="2"/>
    <x v="2"/>
    <x v="3"/>
    <x v="27"/>
    <n v="36"/>
    <n v="12900"/>
    <n v="0"/>
    <n v="464400"/>
    <x v="421"/>
    <x v="0"/>
    <x v="4"/>
    <x v="1"/>
    <x v="0"/>
    <s v="08/2024"/>
    <x v="1"/>
    <s v="Grande"/>
  </r>
  <r>
    <n v="437"/>
    <x v="320"/>
    <x v="4"/>
    <x v="2"/>
    <x v="2"/>
    <x v="13"/>
    <n v="45"/>
    <n v="4300"/>
    <n v="20"/>
    <n v="193500"/>
    <x v="422"/>
    <x v="0"/>
    <x v="0"/>
    <x v="9"/>
    <x v="0"/>
    <s v="01/2024"/>
    <x v="2"/>
    <s v="Moyenne"/>
  </r>
  <r>
    <n v="438"/>
    <x v="105"/>
    <x v="2"/>
    <x v="1"/>
    <x v="3"/>
    <x v="25"/>
    <n v="35"/>
    <n v="8000"/>
    <n v="20"/>
    <n v="280000"/>
    <x v="263"/>
    <x v="0"/>
    <x v="2"/>
    <x v="10"/>
    <x v="1"/>
    <s v="12/2023"/>
    <x v="0"/>
    <s v="Grande"/>
  </r>
  <r>
    <n v="439"/>
    <x v="321"/>
    <x v="2"/>
    <x v="0"/>
    <x v="1"/>
    <x v="9"/>
    <n v="43"/>
    <n v="8400"/>
    <n v="20"/>
    <n v="361200"/>
    <x v="423"/>
    <x v="0"/>
    <x v="3"/>
    <x v="9"/>
    <x v="1"/>
    <s v="01/2023"/>
    <x v="2"/>
    <s v="Grande"/>
  </r>
  <r>
    <n v="440"/>
    <x v="87"/>
    <x v="4"/>
    <x v="2"/>
    <x v="2"/>
    <x v="38"/>
    <n v="19"/>
    <n v="15000"/>
    <n v="0"/>
    <n v="285000"/>
    <x v="424"/>
    <x v="0"/>
    <x v="0"/>
    <x v="8"/>
    <x v="1"/>
    <s v="06/2023"/>
    <x v="3"/>
    <s v="Grande"/>
  </r>
  <r>
    <n v="441"/>
    <x v="322"/>
    <x v="0"/>
    <x v="5"/>
    <x v="3"/>
    <x v="33"/>
    <n v="36"/>
    <n v="4900"/>
    <n v="15"/>
    <n v="176400"/>
    <x v="425"/>
    <x v="0"/>
    <x v="3"/>
    <x v="1"/>
    <x v="0"/>
    <s v="08/2024"/>
    <x v="1"/>
    <s v="Moyenne"/>
  </r>
  <r>
    <n v="442"/>
    <x v="323"/>
    <x v="1"/>
    <x v="1"/>
    <x v="4"/>
    <x v="29"/>
    <n v="44"/>
    <n v="20500"/>
    <n v="0"/>
    <n v="902000"/>
    <x v="426"/>
    <x v="0"/>
    <x v="0"/>
    <x v="4"/>
    <x v="0"/>
    <s v="11/2024"/>
    <x v="0"/>
    <s v="Grande"/>
  </r>
  <r>
    <n v="443"/>
    <x v="324"/>
    <x v="5"/>
    <x v="3"/>
    <x v="4"/>
    <x v="26"/>
    <n v="46"/>
    <n v="47400"/>
    <n v="20"/>
    <n v="2180400"/>
    <x v="427"/>
    <x v="1"/>
    <x v="3"/>
    <x v="5"/>
    <x v="1"/>
    <s v="09/2023"/>
    <x v="1"/>
    <s v="Grande"/>
  </r>
  <r>
    <n v="444"/>
    <x v="79"/>
    <x v="2"/>
    <x v="3"/>
    <x v="2"/>
    <x v="3"/>
    <n v="12"/>
    <n v="1800"/>
    <n v="0"/>
    <n v="21600"/>
    <x v="428"/>
    <x v="3"/>
    <x v="0"/>
    <x v="1"/>
    <x v="0"/>
    <s v="08/2024"/>
    <x v="1"/>
    <s v="Petite"/>
  </r>
  <r>
    <n v="445"/>
    <x v="325"/>
    <x v="2"/>
    <x v="0"/>
    <x v="4"/>
    <x v="35"/>
    <n v="36"/>
    <n v="95700"/>
    <n v="10"/>
    <n v="3445200"/>
    <x v="429"/>
    <x v="0"/>
    <x v="1"/>
    <x v="8"/>
    <x v="1"/>
    <s v="06/2023"/>
    <x v="3"/>
    <s v="Grande"/>
  </r>
  <r>
    <n v="446"/>
    <x v="208"/>
    <x v="1"/>
    <x v="2"/>
    <x v="4"/>
    <x v="30"/>
    <n v="21"/>
    <n v="25500"/>
    <n v="5"/>
    <n v="535500"/>
    <x v="430"/>
    <x v="0"/>
    <x v="3"/>
    <x v="5"/>
    <x v="1"/>
    <s v="09/2023"/>
    <x v="1"/>
    <s v="Grande"/>
  </r>
  <r>
    <n v="447"/>
    <x v="326"/>
    <x v="2"/>
    <x v="2"/>
    <x v="1"/>
    <x v="11"/>
    <n v="12"/>
    <n v="6200"/>
    <n v="5"/>
    <n v="74400"/>
    <x v="431"/>
    <x v="0"/>
    <x v="1"/>
    <x v="5"/>
    <x v="0"/>
    <s v="09/2024"/>
    <x v="1"/>
    <s v="Moyenne"/>
  </r>
  <r>
    <n v="448"/>
    <x v="327"/>
    <x v="2"/>
    <x v="1"/>
    <x v="1"/>
    <x v="11"/>
    <n v="14"/>
    <n v="5700"/>
    <n v="0"/>
    <n v="79800"/>
    <x v="432"/>
    <x v="1"/>
    <x v="3"/>
    <x v="0"/>
    <x v="0"/>
    <s v="10/2024"/>
    <x v="0"/>
    <s v="Moyenne"/>
  </r>
  <r>
    <n v="449"/>
    <x v="328"/>
    <x v="5"/>
    <x v="3"/>
    <x v="3"/>
    <x v="36"/>
    <n v="49"/>
    <n v="4400"/>
    <n v="0"/>
    <n v="215600"/>
    <x v="433"/>
    <x v="3"/>
    <x v="0"/>
    <x v="0"/>
    <x v="1"/>
    <s v="10/2023"/>
    <x v="0"/>
    <s v="Grande"/>
  </r>
  <r>
    <n v="450"/>
    <x v="329"/>
    <x v="3"/>
    <x v="1"/>
    <x v="2"/>
    <x v="3"/>
    <n v="44"/>
    <n v="2100"/>
    <n v="20"/>
    <n v="92400"/>
    <x v="434"/>
    <x v="2"/>
    <x v="2"/>
    <x v="4"/>
    <x v="0"/>
    <s v="11/2024"/>
    <x v="0"/>
    <s v="Moyenne"/>
  </r>
  <r>
    <n v="451"/>
    <x v="91"/>
    <x v="7"/>
    <x v="2"/>
    <x v="3"/>
    <x v="7"/>
    <n v="34"/>
    <n v="19900"/>
    <n v="10"/>
    <n v="676600"/>
    <x v="435"/>
    <x v="1"/>
    <x v="3"/>
    <x v="6"/>
    <x v="1"/>
    <s v="04/2023"/>
    <x v="3"/>
    <s v="Grande"/>
  </r>
  <r>
    <n v="452"/>
    <x v="330"/>
    <x v="8"/>
    <x v="1"/>
    <x v="1"/>
    <x v="32"/>
    <n v="13"/>
    <n v="2800"/>
    <n v="0"/>
    <n v="36400"/>
    <x v="436"/>
    <x v="0"/>
    <x v="0"/>
    <x v="6"/>
    <x v="0"/>
    <s v="04/2024"/>
    <x v="3"/>
    <s v="Petite"/>
  </r>
  <r>
    <n v="453"/>
    <x v="331"/>
    <x v="2"/>
    <x v="3"/>
    <x v="1"/>
    <x v="14"/>
    <n v="41"/>
    <n v="114300"/>
    <n v="20"/>
    <n v="4686300"/>
    <x v="437"/>
    <x v="1"/>
    <x v="2"/>
    <x v="8"/>
    <x v="1"/>
    <s v="06/2023"/>
    <x v="3"/>
    <s v="Grande"/>
  </r>
  <r>
    <n v="454"/>
    <x v="332"/>
    <x v="5"/>
    <x v="3"/>
    <x v="4"/>
    <x v="8"/>
    <n v="10"/>
    <n v="70600"/>
    <n v="0"/>
    <n v="706000"/>
    <x v="438"/>
    <x v="0"/>
    <x v="3"/>
    <x v="6"/>
    <x v="1"/>
    <s v="04/2023"/>
    <x v="3"/>
    <s v="Grande"/>
  </r>
  <r>
    <n v="455"/>
    <x v="277"/>
    <x v="0"/>
    <x v="0"/>
    <x v="2"/>
    <x v="16"/>
    <n v="37"/>
    <n v="10000"/>
    <n v="5"/>
    <n v="370000"/>
    <x v="439"/>
    <x v="1"/>
    <x v="4"/>
    <x v="2"/>
    <x v="1"/>
    <s v="03/2023"/>
    <x v="2"/>
    <s v="Grande"/>
  </r>
  <r>
    <n v="456"/>
    <x v="297"/>
    <x v="8"/>
    <x v="1"/>
    <x v="4"/>
    <x v="15"/>
    <n v="44"/>
    <n v="6800"/>
    <n v="15"/>
    <n v="299200"/>
    <x v="440"/>
    <x v="0"/>
    <x v="0"/>
    <x v="7"/>
    <x v="0"/>
    <s v="02/2024"/>
    <x v="2"/>
    <s v="Grande"/>
  </r>
  <r>
    <n v="457"/>
    <x v="333"/>
    <x v="0"/>
    <x v="3"/>
    <x v="1"/>
    <x v="14"/>
    <n v="33"/>
    <n v="118700"/>
    <n v="10"/>
    <n v="3917100"/>
    <x v="441"/>
    <x v="0"/>
    <x v="3"/>
    <x v="5"/>
    <x v="0"/>
    <s v="09/2024"/>
    <x v="1"/>
    <s v="Grande"/>
  </r>
  <r>
    <n v="458"/>
    <x v="268"/>
    <x v="4"/>
    <x v="1"/>
    <x v="4"/>
    <x v="29"/>
    <n v="2"/>
    <n v="19900"/>
    <n v="0"/>
    <n v="39800"/>
    <x v="442"/>
    <x v="0"/>
    <x v="1"/>
    <x v="2"/>
    <x v="1"/>
    <s v="03/2023"/>
    <x v="2"/>
    <s v="Petite"/>
  </r>
  <r>
    <n v="459"/>
    <x v="334"/>
    <x v="2"/>
    <x v="2"/>
    <x v="2"/>
    <x v="16"/>
    <n v="47"/>
    <n v="10300"/>
    <n v="10"/>
    <n v="484100"/>
    <x v="443"/>
    <x v="0"/>
    <x v="0"/>
    <x v="11"/>
    <x v="0"/>
    <s v="05/2024"/>
    <x v="3"/>
    <s v="Grande"/>
  </r>
  <r>
    <n v="460"/>
    <x v="335"/>
    <x v="6"/>
    <x v="0"/>
    <x v="1"/>
    <x v="18"/>
    <n v="26"/>
    <n v="88700"/>
    <n v="0"/>
    <n v="2306200"/>
    <x v="444"/>
    <x v="0"/>
    <x v="0"/>
    <x v="3"/>
    <x v="0"/>
    <s v="07/2024"/>
    <x v="1"/>
    <s v="Grande"/>
  </r>
  <r>
    <n v="461"/>
    <x v="36"/>
    <x v="3"/>
    <x v="4"/>
    <x v="4"/>
    <x v="30"/>
    <n v="15"/>
    <n v="26300"/>
    <n v="0"/>
    <n v="394500"/>
    <x v="445"/>
    <x v="0"/>
    <x v="3"/>
    <x v="6"/>
    <x v="1"/>
    <s v="04/2023"/>
    <x v="3"/>
    <s v="Grande"/>
  </r>
  <r>
    <n v="462"/>
    <x v="12"/>
    <x v="6"/>
    <x v="3"/>
    <x v="1"/>
    <x v="31"/>
    <n v="5"/>
    <n v="26500"/>
    <n v="0"/>
    <n v="132500"/>
    <x v="446"/>
    <x v="0"/>
    <x v="0"/>
    <x v="6"/>
    <x v="1"/>
    <s v="04/2023"/>
    <x v="3"/>
    <s v="Moyenne"/>
  </r>
  <r>
    <n v="463"/>
    <x v="336"/>
    <x v="5"/>
    <x v="3"/>
    <x v="4"/>
    <x v="15"/>
    <n v="43"/>
    <n v="7400"/>
    <n v="0"/>
    <n v="318200"/>
    <x v="447"/>
    <x v="1"/>
    <x v="0"/>
    <x v="4"/>
    <x v="1"/>
    <s v="11/2023"/>
    <x v="0"/>
    <s v="Grande"/>
  </r>
  <r>
    <n v="464"/>
    <x v="337"/>
    <x v="0"/>
    <x v="4"/>
    <x v="0"/>
    <x v="5"/>
    <n v="40"/>
    <n v="3500"/>
    <n v="10"/>
    <n v="140000"/>
    <x v="448"/>
    <x v="1"/>
    <x v="1"/>
    <x v="5"/>
    <x v="0"/>
    <s v="09/2024"/>
    <x v="1"/>
    <s v="Moyenne"/>
  </r>
  <r>
    <n v="465"/>
    <x v="338"/>
    <x v="3"/>
    <x v="2"/>
    <x v="4"/>
    <x v="30"/>
    <n v="16"/>
    <n v="25200"/>
    <n v="0"/>
    <n v="403200"/>
    <x v="449"/>
    <x v="1"/>
    <x v="2"/>
    <x v="2"/>
    <x v="0"/>
    <s v="03/2024"/>
    <x v="2"/>
    <s v="Grande"/>
  </r>
  <r>
    <n v="466"/>
    <x v="339"/>
    <x v="6"/>
    <x v="2"/>
    <x v="4"/>
    <x v="28"/>
    <n v="50"/>
    <n v="12100"/>
    <n v="0"/>
    <n v="605000"/>
    <x v="450"/>
    <x v="0"/>
    <x v="0"/>
    <x v="6"/>
    <x v="0"/>
    <s v="04/2024"/>
    <x v="3"/>
    <s v="Grande"/>
  </r>
  <r>
    <n v="467"/>
    <x v="340"/>
    <x v="9"/>
    <x v="0"/>
    <x v="0"/>
    <x v="22"/>
    <n v="13"/>
    <n v="13500"/>
    <n v="15"/>
    <n v="175500"/>
    <x v="451"/>
    <x v="0"/>
    <x v="0"/>
    <x v="0"/>
    <x v="0"/>
    <s v="10/2024"/>
    <x v="0"/>
    <s v="Moyenne"/>
  </r>
  <r>
    <n v="468"/>
    <x v="341"/>
    <x v="1"/>
    <x v="3"/>
    <x v="1"/>
    <x v="9"/>
    <n v="14"/>
    <n v="9800"/>
    <n v="10"/>
    <n v="137200"/>
    <x v="452"/>
    <x v="2"/>
    <x v="3"/>
    <x v="2"/>
    <x v="1"/>
    <s v="03/2023"/>
    <x v="2"/>
    <s v="Moyenne"/>
  </r>
  <r>
    <n v="469"/>
    <x v="342"/>
    <x v="8"/>
    <x v="4"/>
    <x v="0"/>
    <x v="21"/>
    <n v="50"/>
    <n v="4300"/>
    <n v="0"/>
    <n v="215000"/>
    <x v="453"/>
    <x v="0"/>
    <x v="3"/>
    <x v="8"/>
    <x v="0"/>
    <s v="06/2024"/>
    <x v="3"/>
    <s v="Grande"/>
  </r>
  <r>
    <n v="470"/>
    <x v="293"/>
    <x v="2"/>
    <x v="3"/>
    <x v="1"/>
    <x v="9"/>
    <n v="1"/>
    <n v="8900"/>
    <n v="20"/>
    <n v="8900"/>
    <x v="454"/>
    <x v="1"/>
    <x v="1"/>
    <x v="6"/>
    <x v="0"/>
    <s v="04/2024"/>
    <x v="3"/>
    <s v="Petite"/>
  </r>
  <r>
    <n v="471"/>
    <x v="249"/>
    <x v="6"/>
    <x v="1"/>
    <x v="2"/>
    <x v="13"/>
    <n v="37"/>
    <n v="4400"/>
    <n v="15"/>
    <n v="162800"/>
    <x v="455"/>
    <x v="1"/>
    <x v="1"/>
    <x v="0"/>
    <x v="0"/>
    <s v="10/2024"/>
    <x v="0"/>
    <s v="Moyenne"/>
  </r>
  <r>
    <n v="472"/>
    <x v="187"/>
    <x v="3"/>
    <x v="0"/>
    <x v="2"/>
    <x v="2"/>
    <n v="17"/>
    <n v="5200"/>
    <n v="15"/>
    <n v="88400"/>
    <x v="456"/>
    <x v="0"/>
    <x v="0"/>
    <x v="0"/>
    <x v="0"/>
    <s v="10/2024"/>
    <x v="0"/>
    <s v="Moyenne"/>
  </r>
  <r>
    <n v="473"/>
    <x v="343"/>
    <x v="2"/>
    <x v="2"/>
    <x v="4"/>
    <x v="28"/>
    <n v="3"/>
    <n v="13600"/>
    <n v="0"/>
    <n v="40800"/>
    <x v="457"/>
    <x v="0"/>
    <x v="3"/>
    <x v="3"/>
    <x v="1"/>
    <s v="07/2023"/>
    <x v="1"/>
    <s v="Petite"/>
  </r>
  <r>
    <n v="474"/>
    <x v="344"/>
    <x v="2"/>
    <x v="2"/>
    <x v="0"/>
    <x v="22"/>
    <n v="25"/>
    <n v="11900"/>
    <n v="10"/>
    <n v="297500"/>
    <x v="458"/>
    <x v="0"/>
    <x v="4"/>
    <x v="10"/>
    <x v="0"/>
    <s v="12/2024"/>
    <x v="0"/>
    <s v="Grande"/>
  </r>
  <r>
    <n v="475"/>
    <x v="324"/>
    <x v="7"/>
    <x v="4"/>
    <x v="3"/>
    <x v="25"/>
    <n v="23"/>
    <n v="7400"/>
    <n v="10"/>
    <n v="170200"/>
    <x v="459"/>
    <x v="0"/>
    <x v="2"/>
    <x v="5"/>
    <x v="1"/>
    <s v="09/2023"/>
    <x v="1"/>
    <s v="Moyenne"/>
  </r>
  <r>
    <n v="476"/>
    <x v="215"/>
    <x v="2"/>
    <x v="4"/>
    <x v="4"/>
    <x v="30"/>
    <n v="33"/>
    <n v="26800"/>
    <n v="0"/>
    <n v="884400"/>
    <x v="460"/>
    <x v="0"/>
    <x v="1"/>
    <x v="3"/>
    <x v="1"/>
    <s v="07/2023"/>
    <x v="1"/>
    <s v="Grande"/>
  </r>
  <r>
    <n v="477"/>
    <x v="161"/>
    <x v="6"/>
    <x v="2"/>
    <x v="3"/>
    <x v="19"/>
    <n v="27"/>
    <n v="2300"/>
    <n v="5"/>
    <n v="62100"/>
    <x v="461"/>
    <x v="1"/>
    <x v="4"/>
    <x v="4"/>
    <x v="1"/>
    <s v="11/2023"/>
    <x v="0"/>
    <s v="Moyenne"/>
  </r>
  <r>
    <n v="478"/>
    <x v="345"/>
    <x v="8"/>
    <x v="1"/>
    <x v="2"/>
    <x v="13"/>
    <n v="27"/>
    <n v="4500"/>
    <n v="0"/>
    <n v="121500"/>
    <x v="462"/>
    <x v="0"/>
    <x v="0"/>
    <x v="4"/>
    <x v="0"/>
    <s v="11/2024"/>
    <x v="0"/>
    <s v="Moyenne"/>
  </r>
  <r>
    <n v="479"/>
    <x v="190"/>
    <x v="9"/>
    <x v="4"/>
    <x v="2"/>
    <x v="38"/>
    <n v="10"/>
    <n v="15700"/>
    <n v="0"/>
    <n v="157000"/>
    <x v="463"/>
    <x v="0"/>
    <x v="3"/>
    <x v="0"/>
    <x v="0"/>
    <s v="10/2024"/>
    <x v="0"/>
    <s v="Moyenne"/>
  </r>
  <r>
    <n v="480"/>
    <x v="17"/>
    <x v="7"/>
    <x v="3"/>
    <x v="3"/>
    <x v="20"/>
    <n v="47"/>
    <n v="7300"/>
    <n v="0"/>
    <n v="343100"/>
    <x v="464"/>
    <x v="1"/>
    <x v="3"/>
    <x v="8"/>
    <x v="0"/>
    <s v="06/2024"/>
    <x v="3"/>
    <s v="Grande"/>
  </r>
  <r>
    <n v="481"/>
    <x v="346"/>
    <x v="8"/>
    <x v="3"/>
    <x v="4"/>
    <x v="28"/>
    <n v="27"/>
    <n v="11300"/>
    <n v="10"/>
    <n v="305100"/>
    <x v="465"/>
    <x v="0"/>
    <x v="1"/>
    <x v="0"/>
    <x v="1"/>
    <s v="10/2023"/>
    <x v="0"/>
    <s v="Grande"/>
  </r>
  <r>
    <n v="482"/>
    <x v="347"/>
    <x v="2"/>
    <x v="2"/>
    <x v="2"/>
    <x v="37"/>
    <n v="39"/>
    <n v="3600"/>
    <n v="5"/>
    <n v="140400"/>
    <x v="466"/>
    <x v="0"/>
    <x v="1"/>
    <x v="8"/>
    <x v="0"/>
    <s v="06/2024"/>
    <x v="3"/>
    <s v="Moyenne"/>
  </r>
  <r>
    <n v="483"/>
    <x v="311"/>
    <x v="6"/>
    <x v="0"/>
    <x v="1"/>
    <x v="1"/>
    <n v="33"/>
    <n v="8800"/>
    <n v="10"/>
    <n v="290400"/>
    <x v="467"/>
    <x v="1"/>
    <x v="1"/>
    <x v="9"/>
    <x v="0"/>
    <s v="01/2024"/>
    <x v="2"/>
    <s v="Grande"/>
  </r>
  <r>
    <n v="484"/>
    <x v="218"/>
    <x v="6"/>
    <x v="1"/>
    <x v="3"/>
    <x v="20"/>
    <n v="35"/>
    <n v="7300"/>
    <n v="0"/>
    <n v="255500"/>
    <x v="468"/>
    <x v="0"/>
    <x v="0"/>
    <x v="5"/>
    <x v="1"/>
    <s v="09/2023"/>
    <x v="1"/>
    <s v="Grande"/>
  </r>
  <r>
    <n v="485"/>
    <x v="110"/>
    <x v="6"/>
    <x v="3"/>
    <x v="3"/>
    <x v="20"/>
    <n v="50"/>
    <n v="7300"/>
    <n v="10"/>
    <n v="365000"/>
    <x v="469"/>
    <x v="1"/>
    <x v="2"/>
    <x v="1"/>
    <x v="0"/>
    <s v="08/2024"/>
    <x v="1"/>
    <s v="Grande"/>
  </r>
  <r>
    <n v="486"/>
    <x v="348"/>
    <x v="3"/>
    <x v="0"/>
    <x v="3"/>
    <x v="25"/>
    <n v="31"/>
    <n v="7200"/>
    <n v="0"/>
    <n v="223200"/>
    <x v="470"/>
    <x v="1"/>
    <x v="2"/>
    <x v="8"/>
    <x v="0"/>
    <s v="06/2024"/>
    <x v="3"/>
    <s v="Grande"/>
  </r>
  <r>
    <n v="487"/>
    <x v="349"/>
    <x v="9"/>
    <x v="0"/>
    <x v="4"/>
    <x v="30"/>
    <n v="50"/>
    <n v="27000"/>
    <n v="0"/>
    <n v="1350000"/>
    <x v="471"/>
    <x v="0"/>
    <x v="0"/>
    <x v="1"/>
    <x v="0"/>
    <s v="08/2024"/>
    <x v="1"/>
    <s v="Grande"/>
  </r>
  <r>
    <n v="488"/>
    <x v="350"/>
    <x v="2"/>
    <x v="1"/>
    <x v="0"/>
    <x v="0"/>
    <n v="48"/>
    <n v="19800"/>
    <n v="10"/>
    <n v="950400"/>
    <x v="472"/>
    <x v="1"/>
    <x v="0"/>
    <x v="6"/>
    <x v="0"/>
    <s v="04/2024"/>
    <x v="3"/>
    <s v="Grande"/>
  </r>
  <r>
    <n v="489"/>
    <x v="133"/>
    <x v="7"/>
    <x v="4"/>
    <x v="0"/>
    <x v="21"/>
    <n v="10"/>
    <n v="4500"/>
    <n v="0"/>
    <n v="45000"/>
    <x v="473"/>
    <x v="0"/>
    <x v="3"/>
    <x v="1"/>
    <x v="1"/>
    <s v="08/2023"/>
    <x v="1"/>
    <s v="Petite"/>
  </r>
  <r>
    <n v="490"/>
    <x v="351"/>
    <x v="7"/>
    <x v="3"/>
    <x v="0"/>
    <x v="34"/>
    <n v="26"/>
    <n v="36700"/>
    <n v="10"/>
    <n v="954200"/>
    <x v="474"/>
    <x v="1"/>
    <x v="2"/>
    <x v="7"/>
    <x v="0"/>
    <s v="02/2024"/>
    <x v="2"/>
    <s v="Grande"/>
  </r>
  <r>
    <n v="491"/>
    <x v="352"/>
    <x v="8"/>
    <x v="4"/>
    <x v="0"/>
    <x v="5"/>
    <n v="20"/>
    <n v="3400"/>
    <n v="15"/>
    <n v="68000"/>
    <x v="475"/>
    <x v="0"/>
    <x v="2"/>
    <x v="3"/>
    <x v="0"/>
    <s v="07/2024"/>
    <x v="1"/>
    <s v="Moyenne"/>
  </r>
  <r>
    <n v="492"/>
    <x v="353"/>
    <x v="0"/>
    <x v="4"/>
    <x v="4"/>
    <x v="30"/>
    <n v="33"/>
    <n v="25900"/>
    <n v="20"/>
    <n v="854700"/>
    <x v="476"/>
    <x v="0"/>
    <x v="4"/>
    <x v="11"/>
    <x v="1"/>
    <s v="05/2023"/>
    <x v="3"/>
    <s v="Grande"/>
  </r>
  <r>
    <n v="493"/>
    <x v="74"/>
    <x v="9"/>
    <x v="0"/>
    <x v="2"/>
    <x v="23"/>
    <n v="1"/>
    <n v="5500"/>
    <n v="5"/>
    <n v="5500"/>
    <x v="477"/>
    <x v="1"/>
    <x v="1"/>
    <x v="3"/>
    <x v="0"/>
    <s v="07/2024"/>
    <x v="1"/>
    <s v="Petite"/>
  </r>
  <r>
    <n v="494"/>
    <x v="296"/>
    <x v="7"/>
    <x v="0"/>
    <x v="1"/>
    <x v="32"/>
    <n v="6"/>
    <n v="2400"/>
    <n v="5"/>
    <n v="14400"/>
    <x v="478"/>
    <x v="0"/>
    <x v="2"/>
    <x v="8"/>
    <x v="0"/>
    <s v="06/2024"/>
    <x v="3"/>
    <s v="Petite"/>
  </r>
  <r>
    <n v="495"/>
    <x v="221"/>
    <x v="2"/>
    <x v="2"/>
    <x v="3"/>
    <x v="20"/>
    <n v="12"/>
    <n v="7400"/>
    <n v="0"/>
    <n v="88800"/>
    <x v="6"/>
    <x v="0"/>
    <x v="2"/>
    <x v="5"/>
    <x v="0"/>
    <s v="09/2024"/>
    <x v="1"/>
    <s v="Moyenne"/>
  </r>
  <r>
    <n v="496"/>
    <x v="354"/>
    <x v="2"/>
    <x v="2"/>
    <x v="2"/>
    <x v="38"/>
    <n v="33"/>
    <n v="15300"/>
    <n v="10"/>
    <n v="504900"/>
    <x v="479"/>
    <x v="0"/>
    <x v="1"/>
    <x v="3"/>
    <x v="1"/>
    <s v="07/2023"/>
    <x v="1"/>
    <s v="Grande"/>
  </r>
  <r>
    <n v="497"/>
    <x v="355"/>
    <x v="1"/>
    <x v="2"/>
    <x v="2"/>
    <x v="38"/>
    <n v="6"/>
    <n v="16000"/>
    <n v="0"/>
    <n v="96000"/>
    <x v="50"/>
    <x v="3"/>
    <x v="2"/>
    <x v="8"/>
    <x v="1"/>
    <s v="06/2023"/>
    <x v="3"/>
    <s v="Moyenne"/>
  </r>
  <r>
    <n v="498"/>
    <x v="38"/>
    <x v="7"/>
    <x v="1"/>
    <x v="3"/>
    <x v="33"/>
    <n v="48"/>
    <n v="4600"/>
    <n v="10"/>
    <n v="220800"/>
    <x v="480"/>
    <x v="1"/>
    <x v="0"/>
    <x v="4"/>
    <x v="0"/>
    <s v="11/2024"/>
    <x v="0"/>
    <s v="Moyenne"/>
  </r>
  <r>
    <n v="499"/>
    <x v="356"/>
    <x v="2"/>
    <x v="3"/>
    <x v="0"/>
    <x v="39"/>
    <n v="18"/>
    <n v="9100"/>
    <n v="5"/>
    <n v="163800"/>
    <x v="481"/>
    <x v="0"/>
    <x v="4"/>
    <x v="0"/>
    <x v="1"/>
    <s v="10/2023"/>
    <x v="0"/>
    <s v="Moyenne"/>
  </r>
  <r>
    <n v="500"/>
    <x v="357"/>
    <x v="9"/>
    <x v="0"/>
    <x v="0"/>
    <x v="22"/>
    <n v="7"/>
    <n v="12000"/>
    <n v="0"/>
    <n v="84000"/>
    <x v="380"/>
    <x v="0"/>
    <x v="3"/>
    <x v="7"/>
    <x v="0"/>
    <s v="02/2024"/>
    <x v="2"/>
    <s v="Moyenne"/>
  </r>
  <r>
    <n v="501"/>
    <x v="358"/>
    <x v="2"/>
    <x v="2"/>
    <x v="3"/>
    <x v="7"/>
    <n v="25"/>
    <n v="23600"/>
    <n v="20"/>
    <n v="590000"/>
    <x v="482"/>
    <x v="0"/>
    <x v="1"/>
    <x v="6"/>
    <x v="1"/>
    <s v="04/2023"/>
    <x v="3"/>
    <s v="Grande"/>
  </r>
  <r>
    <n v="502"/>
    <x v="359"/>
    <x v="8"/>
    <x v="1"/>
    <x v="3"/>
    <x v="20"/>
    <n v="17"/>
    <n v="6600"/>
    <n v="15"/>
    <n v="112200"/>
    <x v="483"/>
    <x v="0"/>
    <x v="1"/>
    <x v="10"/>
    <x v="1"/>
    <s v="12/2023"/>
    <x v="0"/>
    <s v="Moyenne"/>
  </r>
  <r>
    <n v="503"/>
    <x v="259"/>
    <x v="5"/>
    <x v="2"/>
    <x v="4"/>
    <x v="15"/>
    <n v="1"/>
    <n v="7700"/>
    <n v="0"/>
    <n v="7700"/>
    <x v="484"/>
    <x v="1"/>
    <x v="3"/>
    <x v="10"/>
    <x v="0"/>
    <s v="12/2024"/>
    <x v="0"/>
    <s v="Petite"/>
  </r>
  <r>
    <n v="504"/>
    <x v="360"/>
    <x v="0"/>
    <x v="1"/>
    <x v="0"/>
    <x v="10"/>
    <n v="12"/>
    <n v="29100"/>
    <n v="0"/>
    <n v="349200"/>
    <x v="485"/>
    <x v="0"/>
    <x v="3"/>
    <x v="0"/>
    <x v="1"/>
    <s v="10/2023"/>
    <x v="0"/>
    <s v="Grande"/>
  </r>
  <r>
    <n v="505"/>
    <x v="190"/>
    <x v="4"/>
    <x v="4"/>
    <x v="2"/>
    <x v="2"/>
    <n v="16"/>
    <n v="5900"/>
    <n v="0"/>
    <n v="94400"/>
    <x v="486"/>
    <x v="1"/>
    <x v="3"/>
    <x v="0"/>
    <x v="0"/>
    <s v="10/2024"/>
    <x v="0"/>
    <s v="Moyenne"/>
  </r>
  <r>
    <n v="506"/>
    <x v="361"/>
    <x v="5"/>
    <x v="4"/>
    <x v="3"/>
    <x v="27"/>
    <n v="7"/>
    <n v="11300"/>
    <n v="15"/>
    <n v="79100"/>
    <x v="487"/>
    <x v="0"/>
    <x v="0"/>
    <x v="1"/>
    <x v="1"/>
    <s v="08/2023"/>
    <x v="1"/>
    <s v="Moyenne"/>
  </r>
  <r>
    <n v="507"/>
    <x v="362"/>
    <x v="8"/>
    <x v="3"/>
    <x v="1"/>
    <x v="18"/>
    <n v="24"/>
    <n v="94500"/>
    <n v="10"/>
    <n v="2268000"/>
    <x v="488"/>
    <x v="0"/>
    <x v="2"/>
    <x v="0"/>
    <x v="0"/>
    <s v="10/2024"/>
    <x v="0"/>
    <s v="Grande"/>
  </r>
  <r>
    <n v="508"/>
    <x v="363"/>
    <x v="8"/>
    <x v="4"/>
    <x v="3"/>
    <x v="7"/>
    <n v="49"/>
    <n v="22000"/>
    <n v="10"/>
    <n v="1078000"/>
    <x v="489"/>
    <x v="0"/>
    <x v="4"/>
    <x v="5"/>
    <x v="1"/>
    <s v="09/2023"/>
    <x v="1"/>
    <s v="Grande"/>
  </r>
  <r>
    <n v="509"/>
    <x v="122"/>
    <x v="8"/>
    <x v="3"/>
    <x v="1"/>
    <x v="11"/>
    <n v="44"/>
    <n v="6000"/>
    <n v="0"/>
    <n v="264000"/>
    <x v="490"/>
    <x v="1"/>
    <x v="2"/>
    <x v="5"/>
    <x v="0"/>
    <s v="09/2024"/>
    <x v="1"/>
    <s v="Grande"/>
  </r>
  <r>
    <n v="510"/>
    <x v="364"/>
    <x v="2"/>
    <x v="1"/>
    <x v="0"/>
    <x v="4"/>
    <n v="14"/>
    <n v="31600"/>
    <n v="0"/>
    <n v="442400"/>
    <x v="491"/>
    <x v="0"/>
    <x v="0"/>
    <x v="10"/>
    <x v="0"/>
    <s v="12/2024"/>
    <x v="0"/>
    <s v="Grande"/>
  </r>
  <r>
    <n v="511"/>
    <x v="365"/>
    <x v="9"/>
    <x v="2"/>
    <x v="2"/>
    <x v="16"/>
    <n v="31"/>
    <n v="9200"/>
    <n v="0"/>
    <n v="285200"/>
    <x v="492"/>
    <x v="3"/>
    <x v="3"/>
    <x v="8"/>
    <x v="0"/>
    <s v="06/2024"/>
    <x v="3"/>
    <s v="Grande"/>
  </r>
  <r>
    <n v="512"/>
    <x v="366"/>
    <x v="8"/>
    <x v="1"/>
    <x v="2"/>
    <x v="23"/>
    <n v="24"/>
    <n v="5200"/>
    <n v="0"/>
    <n v="124800"/>
    <x v="493"/>
    <x v="0"/>
    <x v="2"/>
    <x v="1"/>
    <x v="1"/>
    <s v="08/2023"/>
    <x v="1"/>
    <s v="Moyenne"/>
  </r>
  <r>
    <n v="513"/>
    <x v="150"/>
    <x v="6"/>
    <x v="3"/>
    <x v="2"/>
    <x v="3"/>
    <n v="47"/>
    <n v="2000"/>
    <n v="10"/>
    <n v="94000"/>
    <x v="494"/>
    <x v="0"/>
    <x v="1"/>
    <x v="8"/>
    <x v="0"/>
    <s v="06/2024"/>
    <x v="3"/>
    <s v="Moyenne"/>
  </r>
  <r>
    <n v="514"/>
    <x v="367"/>
    <x v="7"/>
    <x v="4"/>
    <x v="2"/>
    <x v="13"/>
    <n v="1"/>
    <n v="4300"/>
    <n v="0"/>
    <n v="4300"/>
    <x v="495"/>
    <x v="0"/>
    <x v="2"/>
    <x v="2"/>
    <x v="0"/>
    <s v="03/2024"/>
    <x v="2"/>
    <s v="Petite"/>
  </r>
  <r>
    <n v="515"/>
    <x v="368"/>
    <x v="2"/>
    <x v="3"/>
    <x v="0"/>
    <x v="5"/>
    <n v="36"/>
    <n v="3400"/>
    <n v="5"/>
    <n v="122400"/>
    <x v="496"/>
    <x v="2"/>
    <x v="0"/>
    <x v="3"/>
    <x v="0"/>
    <s v="07/2024"/>
    <x v="1"/>
    <s v="Moyenne"/>
  </r>
  <r>
    <n v="516"/>
    <x v="142"/>
    <x v="6"/>
    <x v="0"/>
    <x v="2"/>
    <x v="16"/>
    <n v="41"/>
    <n v="9800"/>
    <n v="0"/>
    <n v="401800"/>
    <x v="497"/>
    <x v="0"/>
    <x v="3"/>
    <x v="10"/>
    <x v="1"/>
    <s v="12/2023"/>
    <x v="0"/>
    <s v="Grande"/>
  </r>
  <r>
    <n v="517"/>
    <x v="156"/>
    <x v="3"/>
    <x v="3"/>
    <x v="3"/>
    <x v="7"/>
    <n v="27"/>
    <n v="21700"/>
    <n v="10"/>
    <n v="585900"/>
    <x v="498"/>
    <x v="0"/>
    <x v="1"/>
    <x v="11"/>
    <x v="0"/>
    <s v="05/2024"/>
    <x v="3"/>
    <s v="Grande"/>
  </r>
  <r>
    <n v="518"/>
    <x v="56"/>
    <x v="2"/>
    <x v="4"/>
    <x v="0"/>
    <x v="39"/>
    <n v="33"/>
    <n v="7900"/>
    <n v="0"/>
    <n v="260700"/>
    <x v="499"/>
    <x v="0"/>
    <x v="2"/>
    <x v="10"/>
    <x v="0"/>
    <s v="12/2024"/>
    <x v="0"/>
    <s v="Grande"/>
  </r>
  <r>
    <n v="519"/>
    <x v="95"/>
    <x v="9"/>
    <x v="2"/>
    <x v="4"/>
    <x v="30"/>
    <n v="41"/>
    <n v="31300"/>
    <n v="5"/>
    <n v="1283300"/>
    <x v="500"/>
    <x v="1"/>
    <x v="3"/>
    <x v="9"/>
    <x v="0"/>
    <s v="01/2024"/>
    <x v="2"/>
    <s v="Grande"/>
  </r>
  <r>
    <n v="520"/>
    <x v="301"/>
    <x v="9"/>
    <x v="3"/>
    <x v="4"/>
    <x v="8"/>
    <n v="22"/>
    <n v="59800"/>
    <n v="15"/>
    <n v="1315600"/>
    <x v="501"/>
    <x v="0"/>
    <x v="3"/>
    <x v="1"/>
    <x v="0"/>
    <s v="08/2024"/>
    <x v="1"/>
    <s v="Grande"/>
  </r>
  <r>
    <n v="521"/>
    <x v="369"/>
    <x v="4"/>
    <x v="3"/>
    <x v="4"/>
    <x v="17"/>
    <n v="50"/>
    <n v="129000"/>
    <n v="15"/>
    <n v="6450000"/>
    <x v="502"/>
    <x v="2"/>
    <x v="3"/>
    <x v="0"/>
    <x v="1"/>
    <s v="10/2023"/>
    <x v="0"/>
    <s v="Grande"/>
  </r>
  <r>
    <n v="522"/>
    <x v="370"/>
    <x v="2"/>
    <x v="1"/>
    <x v="4"/>
    <x v="30"/>
    <n v="2"/>
    <n v="26500"/>
    <n v="15"/>
    <n v="53000"/>
    <x v="503"/>
    <x v="0"/>
    <x v="1"/>
    <x v="1"/>
    <x v="0"/>
    <s v="08/2024"/>
    <x v="1"/>
    <s v="Petite"/>
  </r>
  <r>
    <n v="523"/>
    <x v="324"/>
    <x v="0"/>
    <x v="5"/>
    <x v="2"/>
    <x v="23"/>
    <n v="5"/>
    <n v="4400"/>
    <n v="10"/>
    <n v="22000"/>
    <x v="504"/>
    <x v="3"/>
    <x v="2"/>
    <x v="5"/>
    <x v="1"/>
    <s v="09/2023"/>
    <x v="1"/>
    <s v="Petite"/>
  </r>
  <r>
    <n v="524"/>
    <x v="21"/>
    <x v="1"/>
    <x v="1"/>
    <x v="3"/>
    <x v="19"/>
    <n v="40"/>
    <n v="2000"/>
    <n v="0"/>
    <n v="80000"/>
    <x v="505"/>
    <x v="0"/>
    <x v="2"/>
    <x v="7"/>
    <x v="1"/>
    <s v="02/2023"/>
    <x v="2"/>
    <s v="Moyenne"/>
  </r>
  <r>
    <n v="525"/>
    <x v="361"/>
    <x v="5"/>
    <x v="2"/>
    <x v="4"/>
    <x v="30"/>
    <n v="11"/>
    <n v="26100"/>
    <n v="20"/>
    <n v="287100"/>
    <x v="506"/>
    <x v="0"/>
    <x v="3"/>
    <x v="1"/>
    <x v="1"/>
    <s v="08/2023"/>
    <x v="1"/>
    <s v="Grande"/>
  </r>
  <r>
    <n v="526"/>
    <x v="371"/>
    <x v="8"/>
    <x v="1"/>
    <x v="3"/>
    <x v="7"/>
    <n v="9"/>
    <n v="22800"/>
    <n v="10"/>
    <n v="205200"/>
    <x v="507"/>
    <x v="3"/>
    <x v="1"/>
    <x v="4"/>
    <x v="1"/>
    <s v="11/2023"/>
    <x v="0"/>
    <s v="Moyenne"/>
  </r>
  <r>
    <n v="527"/>
    <x v="372"/>
    <x v="8"/>
    <x v="3"/>
    <x v="4"/>
    <x v="17"/>
    <n v="31"/>
    <n v="129600"/>
    <n v="5"/>
    <n v="4017600"/>
    <x v="508"/>
    <x v="0"/>
    <x v="0"/>
    <x v="2"/>
    <x v="0"/>
    <s v="03/2024"/>
    <x v="2"/>
    <s v="Grande"/>
  </r>
  <r>
    <n v="528"/>
    <x v="273"/>
    <x v="3"/>
    <x v="1"/>
    <x v="0"/>
    <x v="22"/>
    <n v="1"/>
    <n v="11700"/>
    <n v="0"/>
    <n v="11700"/>
    <x v="509"/>
    <x v="0"/>
    <x v="1"/>
    <x v="10"/>
    <x v="1"/>
    <s v="12/2023"/>
    <x v="0"/>
    <s v="Petite"/>
  </r>
  <r>
    <n v="529"/>
    <x v="373"/>
    <x v="8"/>
    <x v="3"/>
    <x v="1"/>
    <x v="31"/>
    <n v="31"/>
    <n v="28400"/>
    <n v="20"/>
    <n v="880400"/>
    <x v="510"/>
    <x v="0"/>
    <x v="2"/>
    <x v="0"/>
    <x v="1"/>
    <s v="10/2023"/>
    <x v="0"/>
    <s v="Grande"/>
  </r>
  <r>
    <n v="530"/>
    <x v="374"/>
    <x v="9"/>
    <x v="4"/>
    <x v="1"/>
    <x v="11"/>
    <n v="36"/>
    <n v="5700"/>
    <n v="0"/>
    <n v="205200"/>
    <x v="511"/>
    <x v="0"/>
    <x v="1"/>
    <x v="0"/>
    <x v="1"/>
    <s v="10/2023"/>
    <x v="0"/>
    <s v="Grande"/>
  </r>
  <r>
    <n v="531"/>
    <x v="340"/>
    <x v="7"/>
    <x v="1"/>
    <x v="2"/>
    <x v="16"/>
    <n v="41"/>
    <n v="8800"/>
    <n v="0"/>
    <n v="360800"/>
    <x v="149"/>
    <x v="0"/>
    <x v="3"/>
    <x v="0"/>
    <x v="0"/>
    <s v="10/2024"/>
    <x v="0"/>
    <s v="Grande"/>
  </r>
  <r>
    <n v="532"/>
    <x v="212"/>
    <x v="2"/>
    <x v="2"/>
    <x v="4"/>
    <x v="26"/>
    <n v="12"/>
    <n v="46800"/>
    <n v="15"/>
    <n v="561600"/>
    <x v="512"/>
    <x v="0"/>
    <x v="0"/>
    <x v="0"/>
    <x v="0"/>
    <s v="10/2024"/>
    <x v="0"/>
    <s v="Grande"/>
  </r>
  <r>
    <n v="533"/>
    <x v="375"/>
    <x v="9"/>
    <x v="1"/>
    <x v="0"/>
    <x v="5"/>
    <n v="2"/>
    <n v="3300"/>
    <n v="0"/>
    <n v="6600"/>
    <x v="513"/>
    <x v="0"/>
    <x v="0"/>
    <x v="4"/>
    <x v="0"/>
    <s v="11/2024"/>
    <x v="0"/>
    <s v="Petite"/>
  </r>
  <r>
    <n v="534"/>
    <x v="241"/>
    <x v="4"/>
    <x v="2"/>
    <x v="2"/>
    <x v="2"/>
    <n v="15"/>
    <n v="5800"/>
    <n v="5"/>
    <n v="87000"/>
    <x v="514"/>
    <x v="0"/>
    <x v="0"/>
    <x v="6"/>
    <x v="1"/>
    <s v="04/2023"/>
    <x v="3"/>
    <s v="Moyenne"/>
  </r>
  <r>
    <n v="535"/>
    <x v="204"/>
    <x v="3"/>
    <x v="1"/>
    <x v="0"/>
    <x v="5"/>
    <n v="30"/>
    <n v="4000"/>
    <n v="0"/>
    <n v="120000"/>
    <x v="515"/>
    <x v="1"/>
    <x v="0"/>
    <x v="4"/>
    <x v="1"/>
    <s v="11/2023"/>
    <x v="0"/>
    <s v="Moyenne"/>
  </r>
  <r>
    <n v="536"/>
    <x v="121"/>
    <x v="6"/>
    <x v="0"/>
    <x v="0"/>
    <x v="21"/>
    <n v="31"/>
    <n v="4100"/>
    <n v="20"/>
    <n v="127100"/>
    <x v="516"/>
    <x v="0"/>
    <x v="3"/>
    <x v="2"/>
    <x v="1"/>
    <s v="03/2023"/>
    <x v="2"/>
    <s v="Moyenne"/>
  </r>
  <r>
    <n v="537"/>
    <x v="95"/>
    <x v="1"/>
    <x v="0"/>
    <x v="2"/>
    <x v="23"/>
    <n v="29"/>
    <n v="5200"/>
    <n v="0"/>
    <n v="150800"/>
    <x v="517"/>
    <x v="0"/>
    <x v="0"/>
    <x v="9"/>
    <x v="0"/>
    <s v="01/2024"/>
    <x v="2"/>
    <s v="Moyenne"/>
  </r>
  <r>
    <n v="538"/>
    <x v="39"/>
    <x v="0"/>
    <x v="3"/>
    <x v="2"/>
    <x v="2"/>
    <n v="20"/>
    <n v="5400"/>
    <n v="15"/>
    <n v="108000"/>
    <x v="518"/>
    <x v="3"/>
    <x v="1"/>
    <x v="6"/>
    <x v="0"/>
    <s v="04/2024"/>
    <x v="3"/>
    <s v="Moyenne"/>
  </r>
  <r>
    <n v="539"/>
    <x v="376"/>
    <x v="2"/>
    <x v="3"/>
    <x v="1"/>
    <x v="32"/>
    <n v="20"/>
    <n v="2600"/>
    <n v="20"/>
    <n v="52000"/>
    <x v="519"/>
    <x v="0"/>
    <x v="0"/>
    <x v="7"/>
    <x v="1"/>
    <s v="02/2023"/>
    <x v="2"/>
    <s v="Petite"/>
  </r>
  <r>
    <n v="540"/>
    <x v="377"/>
    <x v="5"/>
    <x v="0"/>
    <x v="2"/>
    <x v="23"/>
    <n v="11"/>
    <n v="4700"/>
    <n v="5"/>
    <n v="51700"/>
    <x v="520"/>
    <x v="1"/>
    <x v="0"/>
    <x v="4"/>
    <x v="0"/>
    <s v="11/2024"/>
    <x v="0"/>
    <s v="Petite"/>
  </r>
  <r>
    <n v="541"/>
    <x v="378"/>
    <x v="1"/>
    <x v="0"/>
    <x v="3"/>
    <x v="36"/>
    <n v="10"/>
    <n v="4100"/>
    <n v="0"/>
    <n v="41000"/>
    <x v="521"/>
    <x v="0"/>
    <x v="0"/>
    <x v="8"/>
    <x v="1"/>
    <s v="06/2023"/>
    <x v="3"/>
    <s v="Petite"/>
  </r>
  <r>
    <n v="542"/>
    <x v="264"/>
    <x v="8"/>
    <x v="0"/>
    <x v="3"/>
    <x v="27"/>
    <n v="49"/>
    <n v="13600"/>
    <n v="0"/>
    <n v="666400"/>
    <x v="522"/>
    <x v="0"/>
    <x v="0"/>
    <x v="4"/>
    <x v="1"/>
    <s v="11/2023"/>
    <x v="0"/>
    <s v="Grande"/>
  </r>
  <r>
    <n v="543"/>
    <x v="140"/>
    <x v="6"/>
    <x v="3"/>
    <x v="1"/>
    <x v="12"/>
    <n v="21"/>
    <n v="18400"/>
    <n v="20"/>
    <n v="386400"/>
    <x v="523"/>
    <x v="3"/>
    <x v="3"/>
    <x v="0"/>
    <x v="0"/>
    <s v="10/2024"/>
    <x v="0"/>
    <s v="Grande"/>
  </r>
  <r>
    <n v="544"/>
    <x v="379"/>
    <x v="5"/>
    <x v="0"/>
    <x v="4"/>
    <x v="15"/>
    <n v="17"/>
    <n v="8100"/>
    <n v="15"/>
    <n v="137700"/>
    <x v="524"/>
    <x v="2"/>
    <x v="2"/>
    <x v="2"/>
    <x v="0"/>
    <s v="03/2024"/>
    <x v="2"/>
    <s v="Moyenne"/>
  </r>
  <r>
    <n v="545"/>
    <x v="147"/>
    <x v="2"/>
    <x v="2"/>
    <x v="3"/>
    <x v="36"/>
    <n v="12"/>
    <n v="3600"/>
    <n v="15"/>
    <n v="43200"/>
    <x v="525"/>
    <x v="0"/>
    <x v="3"/>
    <x v="2"/>
    <x v="0"/>
    <s v="03/2024"/>
    <x v="2"/>
    <s v="Petite"/>
  </r>
  <r>
    <n v="546"/>
    <x v="83"/>
    <x v="4"/>
    <x v="3"/>
    <x v="3"/>
    <x v="6"/>
    <n v="10"/>
    <n v="9000"/>
    <n v="10"/>
    <n v="90000"/>
    <x v="291"/>
    <x v="0"/>
    <x v="3"/>
    <x v="6"/>
    <x v="0"/>
    <s v="04/2024"/>
    <x v="3"/>
    <s v="Moyenne"/>
  </r>
  <r>
    <n v="547"/>
    <x v="165"/>
    <x v="8"/>
    <x v="0"/>
    <x v="3"/>
    <x v="25"/>
    <n v="2"/>
    <n v="8100"/>
    <n v="20"/>
    <n v="16200"/>
    <x v="526"/>
    <x v="0"/>
    <x v="3"/>
    <x v="4"/>
    <x v="0"/>
    <s v="11/2024"/>
    <x v="0"/>
    <s v="Petite"/>
  </r>
  <r>
    <n v="548"/>
    <x v="227"/>
    <x v="5"/>
    <x v="2"/>
    <x v="1"/>
    <x v="9"/>
    <n v="44"/>
    <n v="8500"/>
    <n v="10"/>
    <n v="374000"/>
    <x v="527"/>
    <x v="0"/>
    <x v="1"/>
    <x v="5"/>
    <x v="0"/>
    <s v="09/2024"/>
    <x v="1"/>
    <s v="Grande"/>
  </r>
  <r>
    <n v="549"/>
    <x v="380"/>
    <x v="3"/>
    <x v="1"/>
    <x v="0"/>
    <x v="10"/>
    <n v="43"/>
    <n v="25900"/>
    <n v="0"/>
    <n v="1113700"/>
    <x v="528"/>
    <x v="0"/>
    <x v="1"/>
    <x v="0"/>
    <x v="1"/>
    <s v="10/2023"/>
    <x v="0"/>
    <s v="Grande"/>
  </r>
  <r>
    <n v="550"/>
    <x v="381"/>
    <x v="5"/>
    <x v="0"/>
    <x v="4"/>
    <x v="26"/>
    <n v="37"/>
    <n v="38800"/>
    <n v="15"/>
    <n v="1435600"/>
    <x v="529"/>
    <x v="0"/>
    <x v="2"/>
    <x v="7"/>
    <x v="1"/>
    <s v="02/2023"/>
    <x v="2"/>
    <s v="Grande"/>
  </r>
  <r>
    <n v="551"/>
    <x v="382"/>
    <x v="2"/>
    <x v="5"/>
    <x v="3"/>
    <x v="7"/>
    <n v="15"/>
    <n v="20100"/>
    <n v="0"/>
    <n v="301500"/>
    <x v="530"/>
    <x v="0"/>
    <x v="0"/>
    <x v="11"/>
    <x v="0"/>
    <s v="05/2024"/>
    <x v="3"/>
    <s v="Grande"/>
  </r>
  <r>
    <n v="552"/>
    <x v="210"/>
    <x v="8"/>
    <x v="0"/>
    <x v="4"/>
    <x v="35"/>
    <n v="48"/>
    <n v="94100"/>
    <n v="20"/>
    <n v="4516800"/>
    <x v="531"/>
    <x v="3"/>
    <x v="2"/>
    <x v="7"/>
    <x v="1"/>
    <s v="02/2023"/>
    <x v="2"/>
    <s v="Grande"/>
  </r>
  <r>
    <n v="553"/>
    <x v="112"/>
    <x v="1"/>
    <x v="3"/>
    <x v="0"/>
    <x v="4"/>
    <n v="20"/>
    <n v="37900"/>
    <n v="10"/>
    <n v="758000"/>
    <x v="532"/>
    <x v="0"/>
    <x v="1"/>
    <x v="9"/>
    <x v="0"/>
    <s v="01/2024"/>
    <x v="2"/>
    <s v="Grande"/>
  </r>
  <r>
    <n v="554"/>
    <x v="108"/>
    <x v="0"/>
    <x v="4"/>
    <x v="3"/>
    <x v="25"/>
    <n v="34"/>
    <n v="7100"/>
    <n v="10"/>
    <n v="241400"/>
    <x v="533"/>
    <x v="1"/>
    <x v="1"/>
    <x v="0"/>
    <x v="1"/>
    <s v="10/2023"/>
    <x v="0"/>
    <s v="Grande"/>
  </r>
  <r>
    <n v="555"/>
    <x v="383"/>
    <x v="7"/>
    <x v="0"/>
    <x v="3"/>
    <x v="27"/>
    <n v="45"/>
    <n v="12800"/>
    <n v="0"/>
    <n v="576000"/>
    <x v="534"/>
    <x v="1"/>
    <x v="0"/>
    <x v="3"/>
    <x v="0"/>
    <s v="07/2024"/>
    <x v="1"/>
    <s v="Grande"/>
  </r>
  <r>
    <n v="556"/>
    <x v="128"/>
    <x v="2"/>
    <x v="1"/>
    <x v="3"/>
    <x v="27"/>
    <n v="35"/>
    <n v="12800"/>
    <n v="0"/>
    <n v="448000"/>
    <x v="535"/>
    <x v="3"/>
    <x v="2"/>
    <x v="6"/>
    <x v="1"/>
    <s v="04/2023"/>
    <x v="3"/>
    <s v="Grande"/>
  </r>
  <r>
    <n v="557"/>
    <x v="220"/>
    <x v="2"/>
    <x v="2"/>
    <x v="0"/>
    <x v="21"/>
    <n v="28"/>
    <n v="4900"/>
    <n v="10"/>
    <n v="137200"/>
    <x v="452"/>
    <x v="1"/>
    <x v="3"/>
    <x v="4"/>
    <x v="1"/>
    <s v="11/2023"/>
    <x v="0"/>
    <s v="Moyenne"/>
  </r>
  <r>
    <n v="558"/>
    <x v="384"/>
    <x v="9"/>
    <x v="3"/>
    <x v="2"/>
    <x v="23"/>
    <n v="48"/>
    <n v="5200"/>
    <n v="5"/>
    <n v="249600"/>
    <x v="536"/>
    <x v="0"/>
    <x v="2"/>
    <x v="6"/>
    <x v="1"/>
    <s v="04/2023"/>
    <x v="3"/>
    <s v="Grande"/>
  </r>
  <r>
    <n v="559"/>
    <x v="134"/>
    <x v="1"/>
    <x v="0"/>
    <x v="0"/>
    <x v="4"/>
    <n v="20"/>
    <n v="36000"/>
    <n v="0"/>
    <n v="720000"/>
    <x v="537"/>
    <x v="0"/>
    <x v="1"/>
    <x v="4"/>
    <x v="0"/>
    <s v="11/2024"/>
    <x v="0"/>
    <s v="Grande"/>
  </r>
  <r>
    <n v="560"/>
    <x v="220"/>
    <x v="1"/>
    <x v="2"/>
    <x v="3"/>
    <x v="6"/>
    <n v="30"/>
    <n v="9100"/>
    <n v="0"/>
    <n v="273000"/>
    <x v="538"/>
    <x v="0"/>
    <x v="1"/>
    <x v="4"/>
    <x v="1"/>
    <s v="11/2023"/>
    <x v="0"/>
    <s v="Grande"/>
  </r>
  <r>
    <n v="561"/>
    <x v="385"/>
    <x v="9"/>
    <x v="4"/>
    <x v="2"/>
    <x v="16"/>
    <n v="6"/>
    <n v="10600"/>
    <n v="15"/>
    <n v="63600"/>
    <x v="539"/>
    <x v="0"/>
    <x v="1"/>
    <x v="9"/>
    <x v="0"/>
    <s v="01/2024"/>
    <x v="2"/>
    <s v="Moyenne"/>
  </r>
  <r>
    <n v="562"/>
    <x v="386"/>
    <x v="3"/>
    <x v="1"/>
    <x v="2"/>
    <x v="2"/>
    <n v="45"/>
    <n v="6000"/>
    <n v="10"/>
    <n v="270000"/>
    <x v="540"/>
    <x v="1"/>
    <x v="0"/>
    <x v="2"/>
    <x v="1"/>
    <s v="03/2023"/>
    <x v="2"/>
    <s v="Grande"/>
  </r>
  <r>
    <n v="563"/>
    <x v="387"/>
    <x v="4"/>
    <x v="0"/>
    <x v="3"/>
    <x v="25"/>
    <n v="4"/>
    <n v="6900"/>
    <n v="0"/>
    <n v="27600"/>
    <x v="541"/>
    <x v="2"/>
    <x v="3"/>
    <x v="0"/>
    <x v="0"/>
    <s v="10/2024"/>
    <x v="0"/>
    <s v="Petite"/>
  </r>
  <r>
    <n v="564"/>
    <x v="388"/>
    <x v="7"/>
    <x v="0"/>
    <x v="2"/>
    <x v="38"/>
    <n v="41"/>
    <n v="14800"/>
    <n v="10"/>
    <n v="606800"/>
    <x v="542"/>
    <x v="0"/>
    <x v="3"/>
    <x v="2"/>
    <x v="0"/>
    <s v="03/2024"/>
    <x v="2"/>
    <s v="Grande"/>
  </r>
  <r>
    <n v="565"/>
    <x v="389"/>
    <x v="3"/>
    <x v="3"/>
    <x v="3"/>
    <x v="6"/>
    <n v="45"/>
    <n v="9600"/>
    <n v="15"/>
    <n v="432000"/>
    <x v="122"/>
    <x v="0"/>
    <x v="0"/>
    <x v="10"/>
    <x v="1"/>
    <s v="12/2023"/>
    <x v="0"/>
    <s v="Grande"/>
  </r>
  <r>
    <n v="566"/>
    <x v="390"/>
    <x v="8"/>
    <x v="3"/>
    <x v="3"/>
    <x v="19"/>
    <n v="19"/>
    <n v="2100"/>
    <n v="0"/>
    <n v="39900"/>
    <x v="543"/>
    <x v="1"/>
    <x v="1"/>
    <x v="3"/>
    <x v="0"/>
    <s v="07/2024"/>
    <x v="1"/>
    <s v="Petite"/>
  </r>
  <r>
    <n v="567"/>
    <x v="146"/>
    <x v="0"/>
    <x v="1"/>
    <x v="3"/>
    <x v="20"/>
    <n v="17"/>
    <n v="6700"/>
    <n v="20"/>
    <n v="113900"/>
    <x v="544"/>
    <x v="0"/>
    <x v="4"/>
    <x v="4"/>
    <x v="1"/>
    <s v="11/2023"/>
    <x v="0"/>
    <s v="Moyenne"/>
  </r>
  <r>
    <n v="568"/>
    <x v="391"/>
    <x v="6"/>
    <x v="4"/>
    <x v="4"/>
    <x v="26"/>
    <n v="42"/>
    <n v="42900"/>
    <n v="0"/>
    <n v="1801800"/>
    <x v="545"/>
    <x v="0"/>
    <x v="1"/>
    <x v="10"/>
    <x v="0"/>
    <s v="12/2024"/>
    <x v="0"/>
    <s v="Grande"/>
  </r>
  <r>
    <n v="569"/>
    <x v="392"/>
    <x v="4"/>
    <x v="1"/>
    <x v="0"/>
    <x v="10"/>
    <n v="27"/>
    <n v="26000"/>
    <n v="0"/>
    <n v="702000"/>
    <x v="546"/>
    <x v="0"/>
    <x v="3"/>
    <x v="2"/>
    <x v="1"/>
    <s v="03/2023"/>
    <x v="2"/>
    <s v="Grande"/>
  </r>
  <r>
    <n v="570"/>
    <x v="228"/>
    <x v="3"/>
    <x v="3"/>
    <x v="1"/>
    <x v="32"/>
    <n v="23"/>
    <n v="2400"/>
    <n v="10"/>
    <n v="55200"/>
    <x v="547"/>
    <x v="0"/>
    <x v="2"/>
    <x v="4"/>
    <x v="1"/>
    <s v="11/2023"/>
    <x v="0"/>
    <s v="Petite"/>
  </r>
  <r>
    <n v="571"/>
    <x v="250"/>
    <x v="8"/>
    <x v="0"/>
    <x v="2"/>
    <x v="3"/>
    <n v="10"/>
    <n v="1900"/>
    <n v="0"/>
    <n v="19000"/>
    <x v="237"/>
    <x v="1"/>
    <x v="0"/>
    <x v="11"/>
    <x v="1"/>
    <s v="05/2023"/>
    <x v="3"/>
    <s v="Petite"/>
  </r>
  <r>
    <n v="572"/>
    <x v="21"/>
    <x v="5"/>
    <x v="3"/>
    <x v="2"/>
    <x v="16"/>
    <n v="45"/>
    <n v="8700"/>
    <n v="5"/>
    <n v="391500"/>
    <x v="548"/>
    <x v="1"/>
    <x v="3"/>
    <x v="7"/>
    <x v="1"/>
    <s v="02/2023"/>
    <x v="2"/>
    <s v="Grande"/>
  </r>
  <r>
    <n v="573"/>
    <x v="393"/>
    <x v="1"/>
    <x v="2"/>
    <x v="2"/>
    <x v="3"/>
    <n v="34"/>
    <n v="1700"/>
    <n v="10"/>
    <n v="57800"/>
    <x v="549"/>
    <x v="1"/>
    <x v="4"/>
    <x v="6"/>
    <x v="0"/>
    <s v="04/2024"/>
    <x v="3"/>
    <s v="Moyenne"/>
  </r>
  <r>
    <n v="574"/>
    <x v="176"/>
    <x v="1"/>
    <x v="1"/>
    <x v="3"/>
    <x v="20"/>
    <n v="4"/>
    <n v="6300"/>
    <n v="0"/>
    <n v="25200"/>
    <x v="550"/>
    <x v="0"/>
    <x v="3"/>
    <x v="11"/>
    <x v="1"/>
    <s v="05/2023"/>
    <x v="3"/>
    <s v="Petite"/>
  </r>
  <r>
    <n v="575"/>
    <x v="394"/>
    <x v="1"/>
    <x v="0"/>
    <x v="4"/>
    <x v="17"/>
    <n v="43"/>
    <n v="122600"/>
    <n v="0"/>
    <n v="5271800"/>
    <x v="551"/>
    <x v="0"/>
    <x v="0"/>
    <x v="6"/>
    <x v="0"/>
    <s v="04/2024"/>
    <x v="3"/>
    <s v="Grande"/>
  </r>
  <r>
    <n v="576"/>
    <x v="374"/>
    <x v="7"/>
    <x v="4"/>
    <x v="4"/>
    <x v="8"/>
    <n v="32"/>
    <n v="73200"/>
    <n v="0"/>
    <n v="2342400"/>
    <x v="552"/>
    <x v="2"/>
    <x v="0"/>
    <x v="0"/>
    <x v="1"/>
    <s v="10/2023"/>
    <x v="0"/>
    <s v="Grande"/>
  </r>
  <r>
    <n v="577"/>
    <x v="48"/>
    <x v="2"/>
    <x v="1"/>
    <x v="3"/>
    <x v="20"/>
    <n v="34"/>
    <n v="5900"/>
    <n v="5"/>
    <n v="200600"/>
    <x v="553"/>
    <x v="0"/>
    <x v="2"/>
    <x v="3"/>
    <x v="1"/>
    <s v="07/2023"/>
    <x v="1"/>
    <s v="Moyenne"/>
  </r>
  <r>
    <n v="578"/>
    <x v="395"/>
    <x v="1"/>
    <x v="2"/>
    <x v="0"/>
    <x v="39"/>
    <n v="16"/>
    <n v="8500"/>
    <n v="20"/>
    <n v="136000"/>
    <x v="554"/>
    <x v="3"/>
    <x v="3"/>
    <x v="0"/>
    <x v="1"/>
    <s v="10/2023"/>
    <x v="0"/>
    <s v="Moyenne"/>
  </r>
  <r>
    <n v="579"/>
    <x v="27"/>
    <x v="4"/>
    <x v="1"/>
    <x v="1"/>
    <x v="32"/>
    <n v="22"/>
    <n v="2400"/>
    <n v="0"/>
    <n v="52800"/>
    <x v="555"/>
    <x v="2"/>
    <x v="1"/>
    <x v="2"/>
    <x v="1"/>
    <s v="03/2023"/>
    <x v="2"/>
    <s v="Moyenne"/>
  </r>
  <r>
    <n v="580"/>
    <x v="200"/>
    <x v="2"/>
    <x v="3"/>
    <x v="2"/>
    <x v="23"/>
    <n v="10"/>
    <n v="4600"/>
    <n v="10"/>
    <n v="46000"/>
    <x v="272"/>
    <x v="0"/>
    <x v="3"/>
    <x v="9"/>
    <x v="0"/>
    <s v="01/2024"/>
    <x v="2"/>
    <s v="Petite"/>
  </r>
  <r>
    <n v="581"/>
    <x v="396"/>
    <x v="8"/>
    <x v="3"/>
    <x v="2"/>
    <x v="3"/>
    <n v="38"/>
    <n v="1900"/>
    <n v="20"/>
    <n v="72200"/>
    <x v="556"/>
    <x v="0"/>
    <x v="1"/>
    <x v="6"/>
    <x v="1"/>
    <s v="04/2023"/>
    <x v="3"/>
    <s v="Moyenne"/>
  </r>
  <r>
    <n v="582"/>
    <x v="353"/>
    <x v="4"/>
    <x v="3"/>
    <x v="2"/>
    <x v="23"/>
    <n v="50"/>
    <n v="5500"/>
    <n v="0"/>
    <n v="275000"/>
    <x v="557"/>
    <x v="0"/>
    <x v="1"/>
    <x v="11"/>
    <x v="1"/>
    <s v="05/2023"/>
    <x v="3"/>
    <s v="Grande"/>
  </r>
  <r>
    <n v="583"/>
    <x v="397"/>
    <x v="2"/>
    <x v="3"/>
    <x v="1"/>
    <x v="12"/>
    <n v="10"/>
    <n v="17600"/>
    <n v="5"/>
    <n v="176000"/>
    <x v="558"/>
    <x v="1"/>
    <x v="3"/>
    <x v="4"/>
    <x v="1"/>
    <s v="11/2023"/>
    <x v="0"/>
    <s v="Moyenne"/>
  </r>
  <r>
    <n v="584"/>
    <x v="398"/>
    <x v="4"/>
    <x v="1"/>
    <x v="0"/>
    <x v="22"/>
    <n v="7"/>
    <n v="13100"/>
    <n v="20"/>
    <n v="91700"/>
    <x v="559"/>
    <x v="0"/>
    <x v="0"/>
    <x v="7"/>
    <x v="0"/>
    <s v="02/2024"/>
    <x v="2"/>
    <s v="Moyenne"/>
  </r>
  <r>
    <n v="585"/>
    <x v="399"/>
    <x v="9"/>
    <x v="2"/>
    <x v="3"/>
    <x v="33"/>
    <n v="15"/>
    <n v="4700"/>
    <n v="0"/>
    <n v="70500"/>
    <x v="560"/>
    <x v="1"/>
    <x v="3"/>
    <x v="5"/>
    <x v="0"/>
    <s v="09/2024"/>
    <x v="1"/>
    <s v="Moyenne"/>
  </r>
  <r>
    <n v="586"/>
    <x v="184"/>
    <x v="8"/>
    <x v="4"/>
    <x v="3"/>
    <x v="36"/>
    <n v="24"/>
    <n v="4100"/>
    <n v="5"/>
    <n v="98400"/>
    <x v="561"/>
    <x v="0"/>
    <x v="2"/>
    <x v="11"/>
    <x v="0"/>
    <s v="05/2024"/>
    <x v="3"/>
    <s v="Moyenne"/>
  </r>
  <r>
    <n v="587"/>
    <x v="294"/>
    <x v="6"/>
    <x v="4"/>
    <x v="2"/>
    <x v="3"/>
    <n v="49"/>
    <n v="1600"/>
    <n v="5"/>
    <n v="78400"/>
    <x v="51"/>
    <x v="3"/>
    <x v="3"/>
    <x v="6"/>
    <x v="0"/>
    <s v="04/2024"/>
    <x v="3"/>
    <s v="Moyenne"/>
  </r>
  <r>
    <n v="588"/>
    <x v="400"/>
    <x v="5"/>
    <x v="4"/>
    <x v="1"/>
    <x v="12"/>
    <n v="29"/>
    <n v="20400"/>
    <n v="15"/>
    <n v="591600"/>
    <x v="562"/>
    <x v="2"/>
    <x v="2"/>
    <x v="1"/>
    <x v="1"/>
    <s v="08/2023"/>
    <x v="1"/>
    <s v="Grande"/>
  </r>
  <r>
    <n v="589"/>
    <x v="129"/>
    <x v="8"/>
    <x v="4"/>
    <x v="4"/>
    <x v="29"/>
    <n v="39"/>
    <n v="19700"/>
    <n v="15"/>
    <n v="768300"/>
    <x v="563"/>
    <x v="1"/>
    <x v="2"/>
    <x v="4"/>
    <x v="1"/>
    <s v="11/2023"/>
    <x v="0"/>
    <s v="Grande"/>
  </r>
  <r>
    <n v="590"/>
    <x v="255"/>
    <x v="7"/>
    <x v="3"/>
    <x v="3"/>
    <x v="20"/>
    <n v="29"/>
    <n v="6700"/>
    <n v="0"/>
    <n v="194300"/>
    <x v="564"/>
    <x v="0"/>
    <x v="0"/>
    <x v="4"/>
    <x v="1"/>
    <s v="11/2023"/>
    <x v="0"/>
    <s v="Moyenne"/>
  </r>
  <r>
    <n v="591"/>
    <x v="401"/>
    <x v="2"/>
    <x v="1"/>
    <x v="1"/>
    <x v="9"/>
    <n v="41"/>
    <n v="9300"/>
    <n v="0"/>
    <n v="381300"/>
    <x v="565"/>
    <x v="3"/>
    <x v="1"/>
    <x v="8"/>
    <x v="0"/>
    <s v="06/2024"/>
    <x v="3"/>
    <s v="Grande"/>
  </r>
  <r>
    <n v="592"/>
    <x v="96"/>
    <x v="7"/>
    <x v="2"/>
    <x v="0"/>
    <x v="5"/>
    <n v="19"/>
    <n v="3300"/>
    <n v="15"/>
    <n v="62700"/>
    <x v="566"/>
    <x v="0"/>
    <x v="0"/>
    <x v="2"/>
    <x v="0"/>
    <s v="03/2024"/>
    <x v="2"/>
    <s v="Moyenne"/>
  </r>
  <r>
    <n v="593"/>
    <x v="17"/>
    <x v="6"/>
    <x v="1"/>
    <x v="4"/>
    <x v="8"/>
    <n v="8"/>
    <n v="70200"/>
    <n v="5"/>
    <n v="561600"/>
    <x v="567"/>
    <x v="0"/>
    <x v="4"/>
    <x v="8"/>
    <x v="0"/>
    <s v="06/2024"/>
    <x v="3"/>
    <s v="Grande"/>
  </r>
  <r>
    <n v="594"/>
    <x v="402"/>
    <x v="3"/>
    <x v="1"/>
    <x v="1"/>
    <x v="12"/>
    <n v="46"/>
    <n v="18200"/>
    <n v="0"/>
    <n v="837200"/>
    <x v="568"/>
    <x v="2"/>
    <x v="4"/>
    <x v="7"/>
    <x v="0"/>
    <s v="02/2024"/>
    <x v="2"/>
    <s v="Grande"/>
  </r>
  <r>
    <n v="595"/>
    <x v="149"/>
    <x v="3"/>
    <x v="4"/>
    <x v="1"/>
    <x v="14"/>
    <n v="29"/>
    <n v="111400"/>
    <n v="10"/>
    <n v="3230600"/>
    <x v="569"/>
    <x v="0"/>
    <x v="0"/>
    <x v="5"/>
    <x v="1"/>
    <s v="09/2023"/>
    <x v="1"/>
    <s v="Grande"/>
  </r>
  <r>
    <n v="596"/>
    <x v="207"/>
    <x v="7"/>
    <x v="3"/>
    <x v="3"/>
    <x v="6"/>
    <n v="25"/>
    <n v="9700"/>
    <n v="0"/>
    <n v="242500"/>
    <x v="570"/>
    <x v="0"/>
    <x v="1"/>
    <x v="10"/>
    <x v="0"/>
    <s v="12/2024"/>
    <x v="0"/>
    <s v="Grande"/>
  </r>
  <r>
    <n v="597"/>
    <x v="403"/>
    <x v="6"/>
    <x v="4"/>
    <x v="2"/>
    <x v="13"/>
    <n v="4"/>
    <n v="4600"/>
    <n v="15"/>
    <n v="18400"/>
    <x v="571"/>
    <x v="0"/>
    <x v="3"/>
    <x v="7"/>
    <x v="0"/>
    <s v="02/2024"/>
    <x v="2"/>
    <s v="Petite"/>
  </r>
  <r>
    <n v="598"/>
    <x v="404"/>
    <x v="4"/>
    <x v="4"/>
    <x v="1"/>
    <x v="12"/>
    <n v="1"/>
    <n v="20500"/>
    <n v="0"/>
    <n v="20500"/>
    <x v="572"/>
    <x v="0"/>
    <x v="3"/>
    <x v="9"/>
    <x v="0"/>
    <s v="01/2024"/>
    <x v="2"/>
    <s v="Petite"/>
  </r>
  <r>
    <n v="599"/>
    <x v="290"/>
    <x v="8"/>
    <x v="1"/>
    <x v="3"/>
    <x v="20"/>
    <n v="32"/>
    <n v="6800"/>
    <n v="5"/>
    <n v="217600"/>
    <x v="573"/>
    <x v="0"/>
    <x v="2"/>
    <x v="6"/>
    <x v="0"/>
    <s v="04/2024"/>
    <x v="3"/>
    <s v="Grande"/>
  </r>
  <r>
    <n v="600"/>
    <x v="300"/>
    <x v="8"/>
    <x v="0"/>
    <x v="3"/>
    <x v="20"/>
    <n v="36"/>
    <n v="6200"/>
    <n v="0"/>
    <n v="223200"/>
    <x v="470"/>
    <x v="0"/>
    <x v="1"/>
    <x v="7"/>
    <x v="0"/>
    <s v="02/2024"/>
    <x v="2"/>
    <s v="Grande"/>
  </r>
  <r>
    <n v="601"/>
    <x v="405"/>
    <x v="6"/>
    <x v="0"/>
    <x v="0"/>
    <x v="4"/>
    <n v="3"/>
    <n v="32800"/>
    <n v="0"/>
    <n v="98400"/>
    <x v="574"/>
    <x v="1"/>
    <x v="4"/>
    <x v="5"/>
    <x v="1"/>
    <s v="09/2023"/>
    <x v="1"/>
    <s v="Moyenne"/>
  </r>
  <r>
    <n v="602"/>
    <x v="277"/>
    <x v="1"/>
    <x v="0"/>
    <x v="4"/>
    <x v="30"/>
    <n v="19"/>
    <n v="26300"/>
    <n v="5"/>
    <n v="499700"/>
    <x v="575"/>
    <x v="0"/>
    <x v="1"/>
    <x v="2"/>
    <x v="1"/>
    <s v="03/2023"/>
    <x v="2"/>
    <s v="Grande"/>
  </r>
  <r>
    <n v="603"/>
    <x v="319"/>
    <x v="3"/>
    <x v="0"/>
    <x v="1"/>
    <x v="32"/>
    <n v="25"/>
    <n v="2500"/>
    <n v="20"/>
    <n v="62500"/>
    <x v="576"/>
    <x v="1"/>
    <x v="2"/>
    <x v="1"/>
    <x v="0"/>
    <s v="08/2024"/>
    <x v="1"/>
    <s v="Moyenne"/>
  </r>
  <r>
    <n v="604"/>
    <x v="74"/>
    <x v="0"/>
    <x v="2"/>
    <x v="4"/>
    <x v="30"/>
    <n v="18"/>
    <n v="26100"/>
    <n v="10"/>
    <n v="469800"/>
    <x v="577"/>
    <x v="0"/>
    <x v="2"/>
    <x v="3"/>
    <x v="0"/>
    <s v="07/2024"/>
    <x v="1"/>
    <s v="Grande"/>
  </r>
  <r>
    <n v="605"/>
    <x v="406"/>
    <x v="5"/>
    <x v="3"/>
    <x v="1"/>
    <x v="14"/>
    <n v="41"/>
    <n v="125100"/>
    <n v="5"/>
    <n v="5129100"/>
    <x v="578"/>
    <x v="0"/>
    <x v="0"/>
    <x v="2"/>
    <x v="1"/>
    <s v="03/2023"/>
    <x v="2"/>
    <s v="Grande"/>
  </r>
  <r>
    <n v="606"/>
    <x v="80"/>
    <x v="9"/>
    <x v="2"/>
    <x v="4"/>
    <x v="15"/>
    <n v="37"/>
    <n v="7200"/>
    <n v="0"/>
    <n v="266400"/>
    <x v="579"/>
    <x v="3"/>
    <x v="3"/>
    <x v="8"/>
    <x v="0"/>
    <s v="06/2024"/>
    <x v="3"/>
    <s v="Grande"/>
  </r>
  <r>
    <n v="607"/>
    <x v="407"/>
    <x v="9"/>
    <x v="1"/>
    <x v="3"/>
    <x v="36"/>
    <n v="12"/>
    <n v="3900"/>
    <n v="15"/>
    <n v="46800"/>
    <x v="580"/>
    <x v="2"/>
    <x v="1"/>
    <x v="5"/>
    <x v="0"/>
    <s v="09/2024"/>
    <x v="1"/>
    <s v="Petite"/>
  </r>
  <r>
    <n v="608"/>
    <x v="408"/>
    <x v="5"/>
    <x v="0"/>
    <x v="1"/>
    <x v="18"/>
    <n v="8"/>
    <n v="86400"/>
    <n v="0"/>
    <n v="691200"/>
    <x v="581"/>
    <x v="1"/>
    <x v="1"/>
    <x v="0"/>
    <x v="1"/>
    <s v="10/2023"/>
    <x v="0"/>
    <s v="Grande"/>
  </r>
  <r>
    <n v="609"/>
    <x v="256"/>
    <x v="7"/>
    <x v="1"/>
    <x v="1"/>
    <x v="11"/>
    <n v="41"/>
    <n v="5900"/>
    <n v="15"/>
    <n v="241900"/>
    <x v="582"/>
    <x v="0"/>
    <x v="1"/>
    <x v="5"/>
    <x v="0"/>
    <s v="09/2024"/>
    <x v="1"/>
    <s v="Grande"/>
  </r>
  <r>
    <n v="610"/>
    <x v="32"/>
    <x v="4"/>
    <x v="0"/>
    <x v="0"/>
    <x v="34"/>
    <n v="21"/>
    <n v="32900"/>
    <n v="15"/>
    <n v="690900"/>
    <x v="583"/>
    <x v="1"/>
    <x v="0"/>
    <x v="0"/>
    <x v="1"/>
    <s v="10/2023"/>
    <x v="0"/>
    <s v="Grande"/>
  </r>
  <r>
    <n v="611"/>
    <x v="118"/>
    <x v="3"/>
    <x v="1"/>
    <x v="3"/>
    <x v="20"/>
    <n v="13"/>
    <n v="7200"/>
    <n v="15"/>
    <n v="93600"/>
    <x v="584"/>
    <x v="0"/>
    <x v="3"/>
    <x v="1"/>
    <x v="1"/>
    <s v="08/2023"/>
    <x v="1"/>
    <s v="Moyenne"/>
  </r>
  <r>
    <n v="612"/>
    <x v="170"/>
    <x v="8"/>
    <x v="0"/>
    <x v="2"/>
    <x v="2"/>
    <n v="30"/>
    <n v="5100"/>
    <n v="5"/>
    <n v="153000"/>
    <x v="585"/>
    <x v="2"/>
    <x v="3"/>
    <x v="11"/>
    <x v="0"/>
    <s v="05/2024"/>
    <x v="3"/>
    <s v="Moyenne"/>
  </r>
  <r>
    <n v="613"/>
    <x v="402"/>
    <x v="1"/>
    <x v="3"/>
    <x v="0"/>
    <x v="39"/>
    <n v="2"/>
    <n v="8300"/>
    <n v="20"/>
    <n v="16600"/>
    <x v="586"/>
    <x v="0"/>
    <x v="3"/>
    <x v="7"/>
    <x v="0"/>
    <s v="02/2024"/>
    <x v="2"/>
    <s v="Petite"/>
  </r>
  <r>
    <n v="614"/>
    <x v="409"/>
    <x v="0"/>
    <x v="4"/>
    <x v="0"/>
    <x v="4"/>
    <n v="25"/>
    <n v="34500"/>
    <n v="10"/>
    <n v="862500"/>
    <x v="587"/>
    <x v="0"/>
    <x v="1"/>
    <x v="10"/>
    <x v="1"/>
    <s v="12/2023"/>
    <x v="0"/>
    <s v="Grande"/>
  </r>
  <r>
    <n v="615"/>
    <x v="42"/>
    <x v="7"/>
    <x v="4"/>
    <x v="3"/>
    <x v="19"/>
    <n v="49"/>
    <n v="2500"/>
    <n v="15"/>
    <n v="122500"/>
    <x v="588"/>
    <x v="0"/>
    <x v="3"/>
    <x v="10"/>
    <x v="0"/>
    <s v="12/2024"/>
    <x v="0"/>
    <s v="Moyenne"/>
  </r>
  <r>
    <n v="616"/>
    <x v="381"/>
    <x v="4"/>
    <x v="1"/>
    <x v="1"/>
    <x v="31"/>
    <n v="24"/>
    <n v="28000"/>
    <n v="0"/>
    <n v="672000"/>
    <x v="589"/>
    <x v="0"/>
    <x v="4"/>
    <x v="7"/>
    <x v="1"/>
    <s v="02/2023"/>
    <x v="2"/>
    <s v="Grande"/>
  </r>
  <r>
    <n v="617"/>
    <x v="410"/>
    <x v="4"/>
    <x v="4"/>
    <x v="1"/>
    <x v="11"/>
    <n v="50"/>
    <n v="6600"/>
    <n v="5"/>
    <n v="330000"/>
    <x v="590"/>
    <x v="0"/>
    <x v="0"/>
    <x v="8"/>
    <x v="0"/>
    <s v="06/2024"/>
    <x v="3"/>
    <s v="Grande"/>
  </r>
  <r>
    <n v="618"/>
    <x v="411"/>
    <x v="1"/>
    <x v="1"/>
    <x v="3"/>
    <x v="6"/>
    <n v="31"/>
    <n v="9300"/>
    <n v="20"/>
    <n v="288300"/>
    <x v="591"/>
    <x v="1"/>
    <x v="3"/>
    <x v="7"/>
    <x v="0"/>
    <s v="02/2024"/>
    <x v="2"/>
    <s v="Grande"/>
  </r>
  <r>
    <n v="619"/>
    <x v="177"/>
    <x v="6"/>
    <x v="0"/>
    <x v="3"/>
    <x v="6"/>
    <n v="3"/>
    <n v="9300"/>
    <n v="0"/>
    <n v="27900"/>
    <x v="592"/>
    <x v="0"/>
    <x v="0"/>
    <x v="7"/>
    <x v="1"/>
    <s v="02/2023"/>
    <x v="2"/>
    <s v="Petite"/>
  </r>
  <r>
    <n v="620"/>
    <x v="412"/>
    <x v="1"/>
    <x v="3"/>
    <x v="1"/>
    <x v="11"/>
    <n v="3"/>
    <n v="6100"/>
    <n v="0"/>
    <n v="18300"/>
    <x v="593"/>
    <x v="0"/>
    <x v="3"/>
    <x v="4"/>
    <x v="1"/>
    <s v="11/2023"/>
    <x v="0"/>
    <s v="Petite"/>
  </r>
  <r>
    <n v="621"/>
    <x v="413"/>
    <x v="4"/>
    <x v="4"/>
    <x v="0"/>
    <x v="0"/>
    <n v="18"/>
    <n v="20900"/>
    <n v="15"/>
    <n v="376200"/>
    <x v="594"/>
    <x v="0"/>
    <x v="2"/>
    <x v="1"/>
    <x v="0"/>
    <s v="08/2024"/>
    <x v="1"/>
    <s v="Grande"/>
  </r>
  <r>
    <n v="622"/>
    <x v="414"/>
    <x v="4"/>
    <x v="4"/>
    <x v="2"/>
    <x v="16"/>
    <n v="40"/>
    <n v="8900"/>
    <n v="0"/>
    <n v="356000"/>
    <x v="595"/>
    <x v="0"/>
    <x v="0"/>
    <x v="9"/>
    <x v="1"/>
    <s v="01/2023"/>
    <x v="2"/>
    <s v="Grande"/>
  </r>
  <r>
    <n v="623"/>
    <x v="89"/>
    <x v="3"/>
    <x v="3"/>
    <x v="0"/>
    <x v="34"/>
    <n v="46"/>
    <n v="29900"/>
    <n v="0"/>
    <n v="1375400"/>
    <x v="596"/>
    <x v="1"/>
    <x v="1"/>
    <x v="5"/>
    <x v="0"/>
    <s v="09/2024"/>
    <x v="1"/>
    <s v="Grande"/>
  </r>
  <r>
    <n v="624"/>
    <x v="415"/>
    <x v="4"/>
    <x v="5"/>
    <x v="0"/>
    <x v="5"/>
    <n v="2"/>
    <n v="3200"/>
    <n v="0"/>
    <n v="6400"/>
    <x v="597"/>
    <x v="0"/>
    <x v="0"/>
    <x v="2"/>
    <x v="1"/>
    <s v="03/2023"/>
    <x v="2"/>
    <s v="Petite"/>
  </r>
  <r>
    <n v="625"/>
    <x v="416"/>
    <x v="1"/>
    <x v="0"/>
    <x v="4"/>
    <x v="29"/>
    <n v="39"/>
    <n v="17000"/>
    <n v="10"/>
    <n v="663000"/>
    <x v="598"/>
    <x v="2"/>
    <x v="2"/>
    <x v="9"/>
    <x v="0"/>
    <s v="01/2024"/>
    <x v="2"/>
    <s v="Grande"/>
  </r>
  <r>
    <n v="626"/>
    <x v="417"/>
    <x v="4"/>
    <x v="2"/>
    <x v="2"/>
    <x v="24"/>
    <n v="49"/>
    <n v="6300"/>
    <n v="0"/>
    <n v="308700"/>
    <x v="599"/>
    <x v="1"/>
    <x v="1"/>
    <x v="10"/>
    <x v="1"/>
    <s v="12/2023"/>
    <x v="0"/>
    <s v="Grande"/>
  </r>
  <r>
    <n v="627"/>
    <x v="364"/>
    <x v="8"/>
    <x v="0"/>
    <x v="4"/>
    <x v="17"/>
    <n v="46"/>
    <n v="123200"/>
    <n v="0"/>
    <n v="5667200"/>
    <x v="600"/>
    <x v="1"/>
    <x v="2"/>
    <x v="10"/>
    <x v="0"/>
    <s v="12/2024"/>
    <x v="0"/>
    <s v="Grande"/>
  </r>
  <r>
    <n v="628"/>
    <x v="151"/>
    <x v="6"/>
    <x v="3"/>
    <x v="0"/>
    <x v="39"/>
    <n v="45"/>
    <n v="8000"/>
    <n v="20"/>
    <n v="360000"/>
    <x v="95"/>
    <x v="2"/>
    <x v="3"/>
    <x v="1"/>
    <x v="1"/>
    <s v="08/2023"/>
    <x v="1"/>
    <s v="Grande"/>
  </r>
  <r>
    <n v="629"/>
    <x v="129"/>
    <x v="8"/>
    <x v="1"/>
    <x v="1"/>
    <x v="14"/>
    <n v="23"/>
    <n v="122300"/>
    <n v="0"/>
    <n v="2812900"/>
    <x v="601"/>
    <x v="0"/>
    <x v="1"/>
    <x v="4"/>
    <x v="1"/>
    <s v="11/2023"/>
    <x v="0"/>
    <s v="Grande"/>
  </r>
  <r>
    <n v="630"/>
    <x v="201"/>
    <x v="9"/>
    <x v="3"/>
    <x v="2"/>
    <x v="24"/>
    <n v="46"/>
    <n v="5500"/>
    <n v="10"/>
    <n v="253000"/>
    <x v="602"/>
    <x v="1"/>
    <x v="3"/>
    <x v="10"/>
    <x v="1"/>
    <s v="12/2023"/>
    <x v="0"/>
    <s v="Grande"/>
  </r>
  <r>
    <n v="631"/>
    <x v="2"/>
    <x v="0"/>
    <x v="2"/>
    <x v="3"/>
    <x v="36"/>
    <n v="27"/>
    <n v="3800"/>
    <n v="10"/>
    <n v="102600"/>
    <x v="603"/>
    <x v="0"/>
    <x v="1"/>
    <x v="0"/>
    <x v="0"/>
    <s v="10/2024"/>
    <x v="0"/>
    <s v="Moyenne"/>
  </r>
  <r>
    <n v="632"/>
    <x v="302"/>
    <x v="8"/>
    <x v="1"/>
    <x v="1"/>
    <x v="11"/>
    <n v="45"/>
    <n v="5700"/>
    <n v="10"/>
    <n v="256500"/>
    <x v="604"/>
    <x v="0"/>
    <x v="2"/>
    <x v="10"/>
    <x v="1"/>
    <s v="12/2023"/>
    <x v="0"/>
    <s v="Grande"/>
  </r>
  <r>
    <n v="633"/>
    <x v="418"/>
    <x v="2"/>
    <x v="4"/>
    <x v="2"/>
    <x v="24"/>
    <n v="46"/>
    <n v="6000"/>
    <n v="0"/>
    <n v="276000"/>
    <x v="605"/>
    <x v="0"/>
    <x v="2"/>
    <x v="10"/>
    <x v="1"/>
    <s v="12/2023"/>
    <x v="0"/>
    <s v="Grande"/>
  </r>
  <r>
    <n v="634"/>
    <x v="69"/>
    <x v="9"/>
    <x v="1"/>
    <x v="0"/>
    <x v="10"/>
    <n v="12"/>
    <n v="31000"/>
    <n v="0"/>
    <n v="372000"/>
    <x v="606"/>
    <x v="0"/>
    <x v="2"/>
    <x v="1"/>
    <x v="0"/>
    <s v="08/2024"/>
    <x v="1"/>
    <s v="Grande"/>
  </r>
  <r>
    <n v="635"/>
    <x v="350"/>
    <x v="0"/>
    <x v="3"/>
    <x v="4"/>
    <x v="15"/>
    <n v="43"/>
    <n v="7700"/>
    <n v="0"/>
    <n v="331100"/>
    <x v="607"/>
    <x v="0"/>
    <x v="1"/>
    <x v="6"/>
    <x v="0"/>
    <s v="04/2024"/>
    <x v="3"/>
    <s v="Grande"/>
  </r>
  <r>
    <n v="636"/>
    <x v="152"/>
    <x v="9"/>
    <x v="0"/>
    <x v="2"/>
    <x v="13"/>
    <n v="19"/>
    <n v="4300"/>
    <n v="0"/>
    <n v="81700"/>
    <x v="608"/>
    <x v="0"/>
    <x v="2"/>
    <x v="11"/>
    <x v="1"/>
    <s v="05/2023"/>
    <x v="3"/>
    <s v="Moyenne"/>
  </r>
  <r>
    <n v="637"/>
    <x v="419"/>
    <x v="3"/>
    <x v="2"/>
    <x v="3"/>
    <x v="7"/>
    <n v="28"/>
    <n v="24900"/>
    <n v="0"/>
    <n v="697200"/>
    <x v="609"/>
    <x v="1"/>
    <x v="3"/>
    <x v="3"/>
    <x v="1"/>
    <s v="07/2023"/>
    <x v="1"/>
    <s v="Grande"/>
  </r>
  <r>
    <n v="638"/>
    <x v="193"/>
    <x v="1"/>
    <x v="3"/>
    <x v="3"/>
    <x v="25"/>
    <n v="19"/>
    <n v="8300"/>
    <n v="0"/>
    <n v="157700"/>
    <x v="610"/>
    <x v="0"/>
    <x v="0"/>
    <x v="1"/>
    <x v="0"/>
    <s v="08/2024"/>
    <x v="1"/>
    <s v="Moyenne"/>
  </r>
  <r>
    <n v="639"/>
    <x v="344"/>
    <x v="2"/>
    <x v="2"/>
    <x v="1"/>
    <x v="32"/>
    <n v="16"/>
    <n v="2800"/>
    <n v="15"/>
    <n v="44800"/>
    <x v="611"/>
    <x v="0"/>
    <x v="2"/>
    <x v="10"/>
    <x v="0"/>
    <s v="12/2024"/>
    <x v="0"/>
    <s v="Petite"/>
  </r>
  <r>
    <n v="640"/>
    <x v="420"/>
    <x v="7"/>
    <x v="1"/>
    <x v="4"/>
    <x v="29"/>
    <n v="43"/>
    <n v="18700"/>
    <n v="0"/>
    <n v="804100"/>
    <x v="612"/>
    <x v="0"/>
    <x v="1"/>
    <x v="4"/>
    <x v="1"/>
    <s v="11/2023"/>
    <x v="0"/>
    <s v="Grande"/>
  </r>
  <r>
    <n v="641"/>
    <x v="335"/>
    <x v="7"/>
    <x v="2"/>
    <x v="4"/>
    <x v="30"/>
    <n v="43"/>
    <n v="27200"/>
    <n v="0"/>
    <n v="1169600"/>
    <x v="613"/>
    <x v="0"/>
    <x v="0"/>
    <x v="3"/>
    <x v="0"/>
    <s v="07/2024"/>
    <x v="1"/>
    <s v="Grande"/>
  </r>
  <r>
    <n v="642"/>
    <x v="67"/>
    <x v="1"/>
    <x v="4"/>
    <x v="4"/>
    <x v="29"/>
    <n v="9"/>
    <n v="20600"/>
    <n v="20"/>
    <n v="185400"/>
    <x v="614"/>
    <x v="0"/>
    <x v="2"/>
    <x v="0"/>
    <x v="0"/>
    <s v="10/2024"/>
    <x v="0"/>
    <s v="Moyenne"/>
  </r>
  <r>
    <n v="643"/>
    <x v="421"/>
    <x v="9"/>
    <x v="1"/>
    <x v="3"/>
    <x v="6"/>
    <n v="28"/>
    <n v="9900"/>
    <n v="5"/>
    <n v="277200"/>
    <x v="615"/>
    <x v="0"/>
    <x v="2"/>
    <x v="6"/>
    <x v="0"/>
    <s v="04/2024"/>
    <x v="3"/>
    <s v="Grande"/>
  </r>
  <r>
    <n v="644"/>
    <x v="422"/>
    <x v="5"/>
    <x v="4"/>
    <x v="4"/>
    <x v="35"/>
    <n v="47"/>
    <n v="99200"/>
    <n v="5"/>
    <n v="4662400"/>
    <x v="616"/>
    <x v="0"/>
    <x v="3"/>
    <x v="10"/>
    <x v="1"/>
    <s v="12/2023"/>
    <x v="0"/>
    <s v="Grande"/>
  </r>
  <r>
    <n v="645"/>
    <x v="57"/>
    <x v="9"/>
    <x v="2"/>
    <x v="1"/>
    <x v="18"/>
    <n v="46"/>
    <n v="88600"/>
    <n v="15"/>
    <n v="4075600"/>
    <x v="617"/>
    <x v="0"/>
    <x v="2"/>
    <x v="3"/>
    <x v="0"/>
    <s v="07/2024"/>
    <x v="1"/>
    <s v="Grande"/>
  </r>
  <r>
    <n v="646"/>
    <x v="423"/>
    <x v="6"/>
    <x v="3"/>
    <x v="0"/>
    <x v="5"/>
    <n v="34"/>
    <n v="3600"/>
    <n v="0"/>
    <n v="122400"/>
    <x v="618"/>
    <x v="2"/>
    <x v="0"/>
    <x v="2"/>
    <x v="1"/>
    <s v="03/2023"/>
    <x v="2"/>
    <s v="Moyenne"/>
  </r>
  <r>
    <n v="647"/>
    <x v="199"/>
    <x v="0"/>
    <x v="3"/>
    <x v="3"/>
    <x v="7"/>
    <n v="22"/>
    <n v="23200"/>
    <n v="5"/>
    <n v="510400"/>
    <x v="619"/>
    <x v="0"/>
    <x v="0"/>
    <x v="6"/>
    <x v="0"/>
    <s v="04/2024"/>
    <x v="3"/>
    <s v="Grande"/>
  </r>
  <r>
    <n v="648"/>
    <x v="224"/>
    <x v="2"/>
    <x v="1"/>
    <x v="3"/>
    <x v="27"/>
    <n v="19"/>
    <n v="12100"/>
    <n v="15"/>
    <n v="229900"/>
    <x v="620"/>
    <x v="0"/>
    <x v="0"/>
    <x v="5"/>
    <x v="0"/>
    <s v="09/2024"/>
    <x v="1"/>
    <s v="Moyenne"/>
  </r>
  <r>
    <n v="649"/>
    <x v="372"/>
    <x v="4"/>
    <x v="3"/>
    <x v="0"/>
    <x v="4"/>
    <n v="38"/>
    <n v="37000"/>
    <n v="15"/>
    <n v="1406000"/>
    <x v="621"/>
    <x v="0"/>
    <x v="0"/>
    <x v="2"/>
    <x v="0"/>
    <s v="03/2024"/>
    <x v="2"/>
    <s v="Grande"/>
  </r>
  <r>
    <n v="650"/>
    <x v="369"/>
    <x v="9"/>
    <x v="0"/>
    <x v="0"/>
    <x v="5"/>
    <n v="33"/>
    <n v="3200"/>
    <n v="0"/>
    <n v="105600"/>
    <x v="622"/>
    <x v="0"/>
    <x v="3"/>
    <x v="0"/>
    <x v="1"/>
    <s v="10/2023"/>
    <x v="0"/>
    <s v="Moyenne"/>
  </r>
  <r>
    <n v="651"/>
    <x v="424"/>
    <x v="9"/>
    <x v="2"/>
    <x v="0"/>
    <x v="34"/>
    <n v="8"/>
    <n v="28900"/>
    <n v="15"/>
    <n v="231200"/>
    <x v="623"/>
    <x v="0"/>
    <x v="1"/>
    <x v="11"/>
    <x v="1"/>
    <s v="05/2023"/>
    <x v="3"/>
    <s v="Moyenne"/>
  </r>
  <r>
    <n v="652"/>
    <x v="425"/>
    <x v="3"/>
    <x v="4"/>
    <x v="0"/>
    <x v="0"/>
    <n v="34"/>
    <n v="22500"/>
    <n v="0"/>
    <n v="765000"/>
    <x v="624"/>
    <x v="2"/>
    <x v="3"/>
    <x v="7"/>
    <x v="0"/>
    <s v="02/2024"/>
    <x v="2"/>
    <s v="Grande"/>
  </r>
  <r>
    <n v="653"/>
    <x v="426"/>
    <x v="9"/>
    <x v="4"/>
    <x v="4"/>
    <x v="29"/>
    <n v="16"/>
    <n v="19700"/>
    <n v="0"/>
    <n v="315200"/>
    <x v="625"/>
    <x v="1"/>
    <x v="1"/>
    <x v="11"/>
    <x v="1"/>
    <s v="05/2023"/>
    <x v="3"/>
    <s v="Grande"/>
  </r>
  <r>
    <n v="654"/>
    <x v="413"/>
    <x v="3"/>
    <x v="0"/>
    <x v="0"/>
    <x v="10"/>
    <n v="30"/>
    <n v="25600"/>
    <n v="5"/>
    <n v="768000"/>
    <x v="626"/>
    <x v="0"/>
    <x v="3"/>
    <x v="1"/>
    <x v="0"/>
    <s v="08/2024"/>
    <x v="1"/>
    <s v="Grande"/>
  </r>
  <r>
    <n v="655"/>
    <x v="427"/>
    <x v="5"/>
    <x v="1"/>
    <x v="4"/>
    <x v="28"/>
    <n v="34"/>
    <n v="11600"/>
    <n v="0"/>
    <n v="394400"/>
    <x v="627"/>
    <x v="2"/>
    <x v="0"/>
    <x v="8"/>
    <x v="0"/>
    <s v="06/2024"/>
    <x v="3"/>
    <s v="Grande"/>
  </r>
  <r>
    <n v="656"/>
    <x v="22"/>
    <x v="7"/>
    <x v="2"/>
    <x v="3"/>
    <x v="20"/>
    <n v="35"/>
    <n v="6000"/>
    <n v="10"/>
    <n v="210000"/>
    <x v="628"/>
    <x v="0"/>
    <x v="2"/>
    <x v="6"/>
    <x v="0"/>
    <s v="04/2024"/>
    <x v="3"/>
    <s v="Moyenne"/>
  </r>
  <r>
    <n v="657"/>
    <x v="23"/>
    <x v="4"/>
    <x v="2"/>
    <x v="0"/>
    <x v="34"/>
    <n v="17"/>
    <n v="35200"/>
    <n v="5"/>
    <n v="598400"/>
    <x v="629"/>
    <x v="1"/>
    <x v="2"/>
    <x v="0"/>
    <x v="0"/>
    <s v="10/2024"/>
    <x v="0"/>
    <s v="Grande"/>
  </r>
  <r>
    <n v="658"/>
    <x v="345"/>
    <x v="5"/>
    <x v="3"/>
    <x v="2"/>
    <x v="37"/>
    <n v="12"/>
    <n v="3400"/>
    <n v="15"/>
    <n v="40800"/>
    <x v="630"/>
    <x v="0"/>
    <x v="0"/>
    <x v="4"/>
    <x v="0"/>
    <s v="11/2024"/>
    <x v="0"/>
    <s v="Petite"/>
  </r>
  <r>
    <n v="659"/>
    <x v="104"/>
    <x v="0"/>
    <x v="0"/>
    <x v="4"/>
    <x v="8"/>
    <n v="44"/>
    <n v="67000"/>
    <n v="15"/>
    <n v="2948000"/>
    <x v="631"/>
    <x v="0"/>
    <x v="1"/>
    <x v="5"/>
    <x v="1"/>
    <s v="09/2023"/>
    <x v="1"/>
    <s v="Grande"/>
  </r>
  <r>
    <n v="660"/>
    <x v="428"/>
    <x v="4"/>
    <x v="5"/>
    <x v="1"/>
    <x v="18"/>
    <n v="4"/>
    <n v="89700"/>
    <n v="10"/>
    <n v="358800"/>
    <x v="632"/>
    <x v="3"/>
    <x v="1"/>
    <x v="0"/>
    <x v="1"/>
    <s v="10/2023"/>
    <x v="0"/>
    <s v="Grande"/>
  </r>
  <r>
    <n v="661"/>
    <x v="429"/>
    <x v="0"/>
    <x v="0"/>
    <x v="1"/>
    <x v="12"/>
    <n v="49"/>
    <n v="17900"/>
    <n v="0"/>
    <n v="877100"/>
    <x v="633"/>
    <x v="2"/>
    <x v="1"/>
    <x v="0"/>
    <x v="0"/>
    <s v="10/2024"/>
    <x v="0"/>
    <s v="Grande"/>
  </r>
  <r>
    <n v="662"/>
    <x v="211"/>
    <x v="6"/>
    <x v="2"/>
    <x v="0"/>
    <x v="5"/>
    <n v="5"/>
    <n v="3700"/>
    <n v="20"/>
    <n v="18500"/>
    <x v="634"/>
    <x v="0"/>
    <x v="3"/>
    <x v="10"/>
    <x v="0"/>
    <s v="12/2024"/>
    <x v="0"/>
    <s v="Petite"/>
  </r>
  <r>
    <n v="663"/>
    <x v="430"/>
    <x v="3"/>
    <x v="5"/>
    <x v="2"/>
    <x v="24"/>
    <n v="4"/>
    <n v="5300"/>
    <n v="0"/>
    <n v="21200"/>
    <x v="635"/>
    <x v="0"/>
    <x v="3"/>
    <x v="2"/>
    <x v="0"/>
    <s v="03/2024"/>
    <x v="2"/>
    <s v="Petite"/>
  </r>
  <r>
    <n v="664"/>
    <x v="71"/>
    <x v="4"/>
    <x v="4"/>
    <x v="4"/>
    <x v="8"/>
    <n v="13"/>
    <n v="66500"/>
    <n v="15"/>
    <n v="864500"/>
    <x v="636"/>
    <x v="0"/>
    <x v="1"/>
    <x v="5"/>
    <x v="1"/>
    <s v="09/2023"/>
    <x v="1"/>
    <s v="Grande"/>
  </r>
  <r>
    <n v="665"/>
    <x v="77"/>
    <x v="0"/>
    <x v="4"/>
    <x v="3"/>
    <x v="25"/>
    <n v="42"/>
    <n v="7200"/>
    <n v="15"/>
    <n v="302400"/>
    <x v="637"/>
    <x v="0"/>
    <x v="2"/>
    <x v="11"/>
    <x v="0"/>
    <s v="05/2024"/>
    <x v="3"/>
    <s v="Grande"/>
  </r>
  <r>
    <n v="666"/>
    <x v="431"/>
    <x v="0"/>
    <x v="0"/>
    <x v="1"/>
    <x v="14"/>
    <n v="17"/>
    <n v="125100"/>
    <n v="5"/>
    <n v="2126700"/>
    <x v="638"/>
    <x v="1"/>
    <x v="0"/>
    <x v="5"/>
    <x v="1"/>
    <s v="09/2023"/>
    <x v="1"/>
    <s v="Grande"/>
  </r>
  <r>
    <n v="667"/>
    <x v="93"/>
    <x v="1"/>
    <x v="0"/>
    <x v="4"/>
    <x v="17"/>
    <n v="22"/>
    <n v="107900"/>
    <n v="10"/>
    <n v="2373800"/>
    <x v="639"/>
    <x v="2"/>
    <x v="0"/>
    <x v="7"/>
    <x v="1"/>
    <s v="02/2023"/>
    <x v="2"/>
    <s v="Grande"/>
  </r>
  <r>
    <n v="668"/>
    <x v="207"/>
    <x v="8"/>
    <x v="1"/>
    <x v="4"/>
    <x v="29"/>
    <n v="50"/>
    <n v="20000"/>
    <n v="10"/>
    <n v="1000000"/>
    <x v="640"/>
    <x v="1"/>
    <x v="0"/>
    <x v="10"/>
    <x v="0"/>
    <s v="12/2024"/>
    <x v="0"/>
    <s v="Grande"/>
  </r>
  <r>
    <n v="669"/>
    <x v="432"/>
    <x v="1"/>
    <x v="1"/>
    <x v="4"/>
    <x v="8"/>
    <n v="23"/>
    <n v="67700"/>
    <n v="5"/>
    <n v="1557100"/>
    <x v="641"/>
    <x v="0"/>
    <x v="3"/>
    <x v="1"/>
    <x v="1"/>
    <s v="08/2023"/>
    <x v="1"/>
    <s v="Grande"/>
  </r>
  <r>
    <n v="670"/>
    <x v="132"/>
    <x v="0"/>
    <x v="2"/>
    <x v="3"/>
    <x v="27"/>
    <n v="30"/>
    <n v="11000"/>
    <n v="15"/>
    <n v="330000"/>
    <x v="642"/>
    <x v="1"/>
    <x v="3"/>
    <x v="7"/>
    <x v="1"/>
    <s v="02/2023"/>
    <x v="2"/>
    <s v="Grande"/>
  </r>
  <r>
    <n v="671"/>
    <x v="253"/>
    <x v="6"/>
    <x v="3"/>
    <x v="1"/>
    <x v="9"/>
    <n v="20"/>
    <n v="9600"/>
    <n v="15"/>
    <n v="192000"/>
    <x v="643"/>
    <x v="1"/>
    <x v="0"/>
    <x v="3"/>
    <x v="1"/>
    <s v="07/2023"/>
    <x v="1"/>
    <s v="Moyenne"/>
  </r>
  <r>
    <n v="672"/>
    <x v="80"/>
    <x v="3"/>
    <x v="1"/>
    <x v="1"/>
    <x v="31"/>
    <n v="9"/>
    <n v="27100"/>
    <n v="15"/>
    <n v="243900"/>
    <x v="644"/>
    <x v="0"/>
    <x v="0"/>
    <x v="8"/>
    <x v="0"/>
    <s v="06/2024"/>
    <x v="3"/>
    <s v="Grande"/>
  </r>
  <r>
    <n v="673"/>
    <x v="119"/>
    <x v="5"/>
    <x v="1"/>
    <x v="4"/>
    <x v="8"/>
    <n v="42"/>
    <n v="71400"/>
    <n v="0"/>
    <n v="2998800"/>
    <x v="645"/>
    <x v="0"/>
    <x v="2"/>
    <x v="1"/>
    <x v="0"/>
    <s v="08/2024"/>
    <x v="1"/>
    <s v="Grande"/>
  </r>
  <r>
    <n v="674"/>
    <x v="232"/>
    <x v="3"/>
    <x v="5"/>
    <x v="0"/>
    <x v="4"/>
    <n v="14"/>
    <n v="35000"/>
    <n v="15"/>
    <n v="490000"/>
    <x v="646"/>
    <x v="1"/>
    <x v="2"/>
    <x v="3"/>
    <x v="1"/>
    <s v="07/2023"/>
    <x v="1"/>
    <s v="Grande"/>
  </r>
  <r>
    <n v="675"/>
    <x v="433"/>
    <x v="6"/>
    <x v="3"/>
    <x v="2"/>
    <x v="24"/>
    <n v="10"/>
    <n v="5000"/>
    <n v="5"/>
    <n v="50000"/>
    <x v="647"/>
    <x v="0"/>
    <x v="0"/>
    <x v="2"/>
    <x v="0"/>
    <s v="03/2024"/>
    <x v="2"/>
    <s v="Petite"/>
  </r>
  <r>
    <n v="676"/>
    <x v="333"/>
    <x v="1"/>
    <x v="4"/>
    <x v="2"/>
    <x v="38"/>
    <n v="4"/>
    <n v="13200"/>
    <n v="5"/>
    <n v="52800"/>
    <x v="648"/>
    <x v="2"/>
    <x v="0"/>
    <x v="5"/>
    <x v="0"/>
    <s v="09/2024"/>
    <x v="1"/>
    <s v="Moyenne"/>
  </r>
  <r>
    <n v="677"/>
    <x v="192"/>
    <x v="6"/>
    <x v="3"/>
    <x v="1"/>
    <x v="14"/>
    <n v="39"/>
    <n v="111400"/>
    <n v="0"/>
    <n v="4344600"/>
    <x v="649"/>
    <x v="1"/>
    <x v="1"/>
    <x v="5"/>
    <x v="0"/>
    <s v="09/2024"/>
    <x v="1"/>
    <s v="Grande"/>
  </r>
  <r>
    <n v="678"/>
    <x v="253"/>
    <x v="7"/>
    <x v="5"/>
    <x v="4"/>
    <x v="15"/>
    <n v="44"/>
    <n v="7000"/>
    <n v="0"/>
    <n v="308000"/>
    <x v="650"/>
    <x v="0"/>
    <x v="1"/>
    <x v="3"/>
    <x v="1"/>
    <s v="07/2023"/>
    <x v="1"/>
    <s v="Grande"/>
  </r>
  <r>
    <n v="679"/>
    <x v="434"/>
    <x v="1"/>
    <x v="3"/>
    <x v="2"/>
    <x v="37"/>
    <n v="18"/>
    <n v="2900"/>
    <n v="0"/>
    <n v="52200"/>
    <x v="651"/>
    <x v="0"/>
    <x v="2"/>
    <x v="3"/>
    <x v="1"/>
    <s v="07/2023"/>
    <x v="1"/>
    <s v="Moyenne"/>
  </r>
  <r>
    <n v="680"/>
    <x v="66"/>
    <x v="3"/>
    <x v="3"/>
    <x v="2"/>
    <x v="2"/>
    <n v="38"/>
    <n v="5200"/>
    <n v="20"/>
    <n v="197600"/>
    <x v="652"/>
    <x v="0"/>
    <x v="0"/>
    <x v="10"/>
    <x v="0"/>
    <s v="12/2024"/>
    <x v="0"/>
    <s v="Moyenne"/>
  </r>
  <r>
    <n v="681"/>
    <x v="435"/>
    <x v="9"/>
    <x v="1"/>
    <x v="2"/>
    <x v="38"/>
    <n v="6"/>
    <n v="15700"/>
    <n v="0"/>
    <n v="94200"/>
    <x v="653"/>
    <x v="0"/>
    <x v="1"/>
    <x v="5"/>
    <x v="0"/>
    <s v="09/2024"/>
    <x v="1"/>
    <s v="Moyenne"/>
  </r>
  <r>
    <n v="682"/>
    <x v="436"/>
    <x v="9"/>
    <x v="2"/>
    <x v="4"/>
    <x v="28"/>
    <n v="14"/>
    <n v="12900"/>
    <n v="10"/>
    <n v="180600"/>
    <x v="654"/>
    <x v="0"/>
    <x v="3"/>
    <x v="10"/>
    <x v="0"/>
    <s v="12/2024"/>
    <x v="0"/>
    <s v="Moyenne"/>
  </r>
  <r>
    <n v="683"/>
    <x v="150"/>
    <x v="7"/>
    <x v="4"/>
    <x v="2"/>
    <x v="38"/>
    <n v="46"/>
    <n v="14700"/>
    <n v="15"/>
    <n v="676200"/>
    <x v="655"/>
    <x v="0"/>
    <x v="0"/>
    <x v="8"/>
    <x v="0"/>
    <s v="06/2024"/>
    <x v="3"/>
    <s v="Grande"/>
  </r>
  <r>
    <n v="684"/>
    <x v="437"/>
    <x v="3"/>
    <x v="1"/>
    <x v="1"/>
    <x v="1"/>
    <n v="34"/>
    <n v="8100"/>
    <n v="20"/>
    <n v="275400"/>
    <x v="656"/>
    <x v="3"/>
    <x v="3"/>
    <x v="4"/>
    <x v="1"/>
    <s v="11/2023"/>
    <x v="0"/>
    <s v="Grande"/>
  </r>
  <r>
    <n v="685"/>
    <x v="342"/>
    <x v="2"/>
    <x v="4"/>
    <x v="4"/>
    <x v="26"/>
    <n v="13"/>
    <n v="40700"/>
    <n v="15"/>
    <n v="529100"/>
    <x v="657"/>
    <x v="0"/>
    <x v="1"/>
    <x v="8"/>
    <x v="0"/>
    <s v="06/2024"/>
    <x v="3"/>
    <s v="Grande"/>
  </r>
  <r>
    <n v="686"/>
    <x v="294"/>
    <x v="8"/>
    <x v="4"/>
    <x v="2"/>
    <x v="38"/>
    <n v="24"/>
    <n v="12800"/>
    <n v="0"/>
    <n v="307200"/>
    <x v="658"/>
    <x v="0"/>
    <x v="2"/>
    <x v="6"/>
    <x v="0"/>
    <s v="04/2024"/>
    <x v="3"/>
    <s v="Grande"/>
  </r>
  <r>
    <n v="687"/>
    <x v="438"/>
    <x v="9"/>
    <x v="1"/>
    <x v="1"/>
    <x v="14"/>
    <n v="35"/>
    <n v="130200"/>
    <n v="5"/>
    <n v="4557000"/>
    <x v="659"/>
    <x v="0"/>
    <x v="0"/>
    <x v="5"/>
    <x v="1"/>
    <s v="09/2023"/>
    <x v="1"/>
    <s v="Grande"/>
  </r>
  <r>
    <n v="688"/>
    <x v="439"/>
    <x v="0"/>
    <x v="0"/>
    <x v="2"/>
    <x v="2"/>
    <n v="21"/>
    <n v="5700"/>
    <n v="0"/>
    <n v="119700"/>
    <x v="231"/>
    <x v="0"/>
    <x v="3"/>
    <x v="4"/>
    <x v="0"/>
    <s v="11/2024"/>
    <x v="0"/>
    <s v="Moyenne"/>
  </r>
  <r>
    <n v="689"/>
    <x v="440"/>
    <x v="3"/>
    <x v="4"/>
    <x v="1"/>
    <x v="1"/>
    <n v="13"/>
    <n v="9200"/>
    <n v="0"/>
    <n v="119600"/>
    <x v="660"/>
    <x v="0"/>
    <x v="1"/>
    <x v="6"/>
    <x v="1"/>
    <s v="04/2023"/>
    <x v="3"/>
    <s v="Moyenne"/>
  </r>
  <r>
    <n v="690"/>
    <x v="393"/>
    <x v="9"/>
    <x v="5"/>
    <x v="1"/>
    <x v="9"/>
    <n v="40"/>
    <n v="8400"/>
    <n v="0"/>
    <n v="336000"/>
    <x v="661"/>
    <x v="0"/>
    <x v="2"/>
    <x v="6"/>
    <x v="0"/>
    <s v="04/2024"/>
    <x v="3"/>
    <s v="Grande"/>
  </r>
  <r>
    <n v="691"/>
    <x v="441"/>
    <x v="8"/>
    <x v="4"/>
    <x v="0"/>
    <x v="34"/>
    <n v="9"/>
    <n v="30400"/>
    <n v="0"/>
    <n v="273600"/>
    <x v="662"/>
    <x v="0"/>
    <x v="0"/>
    <x v="11"/>
    <x v="1"/>
    <s v="05/2023"/>
    <x v="3"/>
    <s v="Grande"/>
  </r>
  <r>
    <n v="692"/>
    <x v="441"/>
    <x v="0"/>
    <x v="1"/>
    <x v="4"/>
    <x v="29"/>
    <n v="22"/>
    <n v="17000"/>
    <n v="10"/>
    <n v="374000"/>
    <x v="527"/>
    <x v="0"/>
    <x v="3"/>
    <x v="11"/>
    <x v="1"/>
    <s v="05/2023"/>
    <x v="3"/>
    <s v="Grande"/>
  </r>
  <r>
    <n v="693"/>
    <x v="395"/>
    <x v="9"/>
    <x v="4"/>
    <x v="3"/>
    <x v="33"/>
    <n v="34"/>
    <n v="4100"/>
    <n v="10"/>
    <n v="139400"/>
    <x v="663"/>
    <x v="0"/>
    <x v="1"/>
    <x v="0"/>
    <x v="1"/>
    <s v="10/2023"/>
    <x v="0"/>
    <s v="Moyenne"/>
  </r>
  <r>
    <n v="694"/>
    <x v="20"/>
    <x v="8"/>
    <x v="2"/>
    <x v="1"/>
    <x v="9"/>
    <n v="16"/>
    <n v="9800"/>
    <n v="10"/>
    <n v="156800"/>
    <x v="29"/>
    <x v="0"/>
    <x v="2"/>
    <x v="6"/>
    <x v="0"/>
    <s v="04/2024"/>
    <x v="3"/>
    <s v="Moyenne"/>
  </r>
  <r>
    <n v="695"/>
    <x v="400"/>
    <x v="9"/>
    <x v="4"/>
    <x v="3"/>
    <x v="20"/>
    <n v="3"/>
    <n v="6500"/>
    <n v="15"/>
    <n v="19500"/>
    <x v="664"/>
    <x v="0"/>
    <x v="2"/>
    <x v="1"/>
    <x v="1"/>
    <s v="08/2023"/>
    <x v="1"/>
    <s v="Petite"/>
  </r>
  <r>
    <n v="696"/>
    <x v="442"/>
    <x v="1"/>
    <x v="1"/>
    <x v="3"/>
    <x v="25"/>
    <n v="45"/>
    <n v="7600"/>
    <n v="5"/>
    <n v="342000"/>
    <x v="665"/>
    <x v="1"/>
    <x v="2"/>
    <x v="11"/>
    <x v="0"/>
    <s v="05/2024"/>
    <x v="3"/>
    <s v="Grande"/>
  </r>
  <r>
    <n v="697"/>
    <x v="384"/>
    <x v="0"/>
    <x v="3"/>
    <x v="1"/>
    <x v="9"/>
    <n v="9"/>
    <n v="10200"/>
    <n v="15"/>
    <n v="91800"/>
    <x v="666"/>
    <x v="0"/>
    <x v="1"/>
    <x v="6"/>
    <x v="1"/>
    <s v="04/2023"/>
    <x v="3"/>
    <s v="Moyenne"/>
  </r>
  <r>
    <n v="698"/>
    <x v="99"/>
    <x v="1"/>
    <x v="1"/>
    <x v="0"/>
    <x v="22"/>
    <n v="37"/>
    <n v="12900"/>
    <n v="5"/>
    <n v="477300"/>
    <x v="225"/>
    <x v="1"/>
    <x v="0"/>
    <x v="2"/>
    <x v="1"/>
    <s v="03/2023"/>
    <x v="2"/>
    <s v="Grande"/>
  </r>
  <r>
    <n v="699"/>
    <x v="443"/>
    <x v="6"/>
    <x v="1"/>
    <x v="2"/>
    <x v="37"/>
    <n v="46"/>
    <n v="3400"/>
    <n v="5"/>
    <n v="156400"/>
    <x v="344"/>
    <x v="0"/>
    <x v="0"/>
    <x v="6"/>
    <x v="0"/>
    <s v="04/2024"/>
    <x v="3"/>
    <s v="Moyenne"/>
  </r>
  <r>
    <n v="700"/>
    <x v="257"/>
    <x v="3"/>
    <x v="3"/>
    <x v="1"/>
    <x v="32"/>
    <n v="18"/>
    <n v="2500"/>
    <n v="20"/>
    <n v="45000"/>
    <x v="76"/>
    <x v="1"/>
    <x v="1"/>
    <x v="1"/>
    <x v="0"/>
    <s v="08/2024"/>
    <x v="1"/>
    <s v="Petite"/>
  </r>
  <r>
    <n v="701"/>
    <x v="246"/>
    <x v="0"/>
    <x v="3"/>
    <x v="0"/>
    <x v="4"/>
    <n v="44"/>
    <n v="36000"/>
    <n v="0"/>
    <n v="1584000"/>
    <x v="667"/>
    <x v="0"/>
    <x v="0"/>
    <x v="7"/>
    <x v="0"/>
    <s v="02/2024"/>
    <x v="2"/>
    <s v="Grande"/>
  </r>
  <r>
    <n v="702"/>
    <x v="416"/>
    <x v="3"/>
    <x v="1"/>
    <x v="3"/>
    <x v="20"/>
    <n v="12"/>
    <n v="6400"/>
    <n v="10"/>
    <n v="76800"/>
    <x v="668"/>
    <x v="0"/>
    <x v="0"/>
    <x v="9"/>
    <x v="0"/>
    <s v="01/2024"/>
    <x v="2"/>
    <s v="Moyenne"/>
  </r>
  <r>
    <n v="703"/>
    <x v="444"/>
    <x v="5"/>
    <x v="4"/>
    <x v="0"/>
    <x v="0"/>
    <n v="42"/>
    <n v="22800"/>
    <n v="20"/>
    <n v="957600"/>
    <x v="669"/>
    <x v="0"/>
    <x v="1"/>
    <x v="10"/>
    <x v="0"/>
    <s v="12/2024"/>
    <x v="0"/>
    <s v="Grande"/>
  </r>
  <r>
    <n v="704"/>
    <x v="445"/>
    <x v="3"/>
    <x v="5"/>
    <x v="0"/>
    <x v="21"/>
    <n v="5"/>
    <n v="4400"/>
    <n v="5"/>
    <n v="22000"/>
    <x v="670"/>
    <x v="0"/>
    <x v="2"/>
    <x v="1"/>
    <x v="1"/>
    <s v="08/2023"/>
    <x v="1"/>
    <s v="Petite"/>
  </r>
  <r>
    <n v="705"/>
    <x v="446"/>
    <x v="2"/>
    <x v="0"/>
    <x v="4"/>
    <x v="17"/>
    <n v="24"/>
    <n v="116500"/>
    <n v="0"/>
    <n v="2796000"/>
    <x v="671"/>
    <x v="1"/>
    <x v="0"/>
    <x v="11"/>
    <x v="0"/>
    <s v="05/2024"/>
    <x v="3"/>
    <s v="Grande"/>
  </r>
  <r>
    <n v="706"/>
    <x v="447"/>
    <x v="0"/>
    <x v="0"/>
    <x v="4"/>
    <x v="30"/>
    <n v="5"/>
    <n v="27200"/>
    <n v="0"/>
    <n v="136000"/>
    <x v="672"/>
    <x v="0"/>
    <x v="3"/>
    <x v="6"/>
    <x v="0"/>
    <s v="04/2024"/>
    <x v="3"/>
    <s v="Moyenne"/>
  </r>
  <r>
    <n v="707"/>
    <x v="66"/>
    <x v="6"/>
    <x v="1"/>
    <x v="2"/>
    <x v="3"/>
    <n v="41"/>
    <n v="1900"/>
    <n v="15"/>
    <n v="77900"/>
    <x v="673"/>
    <x v="0"/>
    <x v="2"/>
    <x v="10"/>
    <x v="0"/>
    <s v="12/2024"/>
    <x v="0"/>
    <s v="Moyenne"/>
  </r>
  <r>
    <n v="708"/>
    <x v="448"/>
    <x v="6"/>
    <x v="1"/>
    <x v="0"/>
    <x v="21"/>
    <n v="42"/>
    <n v="4500"/>
    <n v="0"/>
    <n v="189000"/>
    <x v="628"/>
    <x v="0"/>
    <x v="1"/>
    <x v="1"/>
    <x v="0"/>
    <s v="08/2024"/>
    <x v="1"/>
    <s v="Moyenne"/>
  </r>
  <r>
    <n v="709"/>
    <x v="449"/>
    <x v="5"/>
    <x v="3"/>
    <x v="0"/>
    <x v="21"/>
    <n v="42"/>
    <n v="4700"/>
    <n v="5"/>
    <n v="197400"/>
    <x v="674"/>
    <x v="0"/>
    <x v="3"/>
    <x v="9"/>
    <x v="1"/>
    <s v="01/2023"/>
    <x v="2"/>
    <s v="Moyenne"/>
  </r>
  <r>
    <n v="710"/>
    <x v="119"/>
    <x v="2"/>
    <x v="3"/>
    <x v="4"/>
    <x v="28"/>
    <n v="9"/>
    <n v="11700"/>
    <n v="0"/>
    <n v="105300"/>
    <x v="675"/>
    <x v="2"/>
    <x v="3"/>
    <x v="1"/>
    <x v="0"/>
    <s v="08/2024"/>
    <x v="1"/>
    <s v="Moyenne"/>
  </r>
  <r>
    <n v="711"/>
    <x v="450"/>
    <x v="5"/>
    <x v="1"/>
    <x v="0"/>
    <x v="34"/>
    <n v="4"/>
    <n v="35000"/>
    <n v="5"/>
    <n v="140000"/>
    <x v="676"/>
    <x v="0"/>
    <x v="3"/>
    <x v="5"/>
    <x v="1"/>
    <s v="09/2023"/>
    <x v="1"/>
    <s v="Moyenne"/>
  </r>
  <r>
    <n v="712"/>
    <x v="451"/>
    <x v="9"/>
    <x v="4"/>
    <x v="3"/>
    <x v="7"/>
    <n v="12"/>
    <n v="20800"/>
    <n v="0"/>
    <n v="249600"/>
    <x v="677"/>
    <x v="1"/>
    <x v="1"/>
    <x v="8"/>
    <x v="1"/>
    <s v="06/2023"/>
    <x v="3"/>
    <s v="Grande"/>
  </r>
  <r>
    <n v="713"/>
    <x v="19"/>
    <x v="0"/>
    <x v="0"/>
    <x v="0"/>
    <x v="22"/>
    <n v="24"/>
    <n v="12100"/>
    <n v="15"/>
    <n v="290400"/>
    <x v="678"/>
    <x v="0"/>
    <x v="0"/>
    <x v="9"/>
    <x v="1"/>
    <s v="01/2023"/>
    <x v="2"/>
    <s v="Grande"/>
  </r>
  <r>
    <n v="714"/>
    <x v="282"/>
    <x v="3"/>
    <x v="4"/>
    <x v="0"/>
    <x v="5"/>
    <n v="11"/>
    <n v="3600"/>
    <n v="0"/>
    <n v="39600"/>
    <x v="679"/>
    <x v="0"/>
    <x v="0"/>
    <x v="4"/>
    <x v="1"/>
    <s v="11/2023"/>
    <x v="0"/>
    <s v="Petite"/>
  </r>
  <r>
    <n v="715"/>
    <x v="239"/>
    <x v="8"/>
    <x v="4"/>
    <x v="4"/>
    <x v="15"/>
    <n v="48"/>
    <n v="7000"/>
    <n v="15"/>
    <n v="336000"/>
    <x v="398"/>
    <x v="0"/>
    <x v="3"/>
    <x v="7"/>
    <x v="0"/>
    <s v="02/2024"/>
    <x v="2"/>
    <s v="Grande"/>
  </r>
  <r>
    <n v="716"/>
    <x v="452"/>
    <x v="4"/>
    <x v="1"/>
    <x v="0"/>
    <x v="22"/>
    <n v="47"/>
    <n v="13200"/>
    <n v="0"/>
    <n v="620400"/>
    <x v="680"/>
    <x v="2"/>
    <x v="2"/>
    <x v="10"/>
    <x v="0"/>
    <s v="12/2024"/>
    <x v="0"/>
    <s v="Grande"/>
  </r>
  <r>
    <n v="717"/>
    <x v="80"/>
    <x v="0"/>
    <x v="1"/>
    <x v="1"/>
    <x v="12"/>
    <n v="8"/>
    <n v="19300"/>
    <n v="10"/>
    <n v="154400"/>
    <x v="681"/>
    <x v="0"/>
    <x v="2"/>
    <x v="8"/>
    <x v="0"/>
    <s v="06/2024"/>
    <x v="3"/>
    <s v="Moyenne"/>
  </r>
  <r>
    <n v="718"/>
    <x v="18"/>
    <x v="8"/>
    <x v="2"/>
    <x v="1"/>
    <x v="11"/>
    <n v="42"/>
    <n v="5500"/>
    <n v="20"/>
    <n v="231000"/>
    <x v="682"/>
    <x v="0"/>
    <x v="1"/>
    <x v="1"/>
    <x v="1"/>
    <s v="08/2023"/>
    <x v="1"/>
    <s v="Moyenne"/>
  </r>
  <r>
    <n v="719"/>
    <x v="453"/>
    <x v="5"/>
    <x v="0"/>
    <x v="1"/>
    <x v="31"/>
    <n v="6"/>
    <n v="26700"/>
    <n v="0"/>
    <n v="160200"/>
    <x v="683"/>
    <x v="3"/>
    <x v="2"/>
    <x v="10"/>
    <x v="1"/>
    <s v="12/2023"/>
    <x v="0"/>
    <s v="Moyenne"/>
  </r>
  <r>
    <n v="720"/>
    <x v="167"/>
    <x v="3"/>
    <x v="3"/>
    <x v="3"/>
    <x v="20"/>
    <n v="24"/>
    <n v="7300"/>
    <n v="0"/>
    <n v="175200"/>
    <x v="684"/>
    <x v="0"/>
    <x v="2"/>
    <x v="11"/>
    <x v="0"/>
    <s v="05/2024"/>
    <x v="3"/>
    <s v="Moyenne"/>
  </r>
  <r>
    <n v="721"/>
    <x v="180"/>
    <x v="3"/>
    <x v="0"/>
    <x v="0"/>
    <x v="39"/>
    <n v="29"/>
    <n v="7900"/>
    <n v="0"/>
    <n v="229100"/>
    <x v="685"/>
    <x v="2"/>
    <x v="0"/>
    <x v="9"/>
    <x v="0"/>
    <s v="01/2024"/>
    <x v="2"/>
    <s v="Grande"/>
  </r>
  <r>
    <n v="722"/>
    <x v="116"/>
    <x v="7"/>
    <x v="1"/>
    <x v="0"/>
    <x v="22"/>
    <n v="28"/>
    <n v="13200"/>
    <n v="0"/>
    <n v="369600"/>
    <x v="184"/>
    <x v="1"/>
    <x v="2"/>
    <x v="2"/>
    <x v="0"/>
    <s v="03/2024"/>
    <x v="2"/>
    <s v="Grande"/>
  </r>
  <r>
    <n v="723"/>
    <x v="370"/>
    <x v="9"/>
    <x v="0"/>
    <x v="2"/>
    <x v="3"/>
    <n v="34"/>
    <n v="1800"/>
    <n v="10"/>
    <n v="61200"/>
    <x v="686"/>
    <x v="3"/>
    <x v="0"/>
    <x v="1"/>
    <x v="0"/>
    <s v="08/2024"/>
    <x v="1"/>
    <s v="Moyenne"/>
  </r>
  <r>
    <n v="724"/>
    <x v="222"/>
    <x v="0"/>
    <x v="0"/>
    <x v="4"/>
    <x v="17"/>
    <n v="36"/>
    <n v="115400"/>
    <n v="0"/>
    <n v="4154400"/>
    <x v="687"/>
    <x v="0"/>
    <x v="1"/>
    <x v="9"/>
    <x v="0"/>
    <s v="01/2024"/>
    <x v="2"/>
    <s v="Grande"/>
  </r>
  <r>
    <n v="725"/>
    <x v="454"/>
    <x v="7"/>
    <x v="2"/>
    <x v="3"/>
    <x v="36"/>
    <n v="20"/>
    <n v="3500"/>
    <n v="5"/>
    <n v="70000"/>
    <x v="688"/>
    <x v="1"/>
    <x v="3"/>
    <x v="0"/>
    <x v="1"/>
    <s v="10/2023"/>
    <x v="0"/>
    <s v="Moyenne"/>
  </r>
  <r>
    <n v="726"/>
    <x v="298"/>
    <x v="8"/>
    <x v="4"/>
    <x v="1"/>
    <x v="18"/>
    <n v="20"/>
    <n v="79800"/>
    <n v="0"/>
    <n v="1596000"/>
    <x v="689"/>
    <x v="3"/>
    <x v="2"/>
    <x v="3"/>
    <x v="0"/>
    <s v="07/2024"/>
    <x v="1"/>
    <s v="Grande"/>
  </r>
  <r>
    <n v="727"/>
    <x v="65"/>
    <x v="4"/>
    <x v="1"/>
    <x v="2"/>
    <x v="2"/>
    <n v="42"/>
    <n v="6100"/>
    <n v="20"/>
    <n v="256200"/>
    <x v="690"/>
    <x v="0"/>
    <x v="0"/>
    <x v="0"/>
    <x v="0"/>
    <s v="10/2024"/>
    <x v="0"/>
    <s v="Grande"/>
  </r>
  <r>
    <n v="728"/>
    <x v="455"/>
    <x v="8"/>
    <x v="0"/>
    <x v="3"/>
    <x v="27"/>
    <n v="37"/>
    <n v="12500"/>
    <n v="15"/>
    <n v="462500"/>
    <x v="691"/>
    <x v="0"/>
    <x v="3"/>
    <x v="4"/>
    <x v="1"/>
    <s v="11/2023"/>
    <x v="0"/>
    <s v="Grande"/>
  </r>
  <r>
    <n v="729"/>
    <x v="456"/>
    <x v="8"/>
    <x v="0"/>
    <x v="0"/>
    <x v="4"/>
    <n v="11"/>
    <n v="38900"/>
    <n v="0"/>
    <n v="427900"/>
    <x v="692"/>
    <x v="0"/>
    <x v="1"/>
    <x v="2"/>
    <x v="0"/>
    <s v="03/2024"/>
    <x v="2"/>
    <s v="Grande"/>
  </r>
  <r>
    <n v="730"/>
    <x v="457"/>
    <x v="6"/>
    <x v="2"/>
    <x v="2"/>
    <x v="38"/>
    <n v="27"/>
    <n v="13600"/>
    <n v="0"/>
    <n v="367200"/>
    <x v="122"/>
    <x v="0"/>
    <x v="3"/>
    <x v="6"/>
    <x v="0"/>
    <s v="04/2024"/>
    <x v="3"/>
    <s v="Grande"/>
  </r>
  <r>
    <n v="731"/>
    <x v="458"/>
    <x v="4"/>
    <x v="3"/>
    <x v="1"/>
    <x v="1"/>
    <n v="12"/>
    <n v="9300"/>
    <n v="10"/>
    <n v="111600"/>
    <x v="693"/>
    <x v="1"/>
    <x v="1"/>
    <x v="0"/>
    <x v="1"/>
    <s v="10/2023"/>
    <x v="0"/>
    <s v="Moyenne"/>
  </r>
  <r>
    <n v="732"/>
    <x v="84"/>
    <x v="3"/>
    <x v="2"/>
    <x v="0"/>
    <x v="39"/>
    <n v="38"/>
    <n v="7400"/>
    <n v="0"/>
    <n v="281200"/>
    <x v="694"/>
    <x v="0"/>
    <x v="1"/>
    <x v="4"/>
    <x v="1"/>
    <s v="11/2023"/>
    <x v="0"/>
    <s v="Grande"/>
  </r>
  <r>
    <n v="733"/>
    <x v="459"/>
    <x v="2"/>
    <x v="2"/>
    <x v="0"/>
    <x v="5"/>
    <n v="11"/>
    <n v="3500"/>
    <n v="10"/>
    <n v="38500"/>
    <x v="695"/>
    <x v="0"/>
    <x v="1"/>
    <x v="11"/>
    <x v="1"/>
    <s v="05/2023"/>
    <x v="3"/>
    <s v="Petite"/>
  </r>
  <r>
    <n v="734"/>
    <x v="113"/>
    <x v="5"/>
    <x v="3"/>
    <x v="3"/>
    <x v="19"/>
    <n v="5"/>
    <n v="2200"/>
    <n v="0"/>
    <n v="11000"/>
    <x v="696"/>
    <x v="0"/>
    <x v="1"/>
    <x v="1"/>
    <x v="1"/>
    <s v="08/2023"/>
    <x v="1"/>
    <s v="Petite"/>
  </r>
  <r>
    <n v="735"/>
    <x v="460"/>
    <x v="3"/>
    <x v="2"/>
    <x v="0"/>
    <x v="22"/>
    <n v="39"/>
    <n v="13300"/>
    <n v="0"/>
    <n v="518700"/>
    <x v="697"/>
    <x v="0"/>
    <x v="3"/>
    <x v="11"/>
    <x v="0"/>
    <s v="05/2024"/>
    <x v="3"/>
    <s v="Grande"/>
  </r>
  <r>
    <n v="736"/>
    <x v="444"/>
    <x v="4"/>
    <x v="0"/>
    <x v="1"/>
    <x v="1"/>
    <n v="45"/>
    <n v="7900"/>
    <n v="0"/>
    <n v="355500"/>
    <x v="698"/>
    <x v="0"/>
    <x v="1"/>
    <x v="10"/>
    <x v="0"/>
    <s v="12/2024"/>
    <x v="0"/>
    <s v="Grande"/>
  </r>
  <r>
    <n v="737"/>
    <x v="461"/>
    <x v="5"/>
    <x v="4"/>
    <x v="1"/>
    <x v="9"/>
    <n v="8"/>
    <n v="9700"/>
    <n v="20"/>
    <n v="77600"/>
    <x v="699"/>
    <x v="0"/>
    <x v="2"/>
    <x v="5"/>
    <x v="1"/>
    <s v="09/2023"/>
    <x v="1"/>
    <s v="Moyenne"/>
  </r>
  <r>
    <n v="738"/>
    <x v="43"/>
    <x v="1"/>
    <x v="4"/>
    <x v="1"/>
    <x v="18"/>
    <n v="33"/>
    <n v="93400"/>
    <n v="0"/>
    <n v="3082200"/>
    <x v="700"/>
    <x v="0"/>
    <x v="2"/>
    <x v="2"/>
    <x v="0"/>
    <s v="03/2024"/>
    <x v="2"/>
    <s v="Grande"/>
  </r>
  <r>
    <n v="739"/>
    <x v="157"/>
    <x v="1"/>
    <x v="0"/>
    <x v="0"/>
    <x v="4"/>
    <n v="8"/>
    <n v="38100"/>
    <n v="10"/>
    <n v="304800"/>
    <x v="701"/>
    <x v="2"/>
    <x v="1"/>
    <x v="5"/>
    <x v="1"/>
    <s v="09/2023"/>
    <x v="1"/>
    <s v="Grande"/>
  </r>
  <r>
    <n v="740"/>
    <x v="462"/>
    <x v="6"/>
    <x v="2"/>
    <x v="1"/>
    <x v="14"/>
    <n v="48"/>
    <n v="112400"/>
    <n v="0"/>
    <n v="5395200"/>
    <x v="702"/>
    <x v="3"/>
    <x v="3"/>
    <x v="3"/>
    <x v="1"/>
    <s v="07/2023"/>
    <x v="1"/>
    <s v="Grande"/>
  </r>
  <r>
    <n v="741"/>
    <x v="87"/>
    <x v="2"/>
    <x v="3"/>
    <x v="2"/>
    <x v="24"/>
    <n v="38"/>
    <n v="5100"/>
    <n v="15"/>
    <n v="193800"/>
    <x v="703"/>
    <x v="1"/>
    <x v="1"/>
    <x v="8"/>
    <x v="1"/>
    <s v="06/2023"/>
    <x v="3"/>
    <s v="Moyenne"/>
  </r>
  <r>
    <n v="742"/>
    <x v="463"/>
    <x v="4"/>
    <x v="4"/>
    <x v="3"/>
    <x v="20"/>
    <n v="7"/>
    <n v="7400"/>
    <n v="0"/>
    <n v="51800"/>
    <x v="704"/>
    <x v="2"/>
    <x v="2"/>
    <x v="3"/>
    <x v="1"/>
    <s v="07/2023"/>
    <x v="1"/>
    <s v="Moyenne"/>
  </r>
  <r>
    <n v="743"/>
    <x v="391"/>
    <x v="9"/>
    <x v="4"/>
    <x v="4"/>
    <x v="8"/>
    <n v="23"/>
    <n v="61400"/>
    <n v="0"/>
    <n v="1412200"/>
    <x v="705"/>
    <x v="3"/>
    <x v="2"/>
    <x v="10"/>
    <x v="0"/>
    <s v="12/2024"/>
    <x v="0"/>
    <s v="Grande"/>
  </r>
  <r>
    <n v="744"/>
    <x v="249"/>
    <x v="5"/>
    <x v="1"/>
    <x v="1"/>
    <x v="11"/>
    <n v="8"/>
    <n v="5600"/>
    <n v="20"/>
    <n v="44800"/>
    <x v="706"/>
    <x v="0"/>
    <x v="2"/>
    <x v="0"/>
    <x v="0"/>
    <s v="10/2024"/>
    <x v="0"/>
    <s v="Petite"/>
  </r>
  <r>
    <n v="745"/>
    <x v="156"/>
    <x v="4"/>
    <x v="3"/>
    <x v="1"/>
    <x v="14"/>
    <n v="8"/>
    <n v="117800"/>
    <n v="10"/>
    <n v="942400"/>
    <x v="707"/>
    <x v="0"/>
    <x v="2"/>
    <x v="11"/>
    <x v="0"/>
    <s v="05/2024"/>
    <x v="3"/>
    <s v="Grande"/>
  </r>
  <r>
    <n v="746"/>
    <x v="236"/>
    <x v="8"/>
    <x v="4"/>
    <x v="3"/>
    <x v="25"/>
    <n v="28"/>
    <n v="7300"/>
    <n v="20"/>
    <n v="204400"/>
    <x v="708"/>
    <x v="0"/>
    <x v="0"/>
    <x v="4"/>
    <x v="1"/>
    <s v="11/2023"/>
    <x v="0"/>
    <s v="Moyenne"/>
  </r>
  <r>
    <n v="747"/>
    <x v="464"/>
    <x v="3"/>
    <x v="4"/>
    <x v="1"/>
    <x v="31"/>
    <n v="26"/>
    <n v="26700"/>
    <n v="0"/>
    <n v="694200"/>
    <x v="709"/>
    <x v="0"/>
    <x v="0"/>
    <x v="7"/>
    <x v="0"/>
    <s v="02/2024"/>
    <x v="2"/>
    <s v="Grande"/>
  </r>
  <r>
    <n v="748"/>
    <x v="465"/>
    <x v="7"/>
    <x v="1"/>
    <x v="3"/>
    <x v="19"/>
    <n v="11"/>
    <n v="2400"/>
    <n v="0"/>
    <n v="26400"/>
    <x v="710"/>
    <x v="0"/>
    <x v="1"/>
    <x v="11"/>
    <x v="1"/>
    <s v="05/2023"/>
    <x v="3"/>
    <s v="Petite"/>
  </r>
  <r>
    <n v="749"/>
    <x v="466"/>
    <x v="9"/>
    <x v="1"/>
    <x v="1"/>
    <x v="1"/>
    <n v="47"/>
    <n v="9400"/>
    <n v="20"/>
    <n v="441800"/>
    <x v="711"/>
    <x v="0"/>
    <x v="3"/>
    <x v="3"/>
    <x v="1"/>
    <s v="07/2023"/>
    <x v="1"/>
    <s v="Grande"/>
  </r>
  <r>
    <n v="750"/>
    <x v="467"/>
    <x v="7"/>
    <x v="2"/>
    <x v="4"/>
    <x v="29"/>
    <n v="33"/>
    <n v="20600"/>
    <n v="0"/>
    <n v="679800"/>
    <x v="712"/>
    <x v="0"/>
    <x v="2"/>
    <x v="0"/>
    <x v="0"/>
    <s v="10/2024"/>
    <x v="0"/>
    <s v="Grande"/>
  </r>
  <r>
    <n v="751"/>
    <x v="468"/>
    <x v="4"/>
    <x v="1"/>
    <x v="4"/>
    <x v="26"/>
    <n v="9"/>
    <n v="44400"/>
    <n v="20"/>
    <n v="399600"/>
    <x v="713"/>
    <x v="0"/>
    <x v="4"/>
    <x v="8"/>
    <x v="1"/>
    <s v="06/2023"/>
    <x v="3"/>
    <s v="Grande"/>
  </r>
  <r>
    <n v="752"/>
    <x v="397"/>
    <x v="8"/>
    <x v="0"/>
    <x v="2"/>
    <x v="23"/>
    <n v="21"/>
    <n v="5000"/>
    <n v="20"/>
    <n v="105000"/>
    <x v="380"/>
    <x v="0"/>
    <x v="0"/>
    <x v="4"/>
    <x v="1"/>
    <s v="11/2023"/>
    <x v="0"/>
    <s v="Moyenne"/>
  </r>
  <r>
    <n v="753"/>
    <x v="469"/>
    <x v="2"/>
    <x v="1"/>
    <x v="4"/>
    <x v="26"/>
    <n v="32"/>
    <n v="40900"/>
    <n v="10"/>
    <n v="1308800"/>
    <x v="714"/>
    <x v="0"/>
    <x v="4"/>
    <x v="2"/>
    <x v="1"/>
    <s v="03/2023"/>
    <x v="2"/>
    <s v="Grande"/>
  </r>
  <r>
    <n v="754"/>
    <x v="252"/>
    <x v="2"/>
    <x v="3"/>
    <x v="1"/>
    <x v="18"/>
    <n v="8"/>
    <n v="97600"/>
    <n v="20"/>
    <n v="780800"/>
    <x v="715"/>
    <x v="0"/>
    <x v="3"/>
    <x v="10"/>
    <x v="1"/>
    <s v="12/2023"/>
    <x v="0"/>
    <s v="Grande"/>
  </r>
  <r>
    <n v="755"/>
    <x v="470"/>
    <x v="8"/>
    <x v="1"/>
    <x v="1"/>
    <x v="18"/>
    <n v="43"/>
    <n v="80300"/>
    <n v="15"/>
    <n v="3452900"/>
    <x v="716"/>
    <x v="2"/>
    <x v="3"/>
    <x v="9"/>
    <x v="0"/>
    <s v="01/2024"/>
    <x v="2"/>
    <s v="Grande"/>
  </r>
  <r>
    <n v="756"/>
    <x v="24"/>
    <x v="8"/>
    <x v="1"/>
    <x v="2"/>
    <x v="16"/>
    <n v="32"/>
    <n v="10400"/>
    <n v="15"/>
    <n v="332800"/>
    <x v="717"/>
    <x v="1"/>
    <x v="2"/>
    <x v="8"/>
    <x v="1"/>
    <s v="06/2023"/>
    <x v="3"/>
    <s v="Grande"/>
  </r>
  <r>
    <n v="757"/>
    <x v="31"/>
    <x v="2"/>
    <x v="3"/>
    <x v="4"/>
    <x v="28"/>
    <n v="11"/>
    <n v="12500"/>
    <n v="0"/>
    <n v="137500"/>
    <x v="718"/>
    <x v="0"/>
    <x v="2"/>
    <x v="3"/>
    <x v="0"/>
    <s v="07/2024"/>
    <x v="1"/>
    <s v="Moyenne"/>
  </r>
  <r>
    <n v="758"/>
    <x v="471"/>
    <x v="9"/>
    <x v="1"/>
    <x v="3"/>
    <x v="27"/>
    <n v="19"/>
    <n v="13100"/>
    <n v="10"/>
    <n v="248900"/>
    <x v="719"/>
    <x v="0"/>
    <x v="0"/>
    <x v="11"/>
    <x v="0"/>
    <s v="05/2024"/>
    <x v="3"/>
    <s v="Grande"/>
  </r>
  <r>
    <n v="759"/>
    <x v="472"/>
    <x v="6"/>
    <x v="2"/>
    <x v="0"/>
    <x v="4"/>
    <n v="41"/>
    <n v="38200"/>
    <n v="5"/>
    <n v="1566200"/>
    <x v="720"/>
    <x v="0"/>
    <x v="0"/>
    <x v="7"/>
    <x v="1"/>
    <s v="02/2023"/>
    <x v="2"/>
    <s v="Grande"/>
  </r>
  <r>
    <n v="760"/>
    <x v="103"/>
    <x v="3"/>
    <x v="1"/>
    <x v="0"/>
    <x v="4"/>
    <n v="16"/>
    <n v="37300"/>
    <n v="0"/>
    <n v="596800"/>
    <x v="721"/>
    <x v="0"/>
    <x v="3"/>
    <x v="10"/>
    <x v="1"/>
    <s v="12/2023"/>
    <x v="0"/>
    <s v="Grande"/>
  </r>
  <r>
    <n v="761"/>
    <x v="47"/>
    <x v="0"/>
    <x v="2"/>
    <x v="1"/>
    <x v="11"/>
    <n v="35"/>
    <n v="5700"/>
    <n v="15"/>
    <n v="199500"/>
    <x v="722"/>
    <x v="0"/>
    <x v="2"/>
    <x v="2"/>
    <x v="1"/>
    <s v="03/2023"/>
    <x v="2"/>
    <s v="Moyenne"/>
  </r>
  <r>
    <n v="762"/>
    <x v="1"/>
    <x v="9"/>
    <x v="3"/>
    <x v="4"/>
    <x v="17"/>
    <n v="31"/>
    <n v="104100"/>
    <n v="5"/>
    <n v="3227100"/>
    <x v="723"/>
    <x v="0"/>
    <x v="3"/>
    <x v="1"/>
    <x v="0"/>
    <s v="08/2024"/>
    <x v="1"/>
    <s v="Grande"/>
  </r>
  <r>
    <n v="763"/>
    <x v="473"/>
    <x v="7"/>
    <x v="2"/>
    <x v="3"/>
    <x v="19"/>
    <n v="7"/>
    <n v="2400"/>
    <n v="0"/>
    <n v="16800"/>
    <x v="724"/>
    <x v="1"/>
    <x v="1"/>
    <x v="3"/>
    <x v="0"/>
    <s v="07/2024"/>
    <x v="1"/>
    <s v="Petite"/>
  </r>
  <r>
    <n v="764"/>
    <x v="474"/>
    <x v="2"/>
    <x v="2"/>
    <x v="2"/>
    <x v="16"/>
    <n v="28"/>
    <n v="9500"/>
    <n v="20"/>
    <n v="266000"/>
    <x v="725"/>
    <x v="0"/>
    <x v="0"/>
    <x v="11"/>
    <x v="0"/>
    <s v="05/2024"/>
    <x v="3"/>
    <s v="Grande"/>
  </r>
  <r>
    <n v="765"/>
    <x v="351"/>
    <x v="5"/>
    <x v="2"/>
    <x v="0"/>
    <x v="4"/>
    <n v="37"/>
    <n v="34100"/>
    <n v="10"/>
    <n v="1261700"/>
    <x v="726"/>
    <x v="0"/>
    <x v="1"/>
    <x v="7"/>
    <x v="0"/>
    <s v="02/2024"/>
    <x v="2"/>
    <s v="Grande"/>
  </r>
  <r>
    <n v="766"/>
    <x v="475"/>
    <x v="9"/>
    <x v="0"/>
    <x v="3"/>
    <x v="27"/>
    <n v="37"/>
    <n v="11600"/>
    <n v="5"/>
    <n v="429200"/>
    <x v="727"/>
    <x v="1"/>
    <x v="2"/>
    <x v="11"/>
    <x v="1"/>
    <s v="05/2023"/>
    <x v="3"/>
    <s v="Grande"/>
  </r>
  <r>
    <n v="767"/>
    <x v="406"/>
    <x v="3"/>
    <x v="0"/>
    <x v="0"/>
    <x v="34"/>
    <n v="35"/>
    <n v="32300"/>
    <n v="5"/>
    <n v="1130500"/>
    <x v="728"/>
    <x v="0"/>
    <x v="2"/>
    <x v="2"/>
    <x v="1"/>
    <s v="03/2023"/>
    <x v="2"/>
    <s v="Grande"/>
  </r>
  <r>
    <n v="768"/>
    <x v="324"/>
    <x v="9"/>
    <x v="3"/>
    <x v="4"/>
    <x v="30"/>
    <n v="41"/>
    <n v="31400"/>
    <n v="10"/>
    <n v="1287400"/>
    <x v="729"/>
    <x v="1"/>
    <x v="1"/>
    <x v="5"/>
    <x v="1"/>
    <s v="09/2023"/>
    <x v="1"/>
    <s v="Grande"/>
  </r>
  <r>
    <n v="769"/>
    <x v="476"/>
    <x v="5"/>
    <x v="1"/>
    <x v="0"/>
    <x v="21"/>
    <n v="47"/>
    <n v="5100"/>
    <n v="0"/>
    <n v="239700"/>
    <x v="406"/>
    <x v="0"/>
    <x v="1"/>
    <x v="11"/>
    <x v="0"/>
    <s v="05/2024"/>
    <x v="3"/>
    <s v="Grande"/>
  </r>
  <r>
    <n v="770"/>
    <x v="477"/>
    <x v="6"/>
    <x v="4"/>
    <x v="2"/>
    <x v="16"/>
    <n v="27"/>
    <n v="10700"/>
    <n v="15"/>
    <n v="288900"/>
    <x v="730"/>
    <x v="0"/>
    <x v="0"/>
    <x v="6"/>
    <x v="0"/>
    <s v="04/2024"/>
    <x v="3"/>
    <s v="Grande"/>
  </r>
  <r>
    <n v="771"/>
    <x v="174"/>
    <x v="7"/>
    <x v="2"/>
    <x v="0"/>
    <x v="22"/>
    <n v="39"/>
    <n v="11600"/>
    <n v="0"/>
    <n v="452400"/>
    <x v="731"/>
    <x v="0"/>
    <x v="1"/>
    <x v="3"/>
    <x v="1"/>
    <s v="07/2023"/>
    <x v="1"/>
    <s v="Grande"/>
  </r>
  <r>
    <n v="772"/>
    <x v="478"/>
    <x v="5"/>
    <x v="0"/>
    <x v="2"/>
    <x v="16"/>
    <n v="36"/>
    <n v="9800"/>
    <n v="15"/>
    <n v="352800"/>
    <x v="732"/>
    <x v="3"/>
    <x v="2"/>
    <x v="2"/>
    <x v="1"/>
    <s v="03/2023"/>
    <x v="2"/>
    <s v="Grande"/>
  </r>
  <r>
    <n v="773"/>
    <x v="232"/>
    <x v="5"/>
    <x v="4"/>
    <x v="0"/>
    <x v="22"/>
    <n v="18"/>
    <n v="10900"/>
    <n v="15"/>
    <n v="196200"/>
    <x v="733"/>
    <x v="1"/>
    <x v="1"/>
    <x v="3"/>
    <x v="1"/>
    <s v="07/2023"/>
    <x v="1"/>
    <s v="Moyenne"/>
  </r>
  <r>
    <n v="774"/>
    <x v="376"/>
    <x v="8"/>
    <x v="0"/>
    <x v="1"/>
    <x v="14"/>
    <n v="20"/>
    <n v="117400"/>
    <n v="0"/>
    <n v="2348000"/>
    <x v="734"/>
    <x v="2"/>
    <x v="2"/>
    <x v="7"/>
    <x v="1"/>
    <s v="02/2023"/>
    <x v="2"/>
    <s v="Grande"/>
  </r>
  <r>
    <n v="775"/>
    <x v="479"/>
    <x v="0"/>
    <x v="1"/>
    <x v="2"/>
    <x v="3"/>
    <n v="48"/>
    <n v="1700"/>
    <n v="10"/>
    <n v="81600"/>
    <x v="735"/>
    <x v="0"/>
    <x v="0"/>
    <x v="4"/>
    <x v="0"/>
    <s v="11/2024"/>
    <x v="0"/>
    <s v="Moyenne"/>
  </r>
  <r>
    <n v="776"/>
    <x v="323"/>
    <x v="9"/>
    <x v="3"/>
    <x v="0"/>
    <x v="5"/>
    <n v="16"/>
    <n v="3900"/>
    <n v="0"/>
    <n v="62400"/>
    <x v="736"/>
    <x v="0"/>
    <x v="3"/>
    <x v="4"/>
    <x v="0"/>
    <s v="11/2024"/>
    <x v="0"/>
    <s v="Moyenne"/>
  </r>
  <r>
    <n v="777"/>
    <x v="480"/>
    <x v="7"/>
    <x v="4"/>
    <x v="4"/>
    <x v="26"/>
    <n v="12"/>
    <n v="39300"/>
    <n v="5"/>
    <n v="471600"/>
    <x v="737"/>
    <x v="0"/>
    <x v="3"/>
    <x v="1"/>
    <x v="0"/>
    <s v="08/2024"/>
    <x v="1"/>
    <s v="Grande"/>
  </r>
  <r>
    <n v="778"/>
    <x v="481"/>
    <x v="4"/>
    <x v="3"/>
    <x v="1"/>
    <x v="31"/>
    <n v="45"/>
    <n v="25800"/>
    <n v="0"/>
    <n v="1161000"/>
    <x v="738"/>
    <x v="3"/>
    <x v="3"/>
    <x v="7"/>
    <x v="0"/>
    <s v="02/2024"/>
    <x v="2"/>
    <s v="Grande"/>
  </r>
  <r>
    <n v="779"/>
    <x v="122"/>
    <x v="8"/>
    <x v="4"/>
    <x v="0"/>
    <x v="22"/>
    <n v="46"/>
    <n v="11900"/>
    <n v="0"/>
    <n v="547400"/>
    <x v="739"/>
    <x v="0"/>
    <x v="3"/>
    <x v="5"/>
    <x v="0"/>
    <s v="09/2024"/>
    <x v="1"/>
    <s v="Grande"/>
  </r>
  <r>
    <n v="780"/>
    <x v="140"/>
    <x v="9"/>
    <x v="0"/>
    <x v="1"/>
    <x v="1"/>
    <n v="25"/>
    <n v="8200"/>
    <n v="20"/>
    <n v="205000"/>
    <x v="740"/>
    <x v="0"/>
    <x v="3"/>
    <x v="0"/>
    <x v="0"/>
    <s v="10/2024"/>
    <x v="0"/>
    <s v="Moyenne"/>
  </r>
  <r>
    <n v="781"/>
    <x v="246"/>
    <x v="0"/>
    <x v="3"/>
    <x v="2"/>
    <x v="2"/>
    <n v="26"/>
    <n v="5400"/>
    <n v="0"/>
    <n v="140400"/>
    <x v="741"/>
    <x v="2"/>
    <x v="3"/>
    <x v="7"/>
    <x v="0"/>
    <s v="02/2024"/>
    <x v="2"/>
    <s v="Moyenne"/>
  </r>
  <r>
    <n v="782"/>
    <x v="99"/>
    <x v="5"/>
    <x v="2"/>
    <x v="2"/>
    <x v="13"/>
    <n v="41"/>
    <n v="4700"/>
    <n v="20"/>
    <n v="192700"/>
    <x v="742"/>
    <x v="0"/>
    <x v="2"/>
    <x v="2"/>
    <x v="1"/>
    <s v="03/2023"/>
    <x v="2"/>
    <s v="Moyenne"/>
  </r>
  <r>
    <n v="783"/>
    <x v="482"/>
    <x v="4"/>
    <x v="5"/>
    <x v="4"/>
    <x v="28"/>
    <n v="22"/>
    <n v="13000"/>
    <n v="20"/>
    <n v="286000"/>
    <x v="743"/>
    <x v="1"/>
    <x v="0"/>
    <x v="6"/>
    <x v="1"/>
    <s v="04/2023"/>
    <x v="3"/>
    <s v="Grande"/>
  </r>
  <r>
    <n v="784"/>
    <x v="87"/>
    <x v="4"/>
    <x v="3"/>
    <x v="1"/>
    <x v="11"/>
    <n v="47"/>
    <n v="6000"/>
    <n v="5"/>
    <n v="282000"/>
    <x v="744"/>
    <x v="1"/>
    <x v="3"/>
    <x v="8"/>
    <x v="1"/>
    <s v="06/2023"/>
    <x v="3"/>
    <s v="Grande"/>
  </r>
  <r>
    <n v="785"/>
    <x v="229"/>
    <x v="1"/>
    <x v="0"/>
    <x v="2"/>
    <x v="2"/>
    <n v="9"/>
    <n v="5900"/>
    <n v="15"/>
    <n v="53100"/>
    <x v="745"/>
    <x v="0"/>
    <x v="1"/>
    <x v="10"/>
    <x v="0"/>
    <s v="12/2024"/>
    <x v="0"/>
    <s v="Petite"/>
  </r>
  <r>
    <n v="786"/>
    <x v="483"/>
    <x v="3"/>
    <x v="3"/>
    <x v="1"/>
    <x v="14"/>
    <n v="34"/>
    <n v="112700"/>
    <n v="20"/>
    <n v="3831800"/>
    <x v="746"/>
    <x v="1"/>
    <x v="1"/>
    <x v="5"/>
    <x v="1"/>
    <s v="09/2023"/>
    <x v="1"/>
    <s v="Grande"/>
  </r>
  <r>
    <n v="787"/>
    <x v="203"/>
    <x v="7"/>
    <x v="2"/>
    <x v="4"/>
    <x v="28"/>
    <n v="9"/>
    <n v="13400"/>
    <n v="20"/>
    <n v="120600"/>
    <x v="747"/>
    <x v="0"/>
    <x v="3"/>
    <x v="1"/>
    <x v="0"/>
    <s v="08/2024"/>
    <x v="1"/>
    <s v="Moyenne"/>
  </r>
  <r>
    <n v="788"/>
    <x v="32"/>
    <x v="5"/>
    <x v="0"/>
    <x v="4"/>
    <x v="15"/>
    <n v="25"/>
    <n v="7100"/>
    <n v="0"/>
    <n v="177500"/>
    <x v="748"/>
    <x v="3"/>
    <x v="4"/>
    <x v="0"/>
    <x v="1"/>
    <s v="10/2023"/>
    <x v="0"/>
    <s v="Moyenne"/>
  </r>
  <r>
    <n v="789"/>
    <x v="178"/>
    <x v="2"/>
    <x v="3"/>
    <x v="2"/>
    <x v="24"/>
    <n v="13"/>
    <n v="6300"/>
    <n v="0"/>
    <n v="81900"/>
    <x v="749"/>
    <x v="0"/>
    <x v="1"/>
    <x v="9"/>
    <x v="1"/>
    <s v="01/2023"/>
    <x v="2"/>
    <s v="Moyenne"/>
  </r>
  <r>
    <n v="790"/>
    <x v="484"/>
    <x v="9"/>
    <x v="1"/>
    <x v="3"/>
    <x v="7"/>
    <n v="24"/>
    <n v="20600"/>
    <n v="0"/>
    <n v="494400"/>
    <x v="750"/>
    <x v="0"/>
    <x v="0"/>
    <x v="7"/>
    <x v="0"/>
    <s v="02/2024"/>
    <x v="2"/>
    <s v="Grande"/>
  </r>
  <r>
    <n v="791"/>
    <x v="485"/>
    <x v="7"/>
    <x v="1"/>
    <x v="4"/>
    <x v="8"/>
    <n v="14"/>
    <n v="62100"/>
    <n v="0"/>
    <n v="869400"/>
    <x v="751"/>
    <x v="0"/>
    <x v="3"/>
    <x v="8"/>
    <x v="0"/>
    <s v="06/2024"/>
    <x v="3"/>
    <s v="Grande"/>
  </r>
  <r>
    <n v="792"/>
    <x v="471"/>
    <x v="7"/>
    <x v="4"/>
    <x v="4"/>
    <x v="26"/>
    <n v="19"/>
    <n v="44100"/>
    <n v="5"/>
    <n v="837900"/>
    <x v="752"/>
    <x v="1"/>
    <x v="1"/>
    <x v="11"/>
    <x v="0"/>
    <s v="05/2024"/>
    <x v="3"/>
    <s v="Grande"/>
  </r>
  <r>
    <n v="793"/>
    <x v="128"/>
    <x v="7"/>
    <x v="5"/>
    <x v="1"/>
    <x v="32"/>
    <n v="16"/>
    <n v="2900"/>
    <n v="0"/>
    <n v="46400"/>
    <x v="753"/>
    <x v="0"/>
    <x v="1"/>
    <x v="6"/>
    <x v="1"/>
    <s v="04/2023"/>
    <x v="3"/>
    <s v="Petite"/>
  </r>
  <r>
    <n v="794"/>
    <x v="193"/>
    <x v="8"/>
    <x v="0"/>
    <x v="1"/>
    <x v="31"/>
    <n v="21"/>
    <n v="23300"/>
    <n v="15"/>
    <n v="489300"/>
    <x v="754"/>
    <x v="3"/>
    <x v="2"/>
    <x v="1"/>
    <x v="0"/>
    <s v="08/2024"/>
    <x v="1"/>
    <s v="Grande"/>
  </r>
  <r>
    <n v="795"/>
    <x v="486"/>
    <x v="7"/>
    <x v="5"/>
    <x v="3"/>
    <x v="7"/>
    <n v="36"/>
    <n v="20200"/>
    <n v="0"/>
    <n v="727200"/>
    <x v="755"/>
    <x v="0"/>
    <x v="3"/>
    <x v="8"/>
    <x v="1"/>
    <s v="06/2023"/>
    <x v="3"/>
    <s v="Grande"/>
  </r>
  <r>
    <n v="796"/>
    <x v="393"/>
    <x v="3"/>
    <x v="3"/>
    <x v="3"/>
    <x v="20"/>
    <n v="33"/>
    <n v="5900"/>
    <n v="5"/>
    <n v="194700"/>
    <x v="756"/>
    <x v="0"/>
    <x v="3"/>
    <x v="6"/>
    <x v="0"/>
    <s v="04/2024"/>
    <x v="3"/>
    <s v="Moyenne"/>
  </r>
  <r>
    <n v="797"/>
    <x v="479"/>
    <x v="3"/>
    <x v="4"/>
    <x v="3"/>
    <x v="20"/>
    <n v="17"/>
    <n v="6800"/>
    <n v="0"/>
    <n v="115600"/>
    <x v="757"/>
    <x v="0"/>
    <x v="2"/>
    <x v="4"/>
    <x v="0"/>
    <s v="11/2024"/>
    <x v="0"/>
    <s v="Moyenne"/>
  </r>
  <r>
    <n v="798"/>
    <x v="83"/>
    <x v="6"/>
    <x v="0"/>
    <x v="0"/>
    <x v="21"/>
    <n v="8"/>
    <n v="4200"/>
    <n v="5"/>
    <n v="33600"/>
    <x v="758"/>
    <x v="0"/>
    <x v="1"/>
    <x v="6"/>
    <x v="0"/>
    <s v="04/2024"/>
    <x v="3"/>
    <s v="Petite"/>
  </r>
  <r>
    <n v="799"/>
    <x v="292"/>
    <x v="3"/>
    <x v="1"/>
    <x v="0"/>
    <x v="34"/>
    <n v="49"/>
    <n v="33700"/>
    <n v="5"/>
    <n v="1651300"/>
    <x v="759"/>
    <x v="2"/>
    <x v="3"/>
    <x v="0"/>
    <x v="1"/>
    <s v="10/2023"/>
    <x v="0"/>
    <s v="Grande"/>
  </r>
  <r>
    <n v="800"/>
    <x v="24"/>
    <x v="3"/>
    <x v="1"/>
    <x v="2"/>
    <x v="2"/>
    <n v="10"/>
    <n v="4900"/>
    <n v="0"/>
    <n v="49000"/>
    <x v="23"/>
    <x v="0"/>
    <x v="1"/>
    <x v="8"/>
    <x v="1"/>
    <s v="06/2023"/>
    <x v="3"/>
    <s v="Petite"/>
  </r>
  <r>
    <n v="801"/>
    <x v="487"/>
    <x v="4"/>
    <x v="4"/>
    <x v="4"/>
    <x v="29"/>
    <n v="32"/>
    <n v="16700"/>
    <n v="15"/>
    <n v="534400"/>
    <x v="760"/>
    <x v="0"/>
    <x v="3"/>
    <x v="6"/>
    <x v="0"/>
    <s v="04/2024"/>
    <x v="3"/>
    <s v="Grande"/>
  </r>
  <r>
    <n v="802"/>
    <x v="127"/>
    <x v="8"/>
    <x v="1"/>
    <x v="4"/>
    <x v="8"/>
    <n v="10"/>
    <n v="72200"/>
    <n v="0"/>
    <n v="722000"/>
    <x v="761"/>
    <x v="0"/>
    <x v="0"/>
    <x v="3"/>
    <x v="0"/>
    <s v="07/2024"/>
    <x v="1"/>
    <s v="Grande"/>
  </r>
  <r>
    <n v="803"/>
    <x v="428"/>
    <x v="6"/>
    <x v="4"/>
    <x v="3"/>
    <x v="7"/>
    <n v="43"/>
    <n v="22900"/>
    <n v="10"/>
    <n v="984700"/>
    <x v="762"/>
    <x v="0"/>
    <x v="0"/>
    <x v="0"/>
    <x v="1"/>
    <s v="10/2023"/>
    <x v="0"/>
    <s v="Grande"/>
  </r>
  <r>
    <n v="804"/>
    <x v="473"/>
    <x v="6"/>
    <x v="1"/>
    <x v="1"/>
    <x v="1"/>
    <n v="44"/>
    <n v="9300"/>
    <n v="0"/>
    <n v="409200"/>
    <x v="763"/>
    <x v="0"/>
    <x v="3"/>
    <x v="3"/>
    <x v="0"/>
    <s v="07/2024"/>
    <x v="1"/>
    <s v="Grande"/>
  </r>
  <r>
    <n v="805"/>
    <x v="356"/>
    <x v="0"/>
    <x v="1"/>
    <x v="0"/>
    <x v="10"/>
    <n v="10"/>
    <n v="31100"/>
    <n v="20"/>
    <n v="311000"/>
    <x v="764"/>
    <x v="0"/>
    <x v="2"/>
    <x v="0"/>
    <x v="1"/>
    <s v="10/2023"/>
    <x v="0"/>
    <s v="Grande"/>
  </r>
  <r>
    <n v="806"/>
    <x v="207"/>
    <x v="8"/>
    <x v="1"/>
    <x v="0"/>
    <x v="4"/>
    <n v="3"/>
    <n v="34400"/>
    <n v="0"/>
    <n v="103200"/>
    <x v="765"/>
    <x v="1"/>
    <x v="2"/>
    <x v="10"/>
    <x v="0"/>
    <s v="12/2024"/>
    <x v="0"/>
    <s v="Moyenne"/>
  </r>
  <r>
    <n v="807"/>
    <x v="488"/>
    <x v="6"/>
    <x v="4"/>
    <x v="1"/>
    <x v="32"/>
    <n v="4"/>
    <n v="2500"/>
    <n v="0"/>
    <n v="10000"/>
    <x v="766"/>
    <x v="1"/>
    <x v="2"/>
    <x v="11"/>
    <x v="0"/>
    <s v="05/2024"/>
    <x v="3"/>
    <s v="Petite"/>
  </r>
  <r>
    <n v="808"/>
    <x v="489"/>
    <x v="4"/>
    <x v="4"/>
    <x v="2"/>
    <x v="23"/>
    <n v="14"/>
    <n v="4400"/>
    <n v="0"/>
    <n v="61600"/>
    <x v="767"/>
    <x v="0"/>
    <x v="2"/>
    <x v="7"/>
    <x v="0"/>
    <s v="02/2024"/>
    <x v="2"/>
    <s v="Moyenne"/>
  </r>
  <r>
    <n v="809"/>
    <x v="233"/>
    <x v="6"/>
    <x v="0"/>
    <x v="0"/>
    <x v="5"/>
    <n v="48"/>
    <n v="3900"/>
    <n v="15"/>
    <n v="187200"/>
    <x v="768"/>
    <x v="1"/>
    <x v="3"/>
    <x v="0"/>
    <x v="0"/>
    <s v="10/2024"/>
    <x v="0"/>
    <s v="Moyenne"/>
  </r>
  <r>
    <n v="810"/>
    <x v="490"/>
    <x v="6"/>
    <x v="2"/>
    <x v="1"/>
    <x v="11"/>
    <n v="32"/>
    <n v="6200"/>
    <n v="5"/>
    <n v="198400"/>
    <x v="769"/>
    <x v="0"/>
    <x v="2"/>
    <x v="5"/>
    <x v="0"/>
    <s v="09/2024"/>
    <x v="1"/>
    <s v="Moyenne"/>
  </r>
  <r>
    <n v="811"/>
    <x v="209"/>
    <x v="9"/>
    <x v="3"/>
    <x v="4"/>
    <x v="8"/>
    <n v="24"/>
    <n v="70800"/>
    <n v="15"/>
    <n v="1699200"/>
    <x v="770"/>
    <x v="0"/>
    <x v="2"/>
    <x v="7"/>
    <x v="1"/>
    <s v="02/2023"/>
    <x v="2"/>
    <s v="Grande"/>
  </r>
  <r>
    <n v="812"/>
    <x v="162"/>
    <x v="0"/>
    <x v="0"/>
    <x v="3"/>
    <x v="27"/>
    <n v="44"/>
    <n v="13700"/>
    <n v="5"/>
    <n v="602800"/>
    <x v="771"/>
    <x v="0"/>
    <x v="1"/>
    <x v="10"/>
    <x v="0"/>
    <s v="12/2024"/>
    <x v="0"/>
    <s v="Grande"/>
  </r>
  <r>
    <n v="813"/>
    <x v="491"/>
    <x v="2"/>
    <x v="0"/>
    <x v="0"/>
    <x v="5"/>
    <n v="31"/>
    <n v="3500"/>
    <n v="15"/>
    <n v="108500"/>
    <x v="772"/>
    <x v="0"/>
    <x v="1"/>
    <x v="8"/>
    <x v="0"/>
    <s v="06/2024"/>
    <x v="3"/>
    <s v="Moyenne"/>
  </r>
  <r>
    <n v="814"/>
    <x v="492"/>
    <x v="5"/>
    <x v="3"/>
    <x v="4"/>
    <x v="17"/>
    <n v="36"/>
    <n v="119800"/>
    <n v="10"/>
    <n v="4312800"/>
    <x v="773"/>
    <x v="0"/>
    <x v="0"/>
    <x v="6"/>
    <x v="1"/>
    <s v="04/2023"/>
    <x v="3"/>
    <s v="Grande"/>
  </r>
  <r>
    <n v="815"/>
    <x v="126"/>
    <x v="2"/>
    <x v="1"/>
    <x v="4"/>
    <x v="8"/>
    <n v="47"/>
    <n v="66100"/>
    <n v="0"/>
    <n v="3106700"/>
    <x v="774"/>
    <x v="0"/>
    <x v="3"/>
    <x v="6"/>
    <x v="1"/>
    <s v="04/2023"/>
    <x v="3"/>
    <s v="Grande"/>
  </r>
  <r>
    <n v="816"/>
    <x v="102"/>
    <x v="9"/>
    <x v="0"/>
    <x v="3"/>
    <x v="20"/>
    <n v="43"/>
    <n v="6000"/>
    <n v="20"/>
    <n v="258000"/>
    <x v="775"/>
    <x v="0"/>
    <x v="1"/>
    <x v="5"/>
    <x v="1"/>
    <s v="09/2023"/>
    <x v="1"/>
    <s v="Grande"/>
  </r>
  <r>
    <n v="817"/>
    <x v="390"/>
    <x v="1"/>
    <x v="0"/>
    <x v="4"/>
    <x v="17"/>
    <n v="47"/>
    <n v="112500"/>
    <n v="10"/>
    <n v="5287500"/>
    <x v="776"/>
    <x v="0"/>
    <x v="2"/>
    <x v="3"/>
    <x v="0"/>
    <s v="07/2024"/>
    <x v="1"/>
    <s v="Grande"/>
  </r>
  <r>
    <n v="818"/>
    <x v="9"/>
    <x v="3"/>
    <x v="4"/>
    <x v="2"/>
    <x v="13"/>
    <n v="39"/>
    <n v="3900"/>
    <n v="5"/>
    <n v="152100"/>
    <x v="777"/>
    <x v="0"/>
    <x v="0"/>
    <x v="5"/>
    <x v="1"/>
    <s v="09/2023"/>
    <x v="1"/>
    <s v="Moyenne"/>
  </r>
  <r>
    <n v="819"/>
    <x v="493"/>
    <x v="1"/>
    <x v="0"/>
    <x v="4"/>
    <x v="8"/>
    <n v="42"/>
    <n v="58700"/>
    <n v="20"/>
    <n v="2465400"/>
    <x v="778"/>
    <x v="0"/>
    <x v="2"/>
    <x v="9"/>
    <x v="0"/>
    <s v="01/2024"/>
    <x v="2"/>
    <s v="Grande"/>
  </r>
  <r>
    <n v="820"/>
    <x v="421"/>
    <x v="9"/>
    <x v="1"/>
    <x v="0"/>
    <x v="39"/>
    <n v="45"/>
    <n v="8600"/>
    <n v="0"/>
    <n v="387000"/>
    <x v="779"/>
    <x v="1"/>
    <x v="3"/>
    <x v="6"/>
    <x v="0"/>
    <s v="04/2024"/>
    <x v="3"/>
    <s v="Grande"/>
  </r>
  <r>
    <n v="821"/>
    <x v="461"/>
    <x v="6"/>
    <x v="0"/>
    <x v="2"/>
    <x v="24"/>
    <n v="45"/>
    <n v="6100"/>
    <n v="0"/>
    <n v="274500"/>
    <x v="780"/>
    <x v="3"/>
    <x v="0"/>
    <x v="5"/>
    <x v="1"/>
    <s v="09/2023"/>
    <x v="1"/>
    <s v="Grande"/>
  </r>
  <r>
    <n v="822"/>
    <x v="309"/>
    <x v="6"/>
    <x v="4"/>
    <x v="4"/>
    <x v="26"/>
    <n v="50"/>
    <n v="38700"/>
    <n v="5"/>
    <n v="1935000"/>
    <x v="781"/>
    <x v="0"/>
    <x v="2"/>
    <x v="3"/>
    <x v="0"/>
    <s v="07/2024"/>
    <x v="1"/>
    <s v="Grande"/>
  </r>
  <r>
    <n v="823"/>
    <x v="449"/>
    <x v="0"/>
    <x v="4"/>
    <x v="2"/>
    <x v="2"/>
    <n v="31"/>
    <n v="6200"/>
    <n v="10"/>
    <n v="192200"/>
    <x v="782"/>
    <x v="0"/>
    <x v="2"/>
    <x v="9"/>
    <x v="1"/>
    <s v="01/2023"/>
    <x v="2"/>
    <s v="Moyenne"/>
  </r>
  <r>
    <n v="824"/>
    <x v="378"/>
    <x v="5"/>
    <x v="2"/>
    <x v="3"/>
    <x v="25"/>
    <n v="1"/>
    <n v="6800"/>
    <n v="5"/>
    <n v="6800"/>
    <x v="783"/>
    <x v="0"/>
    <x v="2"/>
    <x v="8"/>
    <x v="1"/>
    <s v="06/2023"/>
    <x v="3"/>
    <s v="Petite"/>
  </r>
  <r>
    <n v="825"/>
    <x v="494"/>
    <x v="9"/>
    <x v="3"/>
    <x v="3"/>
    <x v="7"/>
    <n v="26"/>
    <n v="20000"/>
    <n v="0"/>
    <n v="520000"/>
    <x v="784"/>
    <x v="0"/>
    <x v="2"/>
    <x v="11"/>
    <x v="0"/>
    <s v="05/2024"/>
    <x v="3"/>
    <s v="Grande"/>
  </r>
  <r>
    <n v="826"/>
    <x v="495"/>
    <x v="2"/>
    <x v="0"/>
    <x v="4"/>
    <x v="15"/>
    <n v="18"/>
    <n v="7800"/>
    <n v="5"/>
    <n v="140400"/>
    <x v="466"/>
    <x v="2"/>
    <x v="2"/>
    <x v="6"/>
    <x v="1"/>
    <s v="04/2023"/>
    <x v="3"/>
    <s v="Moyenne"/>
  </r>
  <r>
    <n v="827"/>
    <x v="358"/>
    <x v="8"/>
    <x v="3"/>
    <x v="0"/>
    <x v="5"/>
    <n v="2"/>
    <n v="3800"/>
    <n v="5"/>
    <n v="7600"/>
    <x v="785"/>
    <x v="0"/>
    <x v="1"/>
    <x v="6"/>
    <x v="1"/>
    <s v="04/2023"/>
    <x v="3"/>
    <s v="Petite"/>
  </r>
  <r>
    <n v="828"/>
    <x v="496"/>
    <x v="8"/>
    <x v="4"/>
    <x v="3"/>
    <x v="33"/>
    <n v="44"/>
    <n v="4700"/>
    <n v="0"/>
    <n v="206800"/>
    <x v="786"/>
    <x v="0"/>
    <x v="2"/>
    <x v="10"/>
    <x v="1"/>
    <s v="12/2023"/>
    <x v="0"/>
    <s v="Grande"/>
  </r>
  <r>
    <n v="829"/>
    <x v="328"/>
    <x v="7"/>
    <x v="1"/>
    <x v="0"/>
    <x v="5"/>
    <n v="11"/>
    <n v="3800"/>
    <n v="15"/>
    <n v="41800"/>
    <x v="787"/>
    <x v="0"/>
    <x v="3"/>
    <x v="0"/>
    <x v="1"/>
    <s v="10/2023"/>
    <x v="0"/>
    <s v="Petite"/>
  </r>
  <r>
    <n v="830"/>
    <x v="268"/>
    <x v="8"/>
    <x v="4"/>
    <x v="2"/>
    <x v="3"/>
    <n v="32"/>
    <n v="1700"/>
    <n v="5"/>
    <n v="54400"/>
    <x v="788"/>
    <x v="0"/>
    <x v="2"/>
    <x v="2"/>
    <x v="1"/>
    <s v="03/2023"/>
    <x v="2"/>
    <s v="Moyenne"/>
  </r>
  <r>
    <n v="831"/>
    <x v="497"/>
    <x v="5"/>
    <x v="4"/>
    <x v="3"/>
    <x v="20"/>
    <n v="23"/>
    <n v="7500"/>
    <n v="15"/>
    <n v="172500"/>
    <x v="789"/>
    <x v="2"/>
    <x v="3"/>
    <x v="3"/>
    <x v="1"/>
    <s v="07/2023"/>
    <x v="1"/>
    <s v="Moyenne"/>
  </r>
  <r>
    <n v="832"/>
    <x v="302"/>
    <x v="6"/>
    <x v="3"/>
    <x v="1"/>
    <x v="14"/>
    <n v="8"/>
    <n v="118100"/>
    <n v="10"/>
    <n v="944800"/>
    <x v="790"/>
    <x v="0"/>
    <x v="0"/>
    <x v="10"/>
    <x v="1"/>
    <s v="12/2023"/>
    <x v="0"/>
    <s v="Grande"/>
  </r>
  <r>
    <n v="833"/>
    <x v="151"/>
    <x v="8"/>
    <x v="2"/>
    <x v="0"/>
    <x v="39"/>
    <n v="50"/>
    <n v="8700"/>
    <n v="0"/>
    <n v="435000"/>
    <x v="791"/>
    <x v="2"/>
    <x v="3"/>
    <x v="1"/>
    <x v="1"/>
    <s v="08/2023"/>
    <x v="1"/>
    <s v="Grande"/>
  </r>
  <r>
    <n v="834"/>
    <x v="230"/>
    <x v="2"/>
    <x v="3"/>
    <x v="1"/>
    <x v="18"/>
    <n v="29"/>
    <n v="96200"/>
    <n v="0"/>
    <n v="2789800"/>
    <x v="792"/>
    <x v="1"/>
    <x v="0"/>
    <x v="10"/>
    <x v="0"/>
    <s v="12/2024"/>
    <x v="0"/>
    <s v="Grande"/>
  </r>
  <r>
    <n v="835"/>
    <x v="192"/>
    <x v="9"/>
    <x v="0"/>
    <x v="3"/>
    <x v="20"/>
    <n v="11"/>
    <n v="6700"/>
    <n v="0"/>
    <n v="73700"/>
    <x v="793"/>
    <x v="0"/>
    <x v="1"/>
    <x v="5"/>
    <x v="0"/>
    <s v="09/2024"/>
    <x v="1"/>
    <s v="Moyenne"/>
  </r>
  <r>
    <n v="836"/>
    <x v="395"/>
    <x v="4"/>
    <x v="1"/>
    <x v="3"/>
    <x v="36"/>
    <n v="7"/>
    <n v="4100"/>
    <n v="0"/>
    <n v="28700"/>
    <x v="794"/>
    <x v="0"/>
    <x v="3"/>
    <x v="0"/>
    <x v="1"/>
    <s v="10/2023"/>
    <x v="0"/>
    <s v="Petite"/>
  </r>
  <r>
    <n v="837"/>
    <x v="353"/>
    <x v="0"/>
    <x v="4"/>
    <x v="4"/>
    <x v="29"/>
    <n v="1"/>
    <n v="19700"/>
    <n v="0"/>
    <n v="19700"/>
    <x v="795"/>
    <x v="0"/>
    <x v="2"/>
    <x v="11"/>
    <x v="1"/>
    <s v="05/2023"/>
    <x v="3"/>
    <s v="Petite"/>
  </r>
  <r>
    <n v="838"/>
    <x v="373"/>
    <x v="2"/>
    <x v="4"/>
    <x v="1"/>
    <x v="32"/>
    <n v="49"/>
    <n v="2500"/>
    <n v="0"/>
    <n v="122500"/>
    <x v="81"/>
    <x v="0"/>
    <x v="4"/>
    <x v="0"/>
    <x v="1"/>
    <s v="10/2023"/>
    <x v="0"/>
    <s v="Moyenne"/>
  </r>
  <r>
    <n v="839"/>
    <x v="217"/>
    <x v="7"/>
    <x v="4"/>
    <x v="2"/>
    <x v="23"/>
    <n v="27"/>
    <n v="4800"/>
    <n v="0"/>
    <n v="129600"/>
    <x v="796"/>
    <x v="2"/>
    <x v="3"/>
    <x v="8"/>
    <x v="0"/>
    <s v="06/2024"/>
    <x v="3"/>
    <s v="Moyenne"/>
  </r>
  <r>
    <n v="840"/>
    <x v="130"/>
    <x v="6"/>
    <x v="5"/>
    <x v="3"/>
    <x v="19"/>
    <n v="21"/>
    <n v="2000"/>
    <n v="5"/>
    <n v="42000"/>
    <x v="543"/>
    <x v="0"/>
    <x v="1"/>
    <x v="2"/>
    <x v="0"/>
    <s v="03/2024"/>
    <x v="2"/>
    <s v="Petite"/>
  </r>
  <r>
    <n v="841"/>
    <x v="495"/>
    <x v="7"/>
    <x v="0"/>
    <x v="2"/>
    <x v="38"/>
    <n v="46"/>
    <n v="16000"/>
    <n v="5"/>
    <n v="736000"/>
    <x v="797"/>
    <x v="1"/>
    <x v="3"/>
    <x v="6"/>
    <x v="1"/>
    <s v="04/2023"/>
    <x v="3"/>
    <s v="Grande"/>
  </r>
  <r>
    <n v="842"/>
    <x v="498"/>
    <x v="2"/>
    <x v="2"/>
    <x v="0"/>
    <x v="39"/>
    <n v="18"/>
    <n v="7200"/>
    <n v="15"/>
    <n v="129600"/>
    <x v="376"/>
    <x v="2"/>
    <x v="1"/>
    <x v="7"/>
    <x v="0"/>
    <s v="02/2024"/>
    <x v="2"/>
    <s v="Moyenne"/>
  </r>
  <r>
    <n v="843"/>
    <x v="357"/>
    <x v="8"/>
    <x v="4"/>
    <x v="3"/>
    <x v="36"/>
    <n v="42"/>
    <n v="4100"/>
    <n v="0"/>
    <n v="172200"/>
    <x v="798"/>
    <x v="0"/>
    <x v="1"/>
    <x v="7"/>
    <x v="0"/>
    <s v="02/2024"/>
    <x v="2"/>
    <s v="Moyenne"/>
  </r>
  <r>
    <n v="844"/>
    <x v="47"/>
    <x v="1"/>
    <x v="3"/>
    <x v="0"/>
    <x v="21"/>
    <n v="48"/>
    <n v="4900"/>
    <n v="0"/>
    <n v="235200"/>
    <x v="799"/>
    <x v="2"/>
    <x v="3"/>
    <x v="2"/>
    <x v="1"/>
    <s v="03/2023"/>
    <x v="2"/>
    <s v="Grande"/>
  </r>
  <r>
    <n v="845"/>
    <x v="499"/>
    <x v="2"/>
    <x v="3"/>
    <x v="0"/>
    <x v="39"/>
    <n v="11"/>
    <n v="8700"/>
    <n v="0"/>
    <n v="95700"/>
    <x v="800"/>
    <x v="0"/>
    <x v="4"/>
    <x v="8"/>
    <x v="1"/>
    <s v="06/2023"/>
    <x v="3"/>
    <s v="Moyenne"/>
  </r>
  <r>
    <n v="846"/>
    <x v="500"/>
    <x v="7"/>
    <x v="3"/>
    <x v="1"/>
    <x v="18"/>
    <n v="17"/>
    <n v="94400"/>
    <n v="0"/>
    <n v="1604800"/>
    <x v="801"/>
    <x v="0"/>
    <x v="3"/>
    <x v="1"/>
    <x v="1"/>
    <s v="08/2023"/>
    <x v="1"/>
    <s v="Grande"/>
  </r>
  <r>
    <n v="847"/>
    <x v="160"/>
    <x v="0"/>
    <x v="1"/>
    <x v="0"/>
    <x v="4"/>
    <n v="16"/>
    <n v="35500"/>
    <n v="0"/>
    <n v="568000"/>
    <x v="802"/>
    <x v="1"/>
    <x v="1"/>
    <x v="7"/>
    <x v="1"/>
    <s v="02/2023"/>
    <x v="2"/>
    <s v="Grande"/>
  </r>
  <r>
    <n v="848"/>
    <x v="501"/>
    <x v="4"/>
    <x v="3"/>
    <x v="2"/>
    <x v="23"/>
    <n v="16"/>
    <n v="4900"/>
    <n v="20"/>
    <n v="78400"/>
    <x v="803"/>
    <x v="0"/>
    <x v="1"/>
    <x v="2"/>
    <x v="1"/>
    <s v="03/2023"/>
    <x v="2"/>
    <s v="Moyenne"/>
  </r>
  <r>
    <n v="849"/>
    <x v="156"/>
    <x v="8"/>
    <x v="0"/>
    <x v="2"/>
    <x v="23"/>
    <n v="6"/>
    <n v="5300"/>
    <n v="0"/>
    <n v="31800"/>
    <x v="804"/>
    <x v="0"/>
    <x v="2"/>
    <x v="11"/>
    <x v="0"/>
    <s v="05/2024"/>
    <x v="3"/>
    <s v="Petite"/>
  </r>
  <r>
    <n v="850"/>
    <x v="464"/>
    <x v="5"/>
    <x v="1"/>
    <x v="1"/>
    <x v="11"/>
    <n v="26"/>
    <n v="6400"/>
    <n v="20"/>
    <n v="166400"/>
    <x v="805"/>
    <x v="0"/>
    <x v="2"/>
    <x v="7"/>
    <x v="0"/>
    <s v="02/2024"/>
    <x v="2"/>
    <s v="Moyenne"/>
  </r>
  <r>
    <n v="851"/>
    <x v="502"/>
    <x v="9"/>
    <x v="1"/>
    <x v="4"/>
    <x v="28"/>
    <n v="32"/>
    <n v="12900"/>
    <n v="20"/>
    <n v="412800"/>
    <x v="806"/>
    <x v="1"/>
    <x v="2"/>
    <x v="5"/>
    <x v="1"/>
    <s v="09/2023"/>
    <x v="1"/>
    <s v="Grande"/>
  </r>
  <r>
    <n v="852"/>
    <x v="37"/>
    <x v="6"/>
    <x v="3"/>
    <x v="2"/>
    <x v="2"/>
    <n v="9"/>
    <n v="5800"/>
    <n v="0"/>
    <n v="52200"/>
    <x v="651"/>
    <x v="3"/>
    <x v="0"/>
    <x v="8"/>
    <x v="1"/>
    <s v="06/2023"/>
    <x v="3"/>
    <s v="Moyenne"/>
  </r>
  <r>
    <n v="853"/>
    <x v="486"/>
    <x v="8"/>
    <x v="1"/>
    <x v="1"/>
    <x v="12"/>
    <n v="24"/>
    <n v="20400"/>
    <n v="10"/>
    <n v="489600"/>
    <x v="807"/>
    <x v="2"/>
    <x v="0"/>
    <x v="8"/>
    <x v="1"/>
    <s v="06/2023"/>
    <x v="3"/>
    <s v="Grande"/>
  </r>
  <r>
    <n v="854"/>
    <x v="481"/>
    <x v="0"/>
    <x v="0"/>
    <x v="0"/>
    <x v="34"/>
    <n v="10"/>
    <n v="29100"/>
    <n v="0"/>
    <n v="291000"/>
    <x v="808"/>
    <x v="0"/>
    <x v="3"/>
    <x v="7"/>
    <x v="0"/>
    <s v="02/2024"/>
    <x v="2"/>
    <s v="Grande"/>
  </r>
  <r>
    <n v="855"/>
    <x v="497"/>
    <x v="4"/>
    <x v="1"/>
    <x v="1"/>
    <x v="12"/>
    <n v="38"/>
    <n v="16800"/>
    <n v="0"/>
    <n v="638400"/>
    <x v="809"/>
    <x v="0"/>
    <x v="3"/>
    <x v="3"/>
    <x v="1"/>
    <s v="07/2023"/>
    <x v="1"/>
    <s v="Grande"/>
  </r>
  <r>
    <n v="856"/>
    <x v="503"/>
    <x v="6"/>
    <x v="1"/>
    <x v="1"/>
    <x v="14"/>
    <n v="5"/>
    <n v="124400"/>
    <n v="5"/>
    <n v="622000"/>
    <x v="810"/>
    <x v="2"/>
    <x v="2"/>
    <x v="5"/>
    <x v="1"/>
    <s v="09/2023"/>
    <x v="1"/>
    <s v="Grande"/>
  </r>
  <r>
    <n v="857"/>
    <x v="326"/>
    <x v="4"/>
    <x v="3"/>
    <x v="4"/>
    <x v="15"/>
    <n v="31"/>
    <n v="8200"/>
    <n v="0"/>
    <n v="254200"/>
    <x v="811"/>
    <x v="1"/>
    <x v="1"/>
    <x v="5"/>
    <x v="0"/>
    <s v="09/2024"/>
    <x v="1"/>
    <s v="Grande"/>
  </r>
  <r>
    <n v="858"/>
    <x v="353"/>
    <x v="2"/>
    <x v="1"/>
    <x v="4"/>
    <x v="28"/>
    <n v="47"/>
    <n v="11200"/>
    <n v="5"/>
    <n v="526400"/>
    <x v="812"/>
    <x v="0"/>
    <x v="2"/>
    <x v="11"/>
    <x v="1"/>
    <s v="05/2023"/>
    <x v="3"/>
    <s v="Grande"/>
  </r>
  <r>
    <n v="859"/>
    <x v="5"/>
    <x v="7"/>
    <x v="2"/>
    <x v="3"/>
    <x v="20"/>
    <n v="29"/>
    <n v="7400"/>
    <n v="20"/>
    <n v="214600"/>
    <x v="813"/>
    <x v="1"/>
    <x v="0"/>
    <x v="1"/>
    <x v="1"/>
    <s v="08/2023"/>
    <x v="1"/>
    <s v="Moyenne"/>
  </r>
  <r>
    <n v="860"/>
    <x v="504"/>
    <x v="1"/>
    <x v="3"/>
    <x v="0"/>
    <x v="10"/>
    <n v="6"/>
    <n v="29700"/>
    <n v="10"/>
    <n v="178200"/>
    <x v="814"/>
    <x v="0"/>
    <x v="0"/>
    <x v="8"/>
    <x v="1"/>
    <s v="06/2023"/>
    <x v="3"/>
    <s v="Moyenne"/>
  </r>
  <r>
    <n v="861"/>
    <x v="505"/>
    <x v="5"/>
    <x v="1"/>
    <x v="3"/>
    <x v="20"/>
    <n v="35"/>
    <n v="6000"/>
    <n v="0"/>
    <n v="210000"/>
    <x v="815"/>
    <x v="0"/>
    <x v="0"/>
    <x v="8"/>
    <x v="0"/>
    <s v="06/2024"/>
    <x v="3"/>
    <s v="Grande"/>
  </r>
  <r>
    <n v="862"/>
    <x v="419"/>
    <x v="5"/>
    <x v="3"/>
    <x v="4"/>
    <x v="8"/>
    <n v="39"/>
    <n v="71600"/>
    <n v="5"/>
    <n v="2792400"/>
    <x v="816"/>
    <x v="0"/>
    <x v="0"/>
    <x v="3"/>
    <x v="1"/>
    <s v="07/2023"/>
    <x v="1"/>
    <s v="Grande"/>
  </r>
  <r>
    <n v="863"/>
    <x v="178"/>
    <x v="3"/>
    <x v="5"/>
    <x v="2"/>
    <x v="23"/>
    <n v="34"/>
    <n v="4300"/>
    <n v="0"/>
    <n v="146200"/>
    <x v="817"/>
    <x v="0"/>
    <x v="3"/>
    <x v="9"/>
    <x v="1"/>
    <s v="01/2023"/>
    <x v="2"/>
    <s v="Moyenne"/>
  </r>
  <r>
    <n v="864"/>
    <x v="12"/>
    <x v="0"/>
    <x v="3"/>
    <x v="2"/>
    <x v="16"/>
    <n v="17"/>
    <n v="9000"/>
    <n v="0"/>
    <n v="153000"/>
    <x v="818"/>
    <x v="1"/>
    <x v="1"/>
    <x v="6"/>
    <x v="1"/>
    <s v="04/2023"/>
    <x v="3"/>
    <s v="Moyenne"/>
  </r>
  <r>
    <n v="865"/>
    <x v="55"/>
    <x v="6"/>
    <x v="0"/>
    <x v="3"/>
    <x v="27"/>
    <n v="46"/>
    <n v="11300"/>
    <n v="0"/>
    <n v="519800"/>
    <x v="819"/>
    <x v="0"/>
    <x v="2"/>
    <x v="7"/>
    <x v="0"/>
    <s v="02/2024"/>
    <x v="2"/>
    <s v="Grande"/>
  </r>
  <r>
    <n v="866"/>
    <x v="213"/>
    <x v="6"/>
    <x v="1"/>
    <x v="0"/>
    <x v="34"/>
    <n v="8"/>
    <n v="31800"/>
    <n v="20"/>
    <n v="254400"/>
    <x v="820"/>
    <x v="0"/>
    <x v="1"/>
    <x v="4"/>
    <x v="1"/>
    <s v="11/2023"/>
    <x v="0"/>
    <s v="Grande"/>
  </r>
  <r>
    <n v="867"/>
    <x v="372"/>
    <x v="9"/>
    <x v="4"/>
    <x v="4"/>
    <x v="29"/>
    <n v="18"/>
    <n v="20500"/>
    <n v="10"/>
    <n v="369000"/>
    <x v="821"/>
    <x v="0"/>
    <x v="2"/>
    <x v="2"/>
    <x v="0"/>
    <s v="03/2024"/>
    <x v="2"/>
    <s v="Grande"/>
  </r>
  <r>
    <n v="868"/>
    <x v="72"/>
    <x v="0"/>
    <x v="1"/>
    <x v="1"/>
    <x v="9"/>
    <n v="2"/>
    <n v="9500"/>
    <n v="0"/>
    <n v="19000"/>
    <x v="237"/>
    <x v="0"/>
    <x v="0"/>
    <x v="7"/>
    <x v="0"/>
    <s v="02/2024"/>
    <x v="2"/>
    <s v="Petite"/>
  </r>
  <r>
    <n v="869"/>
    <x v="335"/>
    <x v="6"/>
    <x v="2"/>
    <x v="3"/>
    <x v="25"/>
    <n v="41"/>
    <n v="7600"/>
    <n v="0"/>
    <n v="311600"/>
    <x v="822"/>
    <x v="0"/>
    <x v="4"/>
    <x v="3"/>
    <x v="0"/>
    <s v="07/2024"/>
    <x v="1"/>
    <s v="Grande"/>
  </r>
  <r>
    <n v="870"/>
    <x v="54"/>
    <x v="6"/>
    <x v="4"/>
    <x v="3"/>
    <x v="25"/>
    <n v="36"/>
    <n v="8600"/>
    <n v="20"/>
    <n v="309600"/>
    <x v="823"/>
    <x v="0"/>
    <x v="0"/>
    <x v="3"/>
    <x v="0"/>
    <s v="07/2024"/>
    <x v="1"/>
    <s v="Grande"/>
  </r>
  <r>
    <n v="871"/>
    <x v="293"/>
    <x v="9"/>
    <x v="2"/>
    <x v="2"/>
    <x v="38"/>
    <n v="31"/>
    <n v="12800"/>
    <n v="20"/>
    <n v="396800"/>
    <x v="824"/>
    <x v="0"/>
    <x v="3"/>
    <x v="6"/>
    <x v="0"/>
    <s v="04/2024"/>
    <x v="3"/>
    <s v="Grande"/>
  </r>
  <r>
    <n v="872"/>
    <x v="11"/>
    <x v="7"/>
    <x v="2"/>
    <x v="2"/>
    <x v="16"/>
    <n v="48"/>
    <n v="8700"/>
    <n v="0"/>
    <n v="417600"/>
    <x v="825"/>
    <x v="0"/>
    <x v="0"/>
    <x v="4"/>
    <x v="0"/>
    <s v="11/2024"/>
    <x v="0"/>
    <s v="Grande"/>
  </r>
  <r>
    <n v="873"/>
    <x v="506"/>
    <x v="7"/>
    <x v="0"/>
    <x v="2"/>
    <x v="16"/>
    <n v="14"/>
    <n v="10700"/>
    <n v="15"/>
    <n v="149800"/>
    <x v="826"/>
    <x v="0"/>
    <x v="3"/>
    <x v="7"/>
    <x v="1"/>
    <s v="02/2023"/>
    <x v="2"/>
    <s v="Moyenne"/>
  </r>
  <r>
    <n v="874"/>
    <x v="418"/>
    <x v="4"/>
    <x v="1"/>
    <x v="0"/>
    <x v="0"/>
    <n v="21"/>
    <n v="23400"/>
    <n v="10"/>
    <n v="491400"/>
    <x v="827"/>
    <x v="0"/>
    <x v="2"/>
    <x v="10"/>
    <x v="1"/>
    <s v="12/2023"/>
    <x v="0"/>
    <s v="Grande"/>
  </r>
  <r>
    <n v="875"/>
    <x v="507"/>
    <x v="1"/>
    <x v="4"/>
    <x v="1"/>
    <x v="31"/>
    <n v="1"/>
    <n v="22500"/>
    <n v="10"/>
    <n v="22500"/>
    <x v="828"/>
    <x v="1"/>
    <x v="2"/>
    <x v="2"/>
    <x v="1"/>
    <s v="03/2023"/>
    <x v="2"/>
    <s v="Petite"/>
  </r>
  <r>
    <n v="876"/>
    <x v="66"/>
    <x v="8"/>
    <x v="1"/>
    <x v="3"/>
    <x v="19"/>
    <n v="42"/>
    <n v="2400"/>
    <n v="20"/>
    <n v="100800"/>
    <x v="829"/>
    <x v="1"/>
    <x v="0"/>
    <x v="10"/>
    <x v="0"/>
    <s v="12/2024"/>
    <x v="0"/>
    <s v="Moyenne"/>
  </r>
  <r>
    <n v="877"/>
    <x v="479"/>
    <x v="8"/>
    <x v="0"/>
    <x v="0"/>
    <x v="21"/>
    <n v="23"/>
    <n v="5000"/>
    <n v="0"/>
    <n v="115000"/>
    <x v="830"/>
    <x v="0"/>
    <x v="0"/>
    <x v="4"/>
    <x v="0"/>
    <s v="11/2024"/>
    <x v="0"/>
    <s v="Moyenne"/>
  </r>
  <r>
    <n v="878"/>
    <x v="477"/>
    <x v="3"/>
    <x v="4"/>
    <x v="4"/>
    <x v="35"/>
    <n v="2"/>
    <n v="90800"/>
    <n v="0"/>
    <n v="181600"/>
    <x v="831"/>
    <x v="1"/>
    <x v="3"/>
    <x v="6"/>
    <x v="0"/>
    <s v="04/2024"/>
    <x v="3"/>
    <s v="Moyenne"/>
  </r>
  <r>
    <n v="879"/>
    <x v="99"/>
    <x v="9"/>
    <x v="2"/>
    <x v="2"/>
    <x v="3"/>
    <n v="24"/>
    <n v="2100"/>
    <n v="15"/>
    <n v="50400"/>
    <x v="832"/>
    <x v="0"/>
    <x v="2"/>
    <x v="2"/>
    <x v="1"/>
    <s v="03/2023"/>
    <x v="2"/>
    <s v="Petite"/>
  </r>
  <r>
    <n v="880"/>
    <x v="436"/>
    <x v="9"/>
    <x v="4"/>
    <x v="1"/>
    <x v="1"/>
    <n v="41"/>
    <n v="9700"/>
    <n v="10"/>
    <n v="397700"/>
    <x v="833"/>
    <x v="0"/>
    <x v="3"/>
    <x v="10"/>
    <x v="0"/>
    <s v="12/2024"/>
    <x v="0"/>
    <s v="Grande"/>
  </r>
  <r>
    <n v="881"/>
    <x v="508"/>
    <x v="8"/>
    <x v="4"/>
    <x v="3"/>
    <x v="33"/>
    <n v="37"/>
    <n v="4800"/>
    <n v="0"/>
    <n v="177600"/>
    <x v="834"/>
    <x v="1"/>
    <x v="1"/>
    <x v="11"/>
    <x v="0"/>
    <s v="05/2024"/>
    <x v="3"/>
    <s v="Moyenne"/>
  </r>
  <r>
    <n v="882"/>
    <x v="79"/>
    <x v="6"/>
    <x v="0"/>
    <x v="2"/>
    <x v="16"/>
    <n v="15"/>
    <n v="10900"/>
    <n v="0"/>
    <n v="163500"/>
    <x v="835"/>
    <x v="2"/>
    <x v="3"/>
    <x v="1"/>
    <x v="0"/>
    <s v="08/2024"/>
    <x v="1"/>
    <s v="Moyenne"/>
  </r>
  <r>
    <n v="883"/>
    <x v="509"/>
    <x v="1"/>
    <x v="3"/>
    <x v="3"/>
    <x v="7"/>
    <n v="30"/>
    <n v="23500"/>
    <n v="15"/>
    <n v="705000"/>
    <x v="836"/>
    <x v="0"/>
    <x v="2"/>
    <x v="4"/>
    <x v="0"/>
    <s v="11/2024"/>
    <x v="0"/>
    <s v="Grande"/>
  </r>
  <r>
    <n v="884"/>
    <x v="510"/>
    <x v="1"/>
    <x v="2"/>
    <x v="4"/>
    <x v="29"/>
    <n v="44"/>
    <n v="17400"/>
    <n v="0"/>
    <n v="765600"/>
    <x v="837"/>
    <x v="0"/>
    <x v="2"/>
    <x v="4"/>
    <x v="0"/>
    <s v="11/2024"/>
    <x v="0"/>
    <s v="Grande"/>
  </r>
  <r>
    <n v="885"/>
    <x v="17"/>
    <x v="1"/>
    <x v="4"/>
    <x v="1"/>
    <x v="32"/>
    <n v="35"/>
    <n v="2800"/>
    <n v="5"/>
    <n v="98000"/>
    <x v="838"/>
    <x v="0"/>
    <x v="0"/>
    <x v="8"/>
    <x v="0"/>
    <s v="06/2024"/>
    <x v="3"/>
    <s v="Moyenne"/>
  </r>
  <r>
    <n v="886"/>
    <x v="299"/>
    <x v="3"/>
    <x v="0"/>
    <x v="3"/>
    <x v="20"/>
    <n v="15"/>
    <n v="7500"/>
    <n v="0"/>
    <n v="112500"/>
    <x v="839"/>
    <x v="3"/>
    <x v="2"/>
    <x v="3"/>
    <x v="1"/>
    <s v="07/2023"/>
    <x v="1"/>
    <s v="Moyenne"/>
  </r>
  <r>
    <n v="887"/>
    <x v="511"/>
    <x v="5"/>
    <x v="4"/>
    <x v="0"/>
    <x v="34"/>
    <n v="41"/>
    <n v="29300"/>
    <n v="5"/>
    <n v="1201300"/>
    <x v="840"/>
    <x v="0"/>
    <x v="4"/>
    <x v="5"/>
    <x v="1"/>
    <s v="09/2023"/>
    <x v="1"/>
    <s v="Grande"/>
  </r>
  <r>
    <n v="888"/>
    <x v="512"/>
    <x v="9"/>
    <x v="2"/>
    <x v="0"/>
    <x v="0"/>
    <n v="16"/>
    <n v="20400"/>
    <n v="20"/>
    <n v="326400"/>
    <x v="841"/>
    <x v="3"/>
    <x v="0"/>
    <x v="9"/>
    <x v="1"/>
    <s v="01/2023"/>
    <x v="2"/>
    <s v="Grande"/>
  </r>
  <r>
    <n v="889"/>
    <x v="118"/>
    <x v="2"/>
    <x v="4"/>
    <x v="1"/>
    <x v="31"/>
    <n v="41"/>
    <n v="27300"/>
    <n v="0"/>
    <n v="1119300"/>
    <x v="842"/>
    <x v="0"/>
    <x v="0"/>
    <x v="1"/>
    <x v="1"/>
    <s v="08/2023"/>
    <x v="1"/>
    <s v="Grande"/>
  </r>
  <r>
    <n v="890"/>
    <x v="495"/>
    <x v="1"/>
    <x v="1"/>
    <x v="0"/>
    <x v="10"/>
    <n v="4"/>
    <n v="30700"/>
    <n v="0"/>
    <n v="122800"/>
    <x v="843"/>
    <x v="2"/>
    <x v="2"/>
    <x v="6"/>
    <x v="1"/>
    <s v="04/2023"/>
    <x v="3"/>
    <s v="Moyenne"/>
  </r>
  <r>
    <n v="891"/>
    <x v="513"/>
    <x v="9"/>
    <x v="1"/>
    <x v="1"/>
    <x v="14"/>
    <n v="36"/>
    <n v="128300"/>
    <n v="5"/>
    <n v="4618800"/>
    <x v="844"/>
    <x v="0"/>
    <x v="2"/>
    <x v="11"/>
    <x v="1"/>
    <s v="05/2023"/>
    <x v="3"/>
    <s v="Grande"/>
  </r>
  <r>
    <n v="892"/>
    <x v="218"/>
    <x v="9"/>
    <x v="1"/>
    <x v="2"/>
    <x v="38"/>
    <n v="30"/>
    <n v="14200"/>
    <n v="0"/>
    <n v="426000"/>
    <x v="845"/>
    <x v="1"/>
    <x v="0"/>
    <x v="5"/>
    <x v="1"/>
    <s v="09/2023"/>
    <x v="1"/>
    <s v="Grande"/>
  </r>
  <r>
    <n v="893"/>
    <x v="514"/>
    <x v="1"/>
    <x v="1"/>
    <x v="3"/>
    <x v="27"/>
    <n v="7"/>
    <n v="12600"/>
    <n v="10"/>
    <n v="88200"/>
    <x v="846"/>
    <x v="0"/>
    <x v="0"/>
    <x v="0"/>
    <x v="0"/>
    <s v="10/2024"/>
    <x v="0"/>
    <s v="Moyenne"/>
  </r>
  <r>
    <n v="894"/>
    <x v="75"/>
    <x v="9"/>
    <x v="4"/>
    <x v="3"/>
    <x v="7"/>
    <n v="31"/>
    <n v="21800"/>
    <n v="0"/>
    <n v="675800"/>
    <x v="847"/>
    <x v="1"/>
    <x v="2"/>
    <x v="3"/>
    <x v="1"/>
    <s v="07/2023"/>
    <x v="1"/>
    <s v="Grande"/>
  </r>
  <r>
    <n v="895"/>
    <x v="378"/>
    <x v="6"/>
    <x v="0"/>
    <x v="1"/>
    <x v="12"/>
    <n v="28"/>
    <n v="17600"/>
    <n v="0"/>
    <n v="492800"/>
    <x v="848"/>
    <x v="0"/>
    <x v="3"/>
    <x v="8"/>
    <x v="1"/>
    <s v="06/2023"/>
    <x v="3"/>
    <s v="Grande"/>
  </r>
  <r>
    <n v="896"/>
    <x v="197"/>
    <x v="2"/>
    <x v="4"/>
    <x v="2"/>
    <x v="2"/>
    <n v="22"/>
    <n v="5300"/>
    <n v="10"/>
    <n v="116600"/>
    <x v="849"/>
    <x v="0"/>
    <x v="0"/>
    <x v="1"/>
    <x v="0"/>
    <s v="08/2024"/>
    <x v="1"/>
    <s v="Moyenne"/>
  </r>
  <r>
    <n v="897"/>
    <x v="274"/>
    <x v="6"/>
    <x v="0"/>
    <x v="2"/>
    <x v="38"/>
    <n v="13"/>
    <n v="14100"/>
    <n v="20"/>
    <n v="183300"/>
    <x v="850"/>
    <x v="3"/>
    <x v="1"/>
    <x v="1"/>
    <x v="0"/>
    <s v="08/2024"/>
    <x v="1"/>
    <s v="Moyenne"/>
  </r>
  <r>
    <n v="898"/>
    <x v="30"/>
    <x v="3"/>
    <x v="4"/>
    <x v="4"/>
    <x v="28"/>
    <n v="22"/>
    <n v="12600"/>
    <n v="0"/>
    <n v="277200"/>
    <x v="851"/>
    <x v="2"/>
    <x v="3"/>
    <x v="10"/>
    <x v="1"/>
    <s v="12/2023"/>
    <x v="0"/>
    <s v="Grande"/>
  </r>
  <r>
    <n v="899"/>
    <x v="501"/>
    <x v="7"/>
    <x v="2"/>
    <x v="2"/>
    <x v="24"/>
    <n v="3"/>
    <n v="5600"/>
    <n v="15"/>
    <n v="16800"/>
    <x v="852"/>
    <x v="0"/>
    <x v="0"/>
    <x v="2"/>
    <x v="1"/>
    <s v="03/2023"/>
    <x v="2"/>
    <s v="Petite"/>
  </r>
  <r>
    <n v="900"/>
    <x v="267"/>
    <x v="5"/>
    <x v="1"/>
    <x v="3"/>
    <x v="33"/>
    <n v="48"/>
    <n v="4300"/>
    <n v="20"/>
    <n v="206400"/>
    <x v="853"/>
    <x v="1"/>
    <x v="3"/>
    <x v="1"/>
    <x v="1"/>
    <s v="08/2023"/>
    <x v="1"/>
    <s v="Moyenne"/>
  </r>
  <r>
    <n v="901"/>
    <x v="222"/>
    <x v="5"/>
    <x v="1"/>
    <x v="2"/>
    <x v="38"/>
    <n v="5"/>
    <n v="13900"/>
    <n v="0"/>
    <n v="69500"/>
    <x v="854"/>
    <x v="0"/>
    <x v="0"/>
    <x v="9"/>
    <x v="0"/>
    <s v="01/2024"/>
    <x v="2"/>
    <s v="Moyenne"/>
  </r>
  <r>
    <n v="902"/>
    <x v="408"/>
    <x v="8"/>
    <x v="4"/>
    <x v="3"/>
    <x v="27"/>
    <n v="2"/>
    <n v="10900"/>
    <n v="0"/>
    <n v="21800"/>
    <x v="855"/>
    <x v="0"/>
    <x v="3"/>
    <x v="0"/>
    <x v="1"/>
    <s v="10/2023"/>
    <x v="0"/>
    <s v="Petite"/>
  </r>
  <r>
    <n v="903"/>
    <x v="10"/>
    <x v="4"/>
    <x v="4"/>
    <x v="0"/>
    <x v="0"/>
    <n v="2"/>
    <n v="20800"/>
    <n v="0"/>
    <n v="41600"/>
    <x v="519"/>
    <x v="0"/>
    <x v="3"/>
    <x v="1"/>
    <x v="1"/>
    <s v="08/2023"/>
    <x v="1"/>
    <s v="Petite"/>
  </r>
  <r>
    <n v="904"/>
    <x v="515"/>
    <x v="6"/>
    <x v="1"/>
    <x v="1"/>
    <x v="11"/>
    <n v="20"/>
    <n v="6800"/>
    <n v="20"/>
    <n v="136000"/>
    <x v="554"/>
    <x v="0"/>
    <x v="3"/>
    <x v="9"/>
    <x v="1"/>
    <s v="01/2023"/>
    <x v="2"/>
    <s v="Moyenne"/>
  </r>
  <r>
    <n v="905"/>
    <x v="125"/>
    <x v="6"/>
    <x v="3"/>
    <x v="3"/>
    <x v="25"/>
    <n v="5"/>
    <n v="8400"/>
    <n v="20"/>
    <n v="42000"/>
    <x v="856"/>
    <x v="0"/>
    <x v="1"/>
    <x v="9"/>
    <x v="0"/>
    <s v="01/2024"/>
    <x v="2"/>
    <s v="Petite"/>
  </r>
  <r>
    <n v="906"/>
    <x v="25"/>
    <x v="5"/>
    <x v="3"/>
    <x v="4"/>
    <x v="15"/>
    <n v="28"/>
    <n v="7300"/>
    <n v="0"/>
    <n v="204400"/>
    <x v="857"/>
    <x v="3"/>
    <x v="1"/>
    <x v="3"/>
    <x v="1"/>
    <s v="07/2023"/>
    <x v="1"/>
    <s v="Grande"/>
  </r>
  <r>
    <n v="907"/>
    <x v="256"/>
    <x v="9"/>
    <x v="4"/>
    <x v="3"/>
    <x v="7"/>
    <n v="21"/>
    <n v="24100"/>
    <n v="20"/>
    <n v="506100"/>
    <x v="858"/>
    <x v="0"/>
    <x v="3"/>
    <x v="5"/>
    <x v="0"/>
    <s v="09/2024"/>
    <x v="1"/>
    <s v="Grande"/>
  </r>
  <r>
    <n v="908"/>
    <x v="516"/>
    <x v="2"/>
    <x v="5"/>
    <x v="4"/>
    <x v="26"/>
    <n v="31"/>
    <n v="45400"/>
    <n v="0"/>
    <n v="1407400"/>
    <x v="859"/>
    <x v="1"/>
    <x v="0"/>
    <x v="0"/>
    <x v="1"/>
    <s v="10/2023"/>
    <x v="0"/>
    <s v="Grande"/>
  </r>
  <r>
    <n v="909"/>
    <x v="330"/>
    <x v="7"/>
    <x v="3"/>
    <x v="0"/>
    <x v="5"/>
    <n v="12"/>
    <n v="3600"/>
    <n v="10"/>
    <n v="43200"/>
    <x v="860"/>
    <x v="0"/>
    <x v="3"/>
    <x v="6"/>
    <x v="0"/>
    <s v="04/2024"/>
    <x v="3"/>
    <s v="Petite"/>
  </r>
  <r>
    <n v="910"/>
    <x v="229"/>
    <x v="8"/>
    <x v="1"/>
    <x v="4"/>
    <x v="17"/>
    <n v="41"/>
    <n v="120200"/>
    <n v="0"/>
    <n v="4928200"/>
    <x v="861"/>
    <x v="2"/>
    <x v="0"/>
    <x v="10"/>
    <x v="0"/>
    <s v="12/2024"/>
    <x v="0"/>
    <s v="Grande"/>
  </r>
  <r>
    <n v="911"/>
    <x v="10"/>
    <x v="5"/>
    <x v="1"/>
    <x v="2"/>
    <x v="23"/>
    <n v="28"/>
    <n v="4600"/>
    <n v="20"/>
    <n v="128800"/>
    <x v="862"/>
    <x v="2"/>
    <x v="1"/>
    <x v="1"/>
    <x v="1"/>
    <s v="08/2023"/>
    <x v="1"/>
    <s v="Moyenne"/>
  </r>
  <r>
    <n v="912"/>
    <x v="517"/>
    <x v="4"/>
    <x v="3"/>
    <x v="1"/>
    <x v="12"/>
    <n v="19"/>
    <n v="19600"/>
    <n v="0"/>
    <n v="372400"/>
    <x v="863"/>
    <x v="0"/>
    <x v="3"/>
    <x v="9"/>
    <x v="0"/>
    <s v="01/2024"/>
    <x v="2"/>
    <s v="Grande"/>
  </r>
  <r>
    <n v="913"/>
    <x v="197"/>
    <x v="1"/>
    <x v="1"/>
    <x v="3"/>
    <x v="27"/>
    <n v="30"/>
    <n v="12100"/>
    <n v="20"/>
    <n v="363000"/>
    <x v="864"/>
    <x v="0"/>
    <x v="3"/>
    <x v="1"/>
    <x v="0"/>
    <s v="08/2024"/>
    <x v="1"/>
    <s v="Grande"/>
  </r>
  <r>
    <n v="914"/>
    <x v="518"/>
    <x v="3"/>
    <x v="2"/>
    <x v="4"/>
    <x v="35"/>
    <n v="15"/>
    <n v="89800"/>
    <n v="0"/>
    <n v="1347000"/>
    <x v="865"/>
    <x v="0"/>
    <x v="0"/>
    <x v="11"/>
    <x v="0"/>
    <s v="05/2024"/>
    <x v="3"/>
    <s v="Grande"/>
  </r>
  <r>
    <n v="915"/>
    <x v="519"/>
    <x v="4"/>
    <x v="3"/>
    <x v="3"/>
    <x v="19"/>
    <n v="15"/>
    <n v="2400"/>
    <n v="0"/>
    <n v="36000"/>
    <x v="76"/>
    <x v="0"/>
    <x v="0"/>
    <x v="2"/>
    <x v="1"/>
    <s v="03/2023"/>
    <x v="2"/>
    <s v="Petite"/>
  </r>
  <r>
    <n v="916"/>
    <x v="520"/>
    <x v="2"/>
    <x v="4"/>
    <x v="0"/>
    <x v="0"/>
    <n v="17"/>
    <n v="23500"/>
    <n v="0"/>
    <n v="399500"/>
    <x v="866"/>
    <x v="0"/>
    <x v="3"/>
    <x v="5"/>
    <x v="1"/>
    <s v="09/2023"/>
    <x v="1"/>
    <s v="Grande"/>
  </r>
  <r>
    <n v="917"/>
    <x v="452"/>
    <x v="9"/>
    <x v="4"/>
    <x v="3"/>
    <x v="7"/>
    <n v="20"/>
    <n v="19800"/>
    <n v="20"/>
    <n v="396000"/>
    <x v="867"/>
    <x v="0"/>
    <x v="3"/>
    <x v="10"/>
    <x v="0"/>
    <s v="12/2024"/>
    <x v="0"/>
    <s v="Grande"/>
  </r>
  <r>
    <n v="918"/>
    <x v="357"/>
    <x v="7"/>
    <x v="3"/>
    <x v="1"/>
    <x v="31"/>
    <n v="49"/>
    <n v="26600"/>
    <n v="0"/>
    <n v="1303400"/>
    <x v="868"/>
    <x v="3"/>
    <x v="2"/>
    <x v="7"/>
    <x v="0"/>
    <s v="02/2024"/>
    <x v="2"/>
    <s v="Grande"/>
  </r>
  <r>
    <n v="919"/>
    <x v="521"/>
    <x v="5"/>
    <x v="1"/>
    <x v="2"/>
    <x v="2"/>
    <n v="30"/>
    <n v="5800"/>
    <n v="0"/>
    <n v="174000"/>
    <x v="869"/>
    <x v="0"/>
    <x v="0"/>
    <x v="1"/>
    <x v="1"/>
    <s v="08/2023"/>
    <x v="1"/>
    <s v="Moyenne"/>
  </r>
  <r>
    <n v="920"/>
    <x v="522"/>
    <x v="7"/>
    <x v="1"/>
    <x v="2"/>
    <x v="2"/>
    <n v="36"/>
    <n v="5500"/>
    <n v="10"/>
    <n v="198000"/>
    <x v="870"/>
    <x v="0"/>
    <x v="1"/>
    <x v="10"/>
    <x v="1"/>
    <s v="12/2023"/>
    <x v="0"/>
    <s v="Moyenne"/>
  </r>
  <r>
    <n v="921"/>
    <x v="523"/>
    <x v="4"/>
    <x v="0"/>
    <x v="4"/>
    <x v="15"/>
    <n v="27"/>
    <n v="7400"/>
    <n v="20"/>
    <n v="199800"/>
    <x v="871"/>
    <x v="0"/>
    <x v="2"/>
    <x v="10"/>
    <x v="1"/>
    <s v="12/2023"/>
    <x v="0"/>
    <s v="Moyenne"/>
  </r>
  <r>
    <n v="922"/>
    <x v="257"/>
    <x v="2"/>
    <x v="2"/>
    <x v="0"/>
    <x v="4"/>
    <n v="3"/>
    <n v="36500"/>
    <n v="0"/>
    <n v="109500"/>
    <x v="872"/>
    <x v="2"/>
    <x v="1"/>
    <x v="1"/>
    <x v="0"/>
    <s v="08/2024"/>
    <x v="1"/>
    <s v="Moyenne"/>
  </r>
  <r>
    <n v="923"/>
    <x v="524"/>
    <x v="9"/>
    <x v="3"/>
    <x v="3"/>
    <x v="25"/>
    <n v="14"/>
    <n v="8600"/>
    <n v="10"/>
    <n v="120400"/>
    <x v="873"/>
    <x v="3"/>
    <x v="0"/>
    <x v="6"/>
    <x v="0"/>
    <s v="04/2024"/>
    <x v="3"/>
    <s v="Moyenne"/>
  </r>
  <r>
    <n v="924"/>
    <x v="180"/>
    <x v="5"/>
    <x v="1"/>
    <x v="1"/>
    <x v="11"/>
    <n v="29"/>
    <n v="6300"/>
    <n v="0"/>
    <n v="182700"/>
    <x v="874"/>
    <x v="0"/>
    <x v="3"/>
    <x v="9"/>
    <x v="0"/>
    <s v="01/2024"/>
    <x v="2"/>
    <s v="Moyenne"/>
  </r>
  <r>
    <n v="925"/>
    <x v="219"/>
    <x v="0"/>
    <x v="3"/>
    <x v="2"/>
    <x v="38"/>
    <n v="39"/>
    <n v="15500"/>
    <n v="0"/>
    <n v="604500"/>
    <x v="875"/>
    <x v="0"/>
    <x v="1"/>
    <x v="8"/>
    <x v="1"/>
    <s v="06/2023"/>
    <x v="3"/>
    <s v="Grande"/>
  </r>
  <r>
    <n v="926"/>
    <x v="40"/>
    <x v="7"/>
    <x v="2"/>
    <x v="2"/>
    <x v="3"/>
    <n v="34"/>
    <n v="1800"/>
    <n v="0"/>
    <n v="61200"/>
    <x v="876"/>
    <x v="0"/>
    <x v="0"/>
    <x v="2"/>
    <x v="1"/>
    <s v="03/2023"/>
    <x v="2"/>
    <s v="Moyenne"/>
  </r>
  <r>
    <n v="927"/>
    <x v="525"/>
    <x v="1"/>
    <x v="4"/>
    <x v="0"/>
    <x v="21"/>
    <n v="8"/>
    <n v="4500"/>
    <n v="5"/>
    <n v="36000"/>
    <x v="877"/>
    <x v="0"/>
    <x v="2"/>
    <x v="8"/>
    <x v="0"/>
    <s v="06/2024"/>
    <x v="3"/>
    <s v="Petite"/>
  </r>
  <r>
    <n v="928"/>
    <x v="30"/>
    <x v="7"/>
    <x v="4"/>
    <x v="2"/>
    <x v="3"/>
    <n v="46"/>
    <n v="1800"/>
    <n v="10"/>
    <n v="82800"/>
    <x v="878"/>
    <x v="1"/>
    <x v="1"/>
    <x v="10"/>
    <x v="1"/>
    <s v="12/2023"/>
    <x v="0"/>
    <s v="Moyenne"/>
  </r>
  <r>
    <n v="929"/>
    <x v="526"/>
    <x v="4"/>
    <x v="3"/>
    <x v="2"/>
    <x v="2"/>
    <n v="1"/>
    <n v="5200"/>
    <n v="0"/>
    <n v="5200"/>
    <x v="879"/>
    <x v="3"/>
    <x v="2"/>
    <x v="4"/>
    <x v="0"/>
    <s v="11/2024"/>
    <x v="0"/>
    <s v="Petite"/>
  </r>
  <r>
    <n v="930"/>
    <x v="489"/>
    <x v="9"/>
    <x v="4"/>
    <x v="3"/>
    <x v="27"/>
    <n v="32"/>
    <n v="13500"/>
    <n v="15"/>
    <n v="432000"/>
    <x v="122"/>
    <x v="0"/>
    <x v="0"/>
    <x v="7"/>
    <x v="0"/>
    <s v="02/2024"/>
    <x v="2"/>
    <s v="Grande"/>
  </r>
  <r>
    <n v="931"/>
    <x v="527"/>
    <x v="4"/>
    <x v="1"/>
    <x v="0"/>
    <x v="34"/>
    <n v="12"/>
    <n v="31900"/>
    <n v="10"/>
    <n v="382800"/>
    <x v="880"/>
    <x v="0"/>
    <x v="1"/>
    <x v="6"/>
    <x v="1"/>
    <s v="04/2023"/>
    <x v="3"/>
    <s v="Grande"/>
  </r>
  <r>
    <n v="932"/>
    <x v="367"/>
    <x v="8"/>
    <x v="1"/>
    <x v="2"/>
    <x v="24"/>
    <n v="3"/>
    <n v="5500"/>
    <n v="0"/>
    <n v="16500"/>
    <x v="39"/>
    <x v="0"/>
    <x v="1"/>
    <x v="2"/>
    <x v="0"/>
    <s v="03/2024"/>
    <x v="2"/>
    <s v="Petite"/>
  </r>
  <r>
    <n v="933"/>
    <x v="528"/>
    <x v="2"/>
    <x v="2"/>
    <x v="1"/>
    <x v="1"/>
    <n v="27"/>
    <n v="9600"/>
    <n v="0"/>
    <n v="259200"/>
    <x v="881"/>
    <x v="3"/>
    <x v="0"/>
    <x v="11"/>
    <x v="0"/>
    <s v="05/2024"/>
    <x v="3"/>
    <s v="Grande"/>
  </r>
  <r>
    <n v="934"/>
    <x v="469"/>
    <x v="0"/>
    <x v="3"/>
    <x v="0"/>
    <x v="21"/>
    <n v="17"/>
    <n v="4600"/>
    <n v="5"/>
    <n v="78200"/>
    <x v="882"/>
    <x v="0"/>
    <x v="0"/>
    <x v="2"/>
    <x v="1"/>
    <s v="03/2023"/>
    <x v="2"/>
    <s v="Moyenne"/>
  </r>
  <r>
    <n v="935"/>
    <x v="529"/>
    <x v="0"/>
    <x v="1"/>
    <x v="4"/>
    <x v="15"/>
    <n v="13"/>
    <n v="8100"/>
    <n v="0"/>
    <n v="105300"/>
    <x v="675"/>
    <x v="0"/>
    <x v="0"/>
    <x v="9"/>
    <x v="1"/>
    <s v="01/2023"/>
    <x v="2"/>
    <s v="Moyenne"/>
  </r>
  <r>
    <n v="936"/>
    <x v="12"/>
    <x v="6"/>
    <x v="2"/>
    <x v="4"/>
    <x v="28"/>
    <n v="6"/>
    <n v="12200"/>
    <n v="15"/>
    <n v="73200"/>
    <x v="883"/>
    <x v="0"/>
    <x v="1"/>
    <x v="6"/>
    <x v="1"/>
    <s v="04/2023"/>
    <x v="3"/>
    <s v="Moyenne"/>
  </r>
  <r>
    <n v="937"/>
    <x v="147"/>
    <x v="6"/>
    <x v="1"/>
    <x v="0"/>
    <x v="22"/>
    <n v="2"/>
    <n v="11300"/>
    <n v="0"/>
    <n v="22600"/>
    <x v="884"/>
    <x v="0"/>
    <x v="1"/>
    <x v="2"/>
    <x v="0"/>
    <s v="03/2024"/>
    <x v="2"/>
    <s v="Petite"/>
  </r>
  <r>
    <n v="938"/>
    <x v="171"/>
    <x v="2"/>
    <x v="1"/>
    <x v="2"/>
    <x v="24"/>
    <n v="1"/>
    <n v="5900"/>
    <n v="5"/>
    <n v="5900"/>
    <x v="885"/>
    <x v="1"/>
    <x v="1"/>
    <x v="1"/>
    <x v="1"/>
    <s v="08/2023"/>
    <x v="1"/>
    <s v="Petite"/>
  </r>
  <r>
    <n v="939"/>
    <x v="279"/>
    <x v="6"/>
    <x v="4"/>
    <x v="1"/>
    <x v="1"/>
    <n v="4"/>
    <n v="8600"/>
    <n v="5"/>
    <n v="34400"/>
    <x v="886"/>
    <x v="1"/>
    <x v="0"/>
    <x v="7"/>
    <x v="0"/>
    <s v="02/2024"/>
    <x v="2"/>
    <s v="Petite"/>
  </r>
  <r>
    <n v="940"/>
    <x v="135"/>
    <x v="4"/>
    <x v="1"/>
    <x v="1"/>
    <x v="18"/>
    <n v="25"/>
    <n v="77500"/>
    <n v="0"/>
    <n v="1937500"/>
    <x v="887"/>
    <x v="1"/>
    <x v="1"/>
    <x v="3"/>
    <x v="0"/>
    <s v="07/2024"/>
    <x v="1"/>
    <s v="Grande"/>
  </r>
  <r>
    <n v="941"/>
    <x v="530"/>
    <x v="5"/>
    <x v="0"/>
    <x v="1"/>
    <x v="9"/>
    <n v="1"/>
    <n v="8200"/>
    <n v="15"/>
    <n v="8200"/>
    <x v="888"/>
    <x v="0"/>
    <x v="1"/>
    <x v="7"/>
    <x v="1"/>
    <s v="02/2023"/>
    <x v="2"/>
    <s v="Petite"/>
  </r>
  <r>
    <n v="942"/>
    <x v="38"/>
    <x v="0"/>
    <x v="4"/>
    <x v="1"/>
    <x v="12"/>
    <n v="3"/>
    <n v="19500"/>
    <n v="20"/>
    <n v="58500"/>
    <x v="280"/>
    <x v="0"/>
    <x v="4"/>
    <x v="4"/>
    <x v="0"/>
    <s v="11/2024"/>
    <x v="0"/>
    <s v="Petite"/>
  </r>
  <r>
    <n v="943"/>
    <x v="271"/>
    <x v="3"/>
    <x v="3"/>
    <x v="2"/>
    <x v="3"/>
    <n v="26"/>
    <n v="2000"/>
    <n v="0"/>
    <n v="52000"/>
    <x v="889"/>
    <x v="3"/>
    <x v="0"/>
    <x v="9"/>
    <x v="1"/>
    <s v="01/2023"/>
    <x v="2"/>
    <s v="Moyenne"/>
  </r>
  <r>
    <n v="944"/>
    <x v="434"/>
    <x v="0"/>
    <x v="2"/>
    <x v="0"/>
    <x v="22"/>
    <n v="42"/>
    <n v="10800"/>
    <n v="0"/>
    <n v="453600"/>
    <x v="890"/>
    <x v="0"/>
    <x v="2"/>
    <x v="3"/>
    <x v="1"/>
    <s v="07/2023"/>
    <x v="1"/>
    <s v="Grande"/>
  </r>
  <r>
    <n v="945"/>
    <x v="290"/>
    <x v="5"/>
    <x v="0"/>
    <x v="0"/>
    <x v="39"/>
    <n v="14"/>
    <n v="7300"/>
    <n v="0"/>
    <n v="102200"/>
    <x v="891"/>
    <x v="0"/>
    <x v="2"/>
    <x v="6"/>
    <x v="0"/>
    <s v="04/2024"/>
    <x v="3"/>
    <s v="Moyenne"/>
  </r>
  <r>
    <n v="946"/>
    <x v="263"/>
    <x v="2"/>
    <x v="3"/>
    <x v="2"/>
    <x v="16"/>
    <n v="39"/>
    <n v="10900"/>
    <n v="15"/>
    <n v="425100"/>
    <x v="892"/>
    <x v="0"/>
    <x v="2"/>
    <x v="10"/>
    <x v="0"/>
    <s v="12/2024"/>
    <x v="0"/>
    <s v="Grande"/>
  </r>
  <r>
    <n v="947"/>
    <x v="269"/>
    <x v="6"/>
    <x v="2"/>
    <x v="2"/>
    <x v="37"/>
    <n v="43"/>
    <n v="3700"/>
    <n v="0"/>
    <n v="159100"/>
    <x v="893"/>
    <x v="0"/>
    <x v="3"/>
    <x v="4"/>
    <x v="0"/>
    <s v="11/2024"/>
    <x v="0"/>
    <s v="Moyenne"/>
  </r>
  <r>
    <n v="948"/>
    <x v="153"/>
    <x v="9"/>
    <x v="1"/>
    <x v="4"/>
    <x v="26"/>
    <n v="46"/>
    <n v="43100"/>
    <n v="0"/>
    <n v="1982600"/>
    <x v="894"/>
    <x v="3"/>
    <x v="1"/>
    <x v="5"/>
    <x v="0"/>
    <s v="09/2024"/>
    <x v="1"/>
    <s v="Grande"/>
  </r>
  <r>
    <n v="949"/>
    <x v="531"/>
    <x v="0"/>
    <x v="2"/>
    <x v="2"/>
    <x v="23"/>
    <n v="40"/>
    <n v="5200"/>
    <n v="0"/>
    <n v="208000"/>
    <x v="895"/>
    <x v="0"/>
    <x v="1"/>
    <x v="5"/>
    <x v="0"/>
    <s v="09/2024"/>
    <x v="1"/>
    <s v="Grande"/>
  </r>
  <r>
    <n v="950"/>
    <x v="532"/>
    <x v="4"/>
    <x v="4"/>
    <x v="2"/>
    <x v="23"/>
    <n v="3"/>
    <n v="4600"/>
    <n v="15"/>
    <n v="13800"/>
    <x v="896"/>
    <x v="0"/>
    <x v="2"/>
    <x v="11"/>
    <x v="0"/>
    <s v="05/2024"/>
    <x v="3"/>
    <s v="Petite"/>
  </r>
  <r>
    <n v="951"/>
    <x v="507"/>
    <x v="6"/>
    <x v="2"/>
    <x v="0"/>
    <x v="4"/>
    <n v="27"/>
    <n v="36100"/>
    <n v="20"/>
    <n v="974700"/>
    <x v="897"/>
    <x v="0"/>
    <x v="3"/>
    <x v="2"/>
    <x v="1"/>
    <s v="03/2023"/>
    <x v="2"/>
    <s v="Grande"/>
  </r>
  <r>
    <n v="952"/>
    <x v="512"/>
    <x v="5"/>
    <x v="2"/>
    <x v="0"/>
    <x v="0"/>
    <n v="4"/>
    <n v="20900"/>
    <n v="20"/>
    <n v="83600"/>
    <x v="898"/>
    <x v="2"/>
    <x v="1"/>
    <x v="9"/>
    <x v="1"/>
    <s v="01/2023"/>
    <x v="2"/>
    <s v="Moyenne"/>
  </r>
  <r>
    <n v="953"/>
    <x v="81"/>
    <x v="5"/>
    <x v="3"/>
    <x v="4"/>
    <x v="15"/>
    <n v="41"/>
    <n v="7100"/>
    <n v="0"/>
    <n v="291100"/>
    <x v="899"/>
    <x v="0"/>
    <x v="2"/>
    <x v="6"/>
    <x v="0"/>
    <s v="04/2024"/>
    <x v="3"/>
    <s v="Grande"/>
  </r>
  <r>
    <n v="954"/>
    <x v="288"/>
    <x v="1"/>
    <x v="4"/>
    <x v="2"/>
    <x v="13"/>
    <n v="38"/>
    <n v="3900"/>
    <n v="0"/>
    <n v="148200"/>
    <x v="900"/>
    <x v="0"/>
    <x v="1"/>
    <x v="3"/>
    <x v="1"/>
    <s v="07/2023"/>
    <x v="1"/>
    <s v="Moyenne"/>
  </r>
  <r>
    <n v="955"/>
    <x v="533"/>
    <x v="0"/>
    <x v="1"/>
    <x v="4"/>
    <x v="17"/>
    <n v="13"/>
    <n v="108200"/>
    <n v="10"/>
    <n v="1406600"/>
    <x v="901"/>
    <x v="0"/>
    <x v="1"/>
    <x v="2"/>
    <x v="0"/>
    <s v="03/2024"/>
    <x v="2"/>
    <s v="Grande"/>
  </r>
  <r>
    <n v="956"/>
    <x v="534"/>
    <x v="4"/>
    <x v="2"/>
    <x v="3"/>
    <x v="36"/>
    <n v="13"/>
    <n v="4300"/>
    <n v="0"/>
    <n v="55900"/>
    <x v="902"/>
    <x v="0"/>
    <x v="2"/>
    <x v="10"/>
    <x v="1"/>
    <s v="12/2023"/>
    <x v="0"/>
    <s v="Moyenne"/>
  </r>
  <r>
    <n v="957"/>
    <x v="339"/>
    <x v="7"/>
    <x v="1"/>
    <x v="2"/>
    <x v="2"/>
    <n v="33"/>
    <n v="5500"/>
    <n v="20"/>
    <n v="181500"/>
    <x v="903"/>
    <x v="0"/>
    <x v="2"/>
    <x v="6"/>
    <x v="0"/>
    <s v="04/2024"/>
    <x v="3"/>
    <s v="Moyenne"/>
  </r>
  <r>
    <n v="958"/>
    <x v="260"/>
    <x v="8"/>
    <x v="0"/>
    <x v="4"/>
    <x v="29"/>
    <n v="49"/>
    <n v="20000"/>
    <n v="10"/>
    <n v="980000"/>
    <x v="904"/>
    <x v="2"/>
    <x v="3"/>
    <x v="5"/>
    <x v="1"/>
    <s v="09/2023"/>
    <x v="1"/>
    <s v="Grande"/>
  </r>
  <r>
    <n v="959"/>
    <x v="535"/>
    <x v="6"/>
    <x v="3"/>
    <x v="2"/>
    <x v="16"/>
    <n v="20"/>
    <n v="9600"/>
    <n v="10"/>
    <n v="192000"/>
    <x v="905"/>
    <x v="0"/>
    <x v="4"/>
    <x v="6"/>
    <x v="0"/>
    <s v="04/2024"/>
    <x v="3"/>
    <s v="Moyenne"/>
  </r>
  <r>
    <n v="960"/>
    <x v="42"/>
    <x v="8"/>
    <x v="0"/>
    <x v="0"/>
    <x v="22"/>
    <n v="13"/>
    <n v="12900"/>
    <n v="0"/>
    <n v="167700"/>
    <x v="906"/>
    <x v="0"/>
    <x v="1"/>
    <x v="10"/>
    <x v="0"/>
    <s v="12/2024"/>
    <x v="0"/>
    <s v="Moyenne"/>
  </r>
  <r>
    <n v="961"/>
    <x v="321"/>
    <x v="2"/>
    <x v="2"/>
    <x v="4"/>
    <x v="29"/>
    <n v="26"/>
    <n v="20400"/>
    <n v="5"/>
    <n v="530400"/>
    <x v="907"/>
    <x v="3"/>
    <x v="3"/>
    <x v="9"/>
    <x v="1"/>
    <s v="01/2023"/>
    <x v="2"/>
    <s v="Grande"/>
  </r>
  <r>
    <n v="962"/>
    <x v="382"/>
    <x v="4"/>
    <x v="3"/>
    <x v="1"/>
    <x v="9"/>
    <n v="8"/>
    <n v="10100"/>
    <n v="0"/>
    <n v="80800"/>
    <x v="908"/>
    <x v="0"/>
    <x v="1"/>
    <x v="11"/>
    <x v="0"/>
    <s v="05/2024"/>
    <x v="3"/>
    <s v="Moyenne"/>
  </r>
  <r>
    <n v="963"/>
    <x v="536"/>
    <x v="4"/>
    <x v="2"/>
    <x v="3"/>
    <x v="36"/>
    <n v="24"/>
    <n v="4000"/>
    <n v="5"/>
    <n v="96000"/>
    <x v="415"/>
    <x v="1"/>
    <x v="2"/>
    <x v="2"/>
    <x v="0"/>
    <s v="03/2024"/>
    <x v="2"/>
    <s v="Moyenne"/>
  </r>
  <r>
    <n v="964"/>
    <x v="537"/>
    <x v="5"/>
    <x v="1"/>
    <x v="1"/>
    <x v="11"/>
    <n v="44"/>
    <n v="6300"/>
    <n v="0"/>
    <n v="277200"/>
    <x v="851"/>
    <x v="0"/>
    <x v="1"/>
    <x v="0"/>
    <x v="1"/>
    <s v="10/2023"/>
    <x v="0"/>
    <s v="Grande"/>
  </r>
  <r>
    <n v="965"/>
    <x v="538"/>
    <x v="8"/>
    <x v="4"/>
    <x v="0"/>
    <x v="0"/>
    <n v="43"/>
    <n v="23100"/>
    <n v="0"/>
    <n v="993300"/>
    <x v="909"/>
    <x v="1"/>
    <x v="0"/>
    <x v="4"/>
    <x v="0"/>
    <s v="11/2024"/>
    <x v="0"/>
    <s v="Grande"/>
  </r>
  <r>
    <n v="966"/>
    <x v="475"/>
    <x v="7"/>
    <x v="1"/>
    <x v="3"/>
    <x v="19"/>
    <n v="13"/>
    <n v="2300"/>
    <n v="20"/>
    <n v="29900"/>
    <x v="910"/>
    <x v="2"/>
    <x v="1"/>
    <x v="11"/>
    <x v="1"/>
    <s v="05/2023"/>
    <x v="3"/>
    <s v="Petite"/>
  </r>
  <r>
    <n v="967"/>
    <x v="430"/>
    <x v="4"/>
    <x v="2"/>
    <x v="3"/>
    <x v="25"/>
    <n v="47"/>
    <n v="7800"/>
    <n v="0"/>
    <n v="366600"/>
    <x v="911"/>
    <x v="0"/>
    <x v="0"/>
    <x v="2"/>
    <x v="0"/>
    <s v="03/2024"/>
    <x v="2"/>
    <s v="Grande"/>
  </r>
  <r>
    <n v="968"/>
    <x v="539"/>
    <x v="9"/>
    <x v="2"/>
    <x v="2"/>
    <x v="16"/>
    <n v="48"/>
    <n v="10400"/>
    <n v="0"/>
    <n v="499200"/>
    <x v="912"/>
    <x v="0"/>
    <x v="3"/>
    <x v="0"/>
    <x v="0"/>
    <s v="10/2024"/>
    <x v="0"/>
    <s v="Grande"/>
  </r>
  <r>
    <n v="969"/>
    <x v="540"/>
    <x v="8"/>
    <x v="0"/>
    <x v="1"/>
    <x v="14"/>
    <n v="27"/>
    <n v="131200"/>
    <n v="15"/>
    <n v="3542400"/>
    <x v="913"/>
    <x v="0"/>
    <x v="3"/>
    <x v="8"/>
    <x v="1"/>
    <s v="06/2023"/>
    <x v="3"/>
    <s v="Grande"/>
  </r>
  <r>
    <n v="970"/>
    <x v="43"/>
    <x v="6"/>
    <x v="4"/>
    <x v="0"/>
    <x v="22"/>
    <n v="13"/>
    <n v="12900"/>
    <n v="5"/>
    <n v="167700"/>
    <x v="914"/>
    <x v="0"/>
    <x v="0"/>
    <x v="2"/>
    <x v="0"/>
    <s v="03/2024"/>
    <x v="2"/>
    <s v="Moyenne"/>
  </r>
  <r>
    <n v="971"/>
    <x v="338"/>
    <x v="5"/>
    <x v="4"/>
    <x v="2"/>
    <x v="38"/>
    <n v="49"/>
    <n v="15200"/>
    <n v="5"/>
    <n v="744800"/>
    <x v="915"/>
    <x v="0"/>
    <x v="2"/>
    <x v="2"/>
    <x v="0"/>
    <s v="03/2024"/>
    <x v="2"/>
    <s v="Grande"/>
  </r>
  <r>
    <n v="972"/>
    <x v="98"/>
    <x v="9"/>
    <x v="0"/>
    <x v="2"/>
    <x v="24"/>
    <n v="25"/>
    <n v="5400"/>
    <n v="0"/>
    <n v="135000"/>
    <x v="140"/>
    <x v="0"/>
    <x v="0"/>
    <x v="2"/>
    <x v="0"/>
    <s v="03/2024"/>
    <x v="2"/>
    <s v="Moyenne"/>
  </r>
  <r>
    <n v="973"/>
    <x v="276"/>
    <x v="9"/>
    <x v="4"/>
    <x v="4"/>
    <x v="28"/>
    <n v="7"/>
    <n v="12800"/>
    <n v="20"/>
    <n v="89600"/>
    <x v="916"/>
    <x v="0"/>
    <x v="3"/>
    <x v="9"/>
    <x v="1"/>
    <s v="01/2023"/>
    <x v="2"/>
    <s v="Moyenne"/>
  </r>
  <r>
    <n v="974"/>
    <x v="133"/>
    <x v="9"/>
    <x v="0"/>
    <x v="1"/>
    <x v="1"/>
    <n v="1"/>
    <n v="8800"/>
    <n v="5"/>
    <n v="8800"/>
    <x v="917"/>
    <x v="0"/>
    <x v="3"/>
    <x v="1"/>
    <x v="1"/>
    <s v="08/2023"/>
    <x v="1"/>
    <s v="Petite"/>
  </r>
  <r>
    <n v="975"/>
    <x v="20"/>
    <x v="3"/>
    <x v="3"/>
    <x v="4"/>
    <x v="15"/>
    <n v="22"/>
    <n v="7400"/>
    <n v="0"/>
    <n v="162800"/>
    <x v="918"/>
    <x v="3"/>
    <x v="1"/>
    <x v="6"/>
    <x v="0"/>
    <s v="04/2024"/>
    <x v="3"/>
    <s v="Moyenne"/>
  </r>
  <r>
    <n v="976"/>
    <x v="124"/>
    <x v="7"/>
    <x v="1"/>
    <x v="3"/>
    <x v="20"/>
    <n v="22"/>
    <n v="7400"/>
    <n v="5"/>
    <n v="162800"/>
    <x v="919"/>
    <x v="1"/>
    <x v="0"/>
    <x v="10"/>
    <x v="0"/>
    <s v="12/2024"/>
    <x v="0"/>
    <s v="Moyenne"/>
  </r>
  <r>
    <n v="977"/>
    <x v="364"/>
    <x v="7"/>
    <x v="4"/>
    <x v="1"/>
    <x v="14"/>
    <n v="18"/>
    <n v="134100"/>
    <n v="0"/>
    <n v="2413800"/>
    <x v="920"/>
    <x v="3"/>
    <x v="1"/>
    <x v="10"/>
    <x v="0"/>
    <s v="12/2024"/>
    <x v="0"/>
    <s v="Grande"/>
  </r>
  <r>
    <n v="978"/>
    <x v="123"/>
    <x v="9"/>
    <x v="1"/>
    <x v="3"/>
    <x v="25"/>
    <n v="1"/>
    <n v="8000"/>
    <n v="0"/>
    <n v="8000"/>
    <x v="921"/>
    <x v="3"/>
    <x v="3"/>
    <x v="3"/>
    <x v="0"/>
    <s v="07/2024"/>
    <x v="1"/>
    <s v="Petite"/>
  </r>
  <r>
    <n v="979"/>
    <x v="541"/>
    <x v="3"/>
    <x v="0"/>
    <x v="0"/>
    <x v="5"/>
    <n v="32"/>
    <n v="3400"/>
    <n v="0"/>
    <n v="108800"/>
    <x v="554"/>
    <x v="0"/>
    <x v="0"/>
    <x v="0"/>
    <x v="0"/>
    <s v="10/2024"/>
    <x v="0"/>
    <s v="Moyenne"/>
  </r>
  <r>
    <n v="980"/>
    <x v="542"/>
    <x v="8"/>
    <x v="0"/>
    <x v="4"/>
    <x v="17"/>
    <n v="46"/>
    <n v="121000"/>
    <n v="0"/>
    <n v="5566000"/>
    <x v="922"/>
    <x v="0"/>
    <x v="0"/>
    <x v="2"/>
    <x v="0"/>
    <s v="03/2024"/>
    <x v="2"/>
    <s v="Grande"/>
  </r>
  <r>
    <n v="981"/>
    <x v="518"/>
    <x v="0"/>
    <x v="2"/>
    <x v="3"/>
    <x v="36"/>
    <n v="29"/>
    <n v="3600"/>
    <n v="15"/>
    <n v="104400"/>
    <x v="923"/>
    <x v="3"/>
    <x v="2"/>
    <x v="11"/>
    <x v="0"/>
    <s v="05/2024"/>
    <x v="3"/>
    <s v="Moyenne"/>
  </r>
  <r>
    <n v="982"/>
    <x v="54"/>
    <x v="5"/>
    <x v="4"/>
    <x v="2"/>
    <x v="13"/>
    <n v="43"/>
    <n v="4600"/>
    <n v="5"/>
    <n v="197800"/>
    <x v="924"/>
    <x v="1"/>
    <x v="0"/>
    <x v="3"/>
    <x v="0"/>
    <s v="07/2024"/>
    <x v="1"/>
    <s v="Moyenne"/>
  </r>
  <r>
    <n v="983"/>
    <x v="90"/>
    <x v="6"/>
    <x v="2"/>
    <x v="4"/>
    <x v="17"/>
    <n v="17"/>
    <n v="109800"/>
    <n v="15"/>
    <n v="1866600"/>
    <x v="925"/>
    <x v="1"/>
    <x v="4"/>
    <x v="9"/>
    <x v="1"/>
    <s v="01/2023"/>
    <x v="2"/>
    <s v="Grande"/>
  </r>
  <r>
    <n v="984"/>
    <x v="441"/>
    <x v="2"/>
    <x v="1"/>
    <x v="1"/>
    <x v="11"/>
    <n v="37"/>
    <n v="6700"/>
    <n v="15"/>
    <n v="247900"/>
    <x v="926"/>
    <x v="1"/>
    <x v="0"/>
    <x v="11"/>
    <x v="1"/>
    <s v="05/2023"/>
    <x v="3"/>
    <s v="Grande"/>
  </r>
  <r>
    <n v="985"/>
    <x v="252"/>
    <x v="7"/>
    <x v="1"/>
    <x v="3"/>
    <x v="25"/>
    <n v="15"/>
    <n v="8300"/>
    <n v="0"/>
    <n v="124500"/>
    <x v="927"/>
    <x v="0"/>
    <x v="3"/>
    <x v="10"/>
    <x v="1"/>
    <s v="12/2023"/>
    <x v="0"/>
    <s v="Moyenne"/>
  </r>
  <r>
    <n v="986"/>
    <x v="543"/>
    <x v="0"/>
    <x v="2"/>
    <x v="3"/>
    <x v="33"/>
    <n v="8"/>
    <n v="4900"/>
    <n v="20"/>
    <n v="39200"/>
    <x v="928"/>
    <x v="0"/>
    <x v="1"/>
    <x v="6"/>
    <x v="1"/>
    <s v="04/2023"/>
    <x v="3"/>
    <s v="Petite"/>
  </r>
  <r>
    <n v="987"/>
    <x v="255"/>
    <x v="7"/>
    <x v="3"/>
    <x v="1"/>
    <x v="32"/>
    <n v="35"/>
    <n v="2300"/>
    <n v="5"/>
    <n v="80500"/>
    <x v="929"/>
    <x v="0"/>
    <x v="2"/>
    <x v="4"/>
    <x v="1"/>
    <s v="11/2023"/>
    <x v="0"/>
    <s v="Moyenne"/>
  </r>
  <r>
    <n v="988"/>
    <x v="213"/>
    <x v="3"/>
    <x v="4"/>
    <x v="3"/>
    <x v="33"/>
    <n v="1"/>
    <n v="4200"/>
    <n v="0"/>
    <n v="4200"/>
    <x v="930"/>
    <x v="0"/>
    <x v="2"/>
    <x v="4"/>
    <x v="1"/>
    <s v="11/2023"/>
    <x v="0"/>
    <s v="Petite"/>
  </r>
  <r>
    <n v="989"/>
    <x v="426"/>
    <x v="4"/>
    <x v="5"/>
    <x v="4"/>
    <x v="28"/>
    <n v="19"/>
    <n v="11200"/>
    <n v="10"/>
    <n v="212800"/>
    <x v="931"/>
    <x v="0"/>
    <x v="0"/>
    <x v="11"/>
    <x v="1"/>
    <s v="05/2023"/>
    <x v="3"/>
    <s v="Moyenne"/>
  </r>
  <r>
    <n v="990"/>
    <x v="213"/>
    <x v="4"/>
    <x v="3"/>
    <x v="1"/>
    <x v="32"/>
    <n v="46"/>
    <n v="2900"/>
    <n v="5"/>
    <n v="133400"/>
    <x v="932"/>
    <x v="0"/>
    <x v="1"/>
    <x v="4"/>
    <x v="1"/>
    <s v="11/2023"/>
    <x v="0"/>
    <s v="Moyenne"/>
  </r>
  <r>
    <n v="991"/>
    <x v="369"/>
    <x v="7"/>
    <x v="0"/>
    <x v="0"/>
    <x v="22"/>
    <n v="14"/>
    <n v="13300"/>
    <n v="15"/>
    <n v="186200"/>
    <x v="933"/>
    <x v="1"/>
    <x v="1"/>
    <x v="0"/>
    <x v="1"/>
    <s v="10/2023"/>
    <x v="0"/>
    <s v="Moyenne"/>
  </r>
  <r>
    <n v="992"/>
    <x v="544"/>
    <x v="6"/>
    <x v="1"/>
    <x v="4"/>
    <x v="17"/>
    <n v="43"/>
    <n v="131800"/>
    <n v="0"/>
    <n v="5667400"/>
    <x v="934"/>
    <x v="2"/>
    <x v="1"/>
    <x v="7"/>
    <x v="1"/>
    <s v="02/2023"/>
    <x v="2"/>
    <s v="Grande"/>
  </r>
  <r>
    <n v="993"/>
    <x v="52"/>
    <x v="7"/>
    <x v="2"/>
    <x v="4"/>
    <x v="28"/>
    <n v="49"/>
    <n v="13800"/>
    <n v="10"/>
    <n v="676200"/>
    <x v="935"/>
    <x v="0"/>
    <x v="0"/>
    <x v="3"/>
    <x v="0"/>
    <s v="07/2024"/>
    <x v="1"/>
    <s v="Grande"/>
  </r>
  <r>
    <n v="994"/>
    <x v="380"/>
    <x v="4"/>
    <x v="4"/>
    <x v="3"/>
    <x v="25"/>
    <n v="21"/>
    <n v="6900"/>
    <n v="20"/>
    <n v="144900"/>
    <x v="936"/>
    <x v="1"/>
    <x v="0"/>
    <x v="0"/>
    <x v="1"/>
    <s v="10/2023"/>
    <x v="0"/>
    <s v="Moyenne"/>
  </r>
  <r>
    <n v="995"/>
    <x v="444"/>
    <x v="4"/>
    <x v="1"/>
    <x v="2"/>
    <x v="13"/>
    <n v="31"/>
    <n v="4200"/>
    <n v="0"/>
    <n v="130200"/>
    <x v="937"/>
    <x v="0"/>
    <x v="1"/>
    <x v="10"/>
    <x v="0"/>
    <s v="12/2024"/>
    <x v="0"/>
    <s v="Moyenne"/>
  </r>
  <r>
    <n v="996"/>
    <x v="198"/>
    <x v="5"/>
    <x v="0"/>
    <x v="0"/>
    <x v="10"/>
    <n v="10"/>
    <n v="29900"/>
    <n v="15"/>
    <n v="299000"/>
    <x v="938"/>
    <x v="0"/>
    <x v="2"/>
    <x v="10"/>
    <x v="1"/>
    <s v="12/2023"/>
    <x v="0"/>
    <s v="Grande"/>
  </r>
  <r>
    <n v="997"/>
    <x v="540"/>
    <x v="1"/>
    <x v="0"/>
    <x v="0"/>
    <x v="5"/>
    <n v="4"/>
    <n v="3300"/>
    <n v="10"/>
    <n v="13200"/>
    <x v="939"/>
    <x v="0"/>
    <x v="3"/>
    <x v="8"/>
    <x v="1"/>
    <s v="06/2023"/>
    <x v="3"/>
    <s v="Petite"/>
  </r>
  <r>
    <n v="998"/>
    <x v="388"/>
    <x v="6"/>
    <x v="1"/>
    <x v="2"/>
    <x v="38"/>
    <n v="26"/>
    <n v="13000"/>
    <n v="15"/>
    <n v="338000"/>
    <x v="940"/>
    <x v="0"/>
    <x v="1"/>
    <x v="2"/>
    <x v="0"/>
    <s v="03/2024"/>
    <x v="2"/>
    <s v="Grande"/>
  </r>
  <r>
    <n v="999"/>
    <x v="222"/>
    <x v="0"/>
    <x v="1"/>
    <x v="4"/>
    <x v="17"/>
    <n v="29"/>
    <n v="121700"/>
    <n v="0"/>
    <n v="3529300"/>
    <x v="941"/>
    <x v="0"/>
    <x v="0"/>
    <x v="9"/>
    <x v="0"/>
    <s v="01/2024"/>
    <x v="2"/>
    <s v="Grande"/>
  </r>
  <r>
    <n v="1000"/>
    <x v="519"/>
    <x v="0"/>
    <x v="1"/>
    <x v="3"/>
    <x v="33"/>
    <n v="37"/>
    <n v="4100"/>
    <n v="0"/>
    <n v="151700"/>
    <x v="942"/>
    <x v="3"/>
    <x v="2"/>
    <x v="2"/>
    <x v="1"/>
    <s v="03/2023"/>
    <x v="2"/>
    <s v="Moyenne"/>
  </r>
  <r>
    <n v="1001"/>
    <x v="269"/>
    <x v="0"/>
    <x v="3"/>
    <x v="2"/>
    <x v="23"/>
    <n v="42"/>
    <n v="4900"/>
    <n v="10"/>
    <n v="205800"/>
    <x v="943"/>
    <x v="1"/>
    <x v="3"/>
    <x v="4"/>
    <x v="0"/>
    <s v="11/2024"/>
    <x v="0"/>
    <s v="Moyenne"/>
  </r>
  <r>
    <n v="1002"/>
    <x v="461"/>
    <x v="0"/>
    <x v="2"/>
    <x v="1"/>
    <x v="12"/>
    <n v="45"/>
    <n v="18000"/>
    <n v="0"/>
    <n v="810000"/>
    <x v="944"/>
    <x v="0"/>
    <x v="2"/>
    <x v="5"/>
    <x v="1"/>
    <s v="09/2023"/>
    <x v="1"/>
    <s v="Grande"/>
  </r>
  <r>
    <n v="1003"/>
    <x v="401"/>
    <x v="9"/>
    <x v="3"/>
    <x v="1"/>
    <x v="1"/>
    <n v="8"/>
    <n v="9700"/>
    <n v="0"/>
    <n v="77600"/>
    <x v="945"/>
    <x v="0"/>
    <x v="1"/>
    <x v="8"/>
    <x v="0"/>
    <s v="06/2024"/>
    <x v="3"/>
    <s v="Moyenne"/>
  </r>
  <r>
    <n v="1004"/>
    <x v="335"/>
    <x v="8"/>
    <x v="2"/>
    <x v="1"/>
    <x v="18"/>
    <n v="14"/>
    <n v="79200"/>
    <n v="10"/>
    <n v="1108800"/>
    <x v="946"/>
    <x v="1"/>
    <x v="0"/>
    <x v="3"/>
    <x v="0"/>
    <s v="07/2024"/>
    <x v="1"/>
    <s v="Grande"/>
  </r>
  <r>
    <n v="1005"/>
    <x v="285"/>
    <x v="1"/>
    <x v="0"/>
    <x v="1"/>
    <x v="32"/>
    <n v="35"/>
    <n v="2500"/>
    <n v="0"/>
    <n v="87500"/>
    <x v="947"/>
    <x v="0"/>
    <x v="0"/>
    <x v="5"/>
    <x v="1"/>
    <s v="09/2023"/>
    <x v="1"/>
    <s v="Moyenne"/>
  </r>
  <r>
    <n v="1006"/>
    <x v="492"/>
    <x v="1"/>
    <x v="3"/>
    <x v="0"/>
    <x v="5"/>
    <n v="32"/>
    <n v="3300"/>
    <n v="10"/>
    <n v="105600"/>
    <x v="948"/>
    <x v="1"/>
    <x v="3"/>
    <x v="6"/>
    <x v="1"/>
    <s v="04/2023"/>
    <x v="3"/>
    <s v="Moyenne"/>
  </r>
  <r>
    <n v="1007"/>
    <x v="545"/>
    <x v="2"/>
    <x v="4"/>
    <x v="1"/>
    <x v="18"/>
    <n v="13"/>
    <n v="81500"/>
    <n v="0"/>
    <n v="1059500"/>
    <x v="949"/>
    <x v="0"/>
    <x v="1"/>
    <x v="11"/>
    <x v="0"/>
    <s v="05/2024"/>
    <x v="3"/>
    <s v="Grande"/>
  </r>
  <r>
    <n v="1008"/>
    <x v="283"/>
    <x v="2"/>
    <x v="4"/>
    <x v="3"/>
    <x v="27"/>
    <n v="47"/>
    <n v="11600"/>
    <n v="10"/>
    <n v="545200"/>
    <x v="950"/>
    <x v="0"/>
    <x v="0"/>
    <x v="1"/>
    <x v="0"/>
    <s v="08/2024"/>
    <x v="1"/>
    <s v="Grande"/>
  </r>
  <r>
    <n v="1009"/>
    <x v="208"/>
    <x v="4"/>
    <x v="1"/>
    <x v="2"/>
    <x v="23"/>
    <n v="17"/>
    <n v="4900"/>
    <n v="10"/>
    <n v="83300"/>
    <x v="951"/>
    <x v="1"/>
    <x v="1"/>
    <x v="5"/>
    <x v="1"/>
    <s v="09/2023"/>
    <x v="1"/>
    <s v="Moyenne"/>
  </r>
  <r>
    <n v="1010"/>
    <x v="174"/>
    <x v="0"/>
    <x v="2"/>
    <x v="2"/>
    <x v="37"/>
    <n v="42"/>
    <n v="3300"/>
    <n v="5"/>
    <n v="138600"/>
    <x v="952"/>
    <x v="1"/>
    <x v="1"/>
    <x v="3"/>
    <x v="1"/>
    <s v="07/2023"/>
    <x v="1"/>
    <s v="Moyenne"/>
  </r>
  <r>
    <n v="1011"/>
    <x v="546"/>
    <x v="3"/>
    <x v="1"/>
    <x v="4"/>
    <x v="35"/>
    <n v="16"/>
    <n v="108400"/>
    <n v="10"/>
    <n v="1734400"/>
    <x v="953"/>
    <x v="0"/>
    <x v="0"/>
    <x v="3"/>
    <x v="1"/>
    <s v="07/2023"/>
    <x v="1"/>
    <s v="Grande"/>
  </r>
  <r>
    <n v="1012"/>
    <x v="440"/>
    <x v="2"/>
    <x v="1"/>
    <x v="1"/>
    <x v="11"/>
    <n v="24"/>
    <n v="6400"/>
    <n v="0"/>
    <n v="153600"/>
    <x v="343"/>
    <x v="2"/>
    <x v="3"/>
    <x v="6"/>
    <x v="1"/>
    <s v="04/2023"/>
    <x v="3"/>
    <s v="Moyenne"/>
  </r>
  <r>
    <n v="1013"/>
    <x v="432"/>
    <x v="4"/>
    <x v="0"/>
    <x v="1"/>
    <x v="9"/>
    <n v="15"/>
    <n v="10300"/>
    <n v="20"/>
    <n v="154500"/>
    <x v="954"/>
    <x v="0"/>
    <x v="0"/>
    <x v="1"/>
    <x v="1"/>
    <s v="08/2023"/>
    <x v="1"/>
    <s v="Moyenne"/>
  </r>
  <r>
    <n v="1014"/>
    <x v="547"/>
    <x v="6"/>
    <x v="3"/>
    <x v="0"/>
    <x v="5"/>
    <n v="23"/>
    <n v="3200"/>
    <n v="0"/>
    <n v="73600"/>
    <x v="183"/>
    <x v="1"/>
    <x v="3"/>
    <x v="3"/>
    <x v="1"/>
    <s v="07/2023"/>
    <x v="1"/>
    <s v="Moyenne"/>
  </r>
  <r>
    <n v="1015"/>
    <x v="548"/>
    <x v="9"/>
    <x v="0"/>
    <x v="1"/>
    <x v="12"/>
    <n v="49"/>
    <n v="17600"/>
    <n v="20"/>
    <n v="862400"/>
    <x v="955"/>
    <x v="0"/>
    <x v="3"/>
    <x v="11"/>
    <x v="1"/>
    <s v="05/2023"/>
    <x v="3"/>
    <s v="Grande"/>
  </r>
  <r>
    <n v="1016"/>
    <x v="509"/>
    <x v="2"/>
    <x v="3"/>
    <x v="3"/>
    <x v="25"/>
    <n v="9"/>
    <n v="7600"/>
    <n v="15"/>
    <n v="68400"/>
    <x v="956"/>
    <x v="0"/>
    <x v="1"/>
    <x v="4"/>
    <x v="0"/>
    <s v="11/2024"/>
    <x v="0"/>
    <s v="Moyenne"/>
  </r>
  <r>
    <n v="1017"/>
    <x v="516"/>
    <x v="6"/>
    <x v="1"/>
    <x v="3"/>
    <x v="7"/>
    <n v="47"/>
    <n v="20100"/>
    <n v="15"/>
    <n v="944700"/>
    <x v="957"/>
    <x v="0"/>
    <x v="3"/>
    <x v="0"/>
    <x v="1"/>
    <s v="10/2023"/>
    <x v="0"/>
    <s v="Grande"/>
  </r>
  <r>
    <n v="1018"/>
    <x v="511"/>
    <x v="9"/>
    <x v="1"/>
    <x v="4"/>
    <x v="30"/>
    <n v="23"/>
    <n v="28300"/>
    <n v="0"/>
    <n v="650900"/>
    <x v="958"/>
    <x v="1"/>
    <x v="3"/>
    <x v="5"/>
    <x v="1"/>
    <s v="09/2023"/>
    <x v="1"/>
    <s v="Grande"/>
  </r>
  <r>
    <n v="1019"/>
    <x v="542"/>
    <x v="2"/>
    <x v="4"/>
    <x v="0"/>
    <x v="10"/>
    <n v="27"/>
    <n v="31800"/>
    <n v="15"/>
    <n v="858600"/>
    <x v="959"/>
    <x v="1"/>
    <x v="0"/>
    <x v="2"/>
    <x v="0"/>
    <s v="03/2024"/>
    <x v="2"/>
    <s v="Grande"/>
  </r>
  <r>
    <n v="1020"/>
    <x v="423"/>
    <x v="0"/>
    <x v="4"/>
    <x v="1"/>
    <x v="12"/>
    <n v="6"/>
    <n v="18800"/>
    <n v="20"/>
    <n v="112800"/>
    <x v="960"/>
    <x v="1"/>
    <x v="2"/>
    <x v="2"/>
    <x v="1"/>
    <s v="03/2023"/>
    <x v="2"/>
    <s v="Moyenne"/>
  </r>
  <r>
    <n v="1021"/>
    <x v="234"/>
    <x v="7"/>
    <x v="3"/>
    <x v="2"/>
    <x v="2"/>
    <n v="44"/>
    <n v="5500"/>
    <n v="5"/>
    <n v="242000"/>
    <x v="961"/>
    <x v="3"/>
    <x v="0"/>
    <x v="4"/>
    <x v="1"/>
    <s v="11/2023"/>
    <x v="0"/>
    <s v="Grande"/>
  </r>
  <r>
    <n v="1022"/>
    <x v="549"/>
    <x v="9"/>
    <x v="4"/>
    <x v="1"/>
    <x v="9"/>
    <n v="48"/>
    <n v="9700"/>
    <n v="10"/>
    <n v="465600"/>
    <x v="962"/>
    <x v="0"/>
    <x v="0"/>
    <x v="9"/>
    <x v="1"/>
    <s v="01/2023"/>
    <x v="2"/>
    <s v="Grande"/>
  </r>
  <r>
    <n v="1023"/>
    <x v="22"/>
    <x v="6"/>
    <x v="3"/>
    <x v="2"/>
    <x v="13"/>
    <n v="9"/>
    <n v="3900"/>
    <n v="5"/>
    <n v="35100"/>
    <x v="963"/>
    <x v="0"/>
    <x v="0"/>
    <x v="6"/>
    <x v="0"/>
    <s v="04/2024"/>
    <x v="3"/>
    <s v="Petite"/>
  </r>
  <r>
    <n v="1024"/>
    <x v="494"/>
    <x v="7"/>
    <x v="4"/>
    <x v="0"/>
    <x v="10"/>
    <n v="44"/>
    <n v="27600"/>
    <n v="0"/>
    <n v="1214400"/>
    <x v="964"/>
    <x v="0"/>
    <x v="0"/>
    <x v="11"/>
    <x v="0"/>
    <s v="05/2024"/>
    <x v="3"/>
    <s v="Grande"/>
  </r>
  <r>
    <n v="1025"/>
    <x v="501"/>
    <x v="8"/>
    <x v="2"/>
    <x v="0"/>
    <x v="0"/>
    <n v="41"/>
    <n v="19800"/>
    <n v="0"/>
    <n v="811800"/>
    <x v="965"/>
    <x v="0"/>
    <x v="1"/>
    <x v="2"/>
    <x v="1"/>
    <s v="03/2023"/>
    <x v="2"/>
    <s v="Grande"/>
  </r>
  <r>
    <n v="1026"/>
    <x v="120"/>
    <x v="2"/>
    <x v="0"/>
    <x v="4"/>
    <x v="28"/>
    <n v="1"/>
    <n v="11000"/>
    <n v="0"/>
    <n v="11000"/>
    <x v="696"/>
    <x v="0"/>
    <x v="3"/>
    <x v="0"/>
    <x v="0"/>
    <s v="10/2024"/>
    <x v="0"/>
    <s v="Petite"/>
  </r>
  <r>
    <n v="1027"/>
    <x v="409"/>
    <x v="0"/>
    <x v="0"/>
    <x v="0"/>
    <x v="22"/>
    <n v="1"/>
    <n v="12000"/>
    <n v="0"/>
    <n v="12000"/>
    <x v="966"/>
    <x v="0"/>
    <x v="2"/>
    <x v="10"/>
    <x v="1"/>
    <s v="12/2023"/>
    <x v="0"/>
    <s v="Petite"/>
  </r>
  <r>
    <n v="1028"/>
    <x v="47"/>
    <x v="2"/>
    <x v="3"/>
    <x v="2"/>
    <x v="23"/>
    <n v="32"/>
    <n v="4500"/>
    <n v="0"/>
    <n v="144000"/>
    <x v="967"/>
    <x v="0"/>
    <x v="3"/>
    <x v="2"/>
    <x v="1"/>
    <s v="03/2023"/>
    <x v="2"/>
    <s v="Moyenne"/>
  </r>
  <r>
    <n v="1029"/>
    <x v="487"/>
    <x v="7"/>
    <x v="2"/>
    <x v="0"/>
    <x v="39"/>
    <n v="12"/>
    <n v="8100"/>
    <n v="0"/>
    <n v="97200"/>
    <x v="968"/>
    <x v="0"/>
    <x v="3"/>
    <x v="6"/>
    <x v="0"/>
    <s v="04/2024"/>
    <x v="3"/>
    <s v="Moyenne"/>
  </r>
  <r>
    <n v="1030"/>
    <x v="379"/>
    <x v="8"/>
    <x v="4"/>
    <x v="2"/>
    <x v="37"/>
    <n v="1"/>
    <n v="3500"/>
    <n v="0"/>
    <n v="3500"/>
    <x v="969"/>
    <x v="0"/>
    <x v="1"/>
    <x v="2"/>
    <x v="0"/>
    <s v="03/2024"/>
    <x v="2"/>
    <s v="Petite"/>
  </r>
  <r>
    <n v="1031"/>
    <x v="25"/>
    <x v="4"/>
    <x v="0"/>
    <x v="2"/>
    <x v="23"/>
    <n v="22"/>
    <n v="4800"/>
    <n v="15"/>
    <n v="105600"/>
    <x v="970"/>
    <x v="2"/>
    <x v="1"/>
    <x v="3"/>
    <x v="1"/>
    <s v="07/2023"/>
    <x v="1"/>
    <s v="Moyenne"/>
  </r>
  <r>
    <n v="1032"/>
    <x v="48"/>
    <x v="8"/>
    <x v="2"/>
    <x v="1"/>
    <x v="9"/>
    <n v="32"/>
    <n v="9200"/>
    <n v="0"/>
    <n v="294400"/>
    <x v="197"/>
    <x v="1"/>
    <x v="1"/>
    <x v="3"/>
    <x v="1"/>
    <s v="07/2023"/>
    <x v="1"/>
    <s v="Grande"/>
  </r>
  <r>
    <n v="1033"/>
    <x v="550"/>
    <x v="2"/>
    <x v="1"/>
    <x v="2"/>
    <x v="24"/>
    <n v="2"/>
    <n v="6300"/>
    <n v="10"/>
    <n v="12600"/>
    <x v="971"/>
    <x v="0"/>
    <x v="3"/>
    <x v="7"/>
    <x v="0"/>
    <s v="02/2024"/>
    <x v="2"/>
    <s v="Petite"/>
  </r>
  <r>
    <n v="1034"/>
    <x v="321"/>
    <x v="5"/>
    <x v="0"/>
    <x v="0"/>
    <x v="21"/>
    <n v="48"/>
    <n v="5100"/>
    <n v="0"/>
    <n v="244800"/>
    <x v="972"/>
    <x v="0"/>
    <x v="2"/>
    <x v="9"/>
    <x v="1"/>
    <s v="01/2023"/>
    <x v="2"/>
    <s v="Grande"/>
  </r>
  <r>
    <n v="1035"/>
    <x v="32"/>
    <x v="8"/>
    <x v="0"/>
    <x v="4"/>
    <x v="26"/>
    <n v="47"/>
    <n v="44300"/>
    <n v="0"/>
    <n v="2082100"/>
    <x v="973"/>
    <x v="0"/>
    <x v="1"/>
    <x v="0"/>
    <x v="1"/>
    <s v="10/2023"/>
    <x v="0"/>
    <s v="Grande"/>
  </r>
  <r>
    <n v="1036"/>
    <x v="12"/>
    <x v="4"/>
    <x v="4"/>
    <x v="4"/>
    <x v="26"/>
    <n v="7"/>
    <n v="42800"/>
    <n v="0"/>
    <n v="299600"/>
    <x v="974"/>
    <x v="1"/>
    <x v="1"/>
    <x v="6"/>
    <x v="1"/>
    <s v="04/2023"/>
    <x v="3"/>
    <s v="Grande"/>
  </r>
  <r>
    <n v="1037"/>
    <x v="551"/>
    <x v="6"/>
    <x v="4"/>
    <x v="1"/>
    <x v="12"/>
    <n v="18"/>
    <n v="18000"/>
    <n v="5"/>
    <n v="324000"/>
    <x v="975"/>
    <x v="3"/>
    <x v="1"/>
    <x v="1"/>
    <x v="0"/>
    <s v="08/2024"/>
    <x v="1"/>
    <s v="Grande"/>
  </r>
  <r>
    <n v="1038"/>
    <x v="552"/>
    <x v="9"/>
    <x v="4"/>
    <x v="1"/>
    <x v="18"/>
    <n v="34"/>
    <n v="84600"/>
    <n v="0"/>
    <n v="2876400"/>
    <x v="976"/>
    <x v="0"/>
    <x v="1"/>
    <x v="9"/>
    <x v="1"/>
    <s v="01/2023"/>
    <x v="2"/>
    <s v="Grande"/>
  </r>
  <r>
    <n v="1039"/>
    <x v="146"/>
    <x v="7"/>
    <x v="1"/>
    <x v="1"/>
    <x v="9"/>
    <n v="20"/>
    <n v="9500"/>
    <n v="0"/>
    <n v="190000"/>
    <x v="977"/>
    <x v="0"/>
    <x v="3"/>
    <x v="4"/>
    <x v="1"/>
    <s v="11/2023"/>
    <x v="0"/>
    <s v="Moyenne"/>
  </r>
  <r>
    <n v="1040"/>
    <x v="248"/>
    <x v="7"/>
    <x v="4"/>
    <x v="0"/>
    <x v="4"/>
    <n v="1"/>
    <n v="33100"/>
    <n v="0"/>
    <n v="33100"/>
    <x v="978"/>
    <x v="0"/>
    <x v="3"/>
    <x v="10"/>
    <x v="1"/>
    <s v="12/2023"/>
    <x v="0"/>
    <s v="Petite"/>
  </r>
  <r>
    <n v="1041"/>
    <x v="553"/>
    <x v="8"/>
    <x v="2"/>
    <x v="3"/>
    <x v="19"/>
    <n v="17"/>
    <n v="2200"/>
    <n v="0"/>
    <n v="37400"/>
    <x v="979"/>
    <x v="3"/>
    <x v="3"/>
    <x v="0"/>
    <x v="1"/>
    <s v="10/2023"/>
    <x v="0"/>
    <s v="Petite"/>
  </r>
  <r>
    <n v="1042"/>
    <x v="500"/>
    <x v="0"/>
    <x v="0"/>
    <x v="1"/>
    <x v="12"/>
    <n v="48"/>
    <n v="17700"/>
    <n v="0"/>
    <n v="849600"/>
    <x v="980"/>
    <x v="1"/>
    <x v="3"/>
    <x v="1"/>
    <x v="1"/>
    <s v="08/2023"/>
    <x v="1"/>
    <s v="Grande"/>
  </r>
  <r>
    <n v="1043"/>
    <x v="2"/>
    <x v="4"/>
    <x v="4"/>
    <x v="3"/>
    <x v="25"/>
    <n v="7"/>
    <n v="6900"/>
    <n v="0"/>
    <n v="48300"/>
    <x v="289"/>
    <x v="0"/>
    <x v="0"/>
    <x v="0"/>
    <x v="0"/>
    <s v="10/2024"/>
    <x v="0"/>
    <s v="Petite"/>
  </r>
  <r>
    <n v="1044"/>
    <x v="274"/>
    <x v="5"/>
    <x v="4"/>
    <x v="4"/>
    <x v="8"/>
    <n v="35"/>
    <n v="59700"/>
    <n v="15"/>
    <n v="2089500"/>
    <x v="981"/>
    <x v="0"/>
    <x v="3"/>
    <x v="1"/>
    <x v="0"/>
    <s v="08/2024"/>
    <x v="1"/>
    <s v="Grande"/>
  </r>
  <r>
    <n v="1045"/>
    <x v="294"/>
    <x v="5"/>
    <x v="3"/>
    <x v="2"/>
    <x v="38"/>
    <n v="27"/>
    <n v="13000"/>
    <n v="20"/>
    <n v="351000"/>
    <x v="982"/>
    <x v="0"/>
    <x v="3"/>
    <x v="6"/>
    <x v="0"/>
    <s v="04/2024"/>
    <x v="3"/>
    <s v="Grande"/>
  </r>
  <r>
    <n v="1046"/>
    <x v="554"/>
    <x v="3"/>
    <x v="2"/>
    <x v="4"/>
    <x v="8"/>
    <n v="5"/>
    <n v="73300"/>
    <n v="0"/>
    <n v="366500"/>
    <x v="983"/>
    <x v="0"/>
    <x v="0"/>
    <x v="3"/>
    <x v="0"/>
    <s v="07/2024"/>
    <x v="1"/>
    <s v="Grande"/>
  </r>
  <r>
    <n v="1047"/>
    <x v="555"/>
    <x v="4"/>
    <x v="4"/>
    <x v="0"/>
    <x v="4"/>
    <n v="4"/>
    <n v="39900"/>
    <n v="15"/>
    <n v="159600"/>
    <x v="984"/>
    <x v="1"/>
    <x v="1"/>
    <x v="11"/>
    <x v="0"/>
    <s v="05/2024"/>
    <x v="3"/>
    <s v="Moyenne"/>
  </r>
  <r>
    <n v="1048"/>
    <x v="117"/>
    <x v="8"/>
    <x v="3"/>
    <x v="3"/>
    <x v="19"/>
    <n v="49"/>
    <n v="2100"/>
    <n v="5"/>
    <n v="102900"/>
    <x v="985"/>
    <x v="0"/>
    <x v="2"/>
    <x v="10"/>
    <x v="0"/>
    <s v="12/2024"/>
    <x v="0"/>
    <s v="Moyenne"/>
  </r>
  <r>
    <n v="1049"/>
    <x v="556"/>
    <x v="4"/>
    <x v="5"/>
    <x v="2"/>
    <x v="38"/>
    <n v="14"/>
    <n v="13200"/>
    <n v="20"/>
    <n v="184800"/>
    <x v="986"/>
    <x v="0"/>
    <x v="0"/>
    <x v="5"/>
    <x v="0"/>
    <s v="09/2024"/>
    <x v="1"/>
    <s v="Moyenne"/>
  </r>
  <r>
    <n v="1050"/>
    <x v="557"/>
    <x v="8"/>
    <x v="3"/>
    <x v="3"/>
    <x v="7"/>
    <n v="15"/>
    <n v="21500"/>
    <n v="0"/>
    <n v="322500"/>
    <x v="987"/>
    <x v="0"/>
    <x v="3"/>
    <x v="5"/>
    <x v="0"/>
    <s v="09/2024"/>
    <x v="1"/>
    <s v="Grande"/>
  </r>
  <r>
    <n v="1051"/>
    <x v="78"/>
    <x v="6"/>
    <x v="4"/>
    <x v="1"/>
    <x v="1"/>
    <n v="41"/>
    <n v="8300"/>
    <n v="0"/>
    <n v="340300"/>
    <x v="988"/>
    <x v="0"/>
    <x v="4"/>
    <x v="7"/>
    <x v="1"/>
    <s v="02/2023"/>
    <x v="2"/>
    <s v="Grande"/>
  </r>
  <r>
    <n v="1052"/>
    <x v="558"/>
    <x v="1"/>
    <x v="4"/>
    <x v="2"/>
    <x v="24"/>
    <n v="23"/>
    <n v="5000"/>
    <n v="0"/>
    <n v="115000"/>
    <x v="830"/>
    <x v="0"/>
    <x v="3"/>
    <x v="6"/>
    <x v="1"/>
    <s v="04/2023"/>
    <x v="3"/>
    <s v="Moyenne"/>
  </r>
  <r>
    <n v="1053"/>
    <x v="559"/>
    <x v="2"/>
    <x v="2"/>
    <x v="2"/>
    <x v="23"/>
    <n v="19"/>
    <n v="5400"/>
    <n v="15"/>
    <n v="102600"/>
    <x v="989"/>
    <x v="0"/>
    <x v="0"/>
    <x v="2"/>
    <x v="1"/>
    <s v="03/2023"/>
    <x v="2"/>
    <s v="Moyenne"/>
  </r>
  <r>
    <n v="1054"/>
    <x v="234"/>
    <x v="3"/>
    <x v="4"/>
    <x v="0"/>
    <x v="22"/>
    <n v="2"/>
    <n v="11600"/>
    <n v="15"/>
    <n v="23200"/>
    <x v="990"/>
    <x v="0"/>
    <x v="0"/>
    <x v="4"/>
    <x v="1"/>
    <s v="11/2023"/>
    <x v="0"/>
    <s v="Petite"/>
  </r>
  <r>
    <n v="1055"/>
    <x v="184"/>
    <x v="7"/>
    <x v="2"/>
    <x v="3"/>
    <x v="33"/>
    <n v="15"/>
    <n v="5000"/>
    <n v="10"/>
    <n v="75000"/>
    <x v="290"/>
    <x v="0"/>
    <x v="1"/>
    <x v="11"/>
    <x v="0"/>
    <s v="05/2024"/>
    <x v="3"/>
    <s v="Moyenne"/>
  </r>
  <r>
    <n v="1056"/>
    <x v="560"/>
    <x v="7"/>
    <x v="4"/>
    <x v="4"/>
    <x v="26"/>
    <n v="28"/>
    <n v="45500"/>
    <n v="0"/>
    <n v="1274000"/>
    <x v="991"/>
    <x v="0"/>
    <x v="2"/>
    <x v="8"/>
    <x v="0"/>
    <s v="06/2024"/>
    <x v="3"/>
    <s v="Grande"/>
  </r>
  <r>
    <n v="1057"/>
    <x v="494"/>
    <x v="6"/>
    <x v="1"/>
    <x v="2"/>
    <x v="13"/>
    <n v="32"/>
    <n v="4000"/>
    <n v="15"/>
    <n v="128000"/>
    <x v="554"/>
    <x v="3"/>
    <x v="1"/>
    <x v="11"/>
    <x v="0"/>
    <s v="05/2024"/>
    <x v="3"/>
    <s v="Moyenne"/>
  </r>
  <r>
    <n v="1058"/>
    <x v="32"/>
    <x v="1"/>
    <x v="2"/>
    <x v="2"/>
    <x v="13"/>
    <n v="44"/>
    <n v="4600"/>
    <n v="0"/>
    <n v="202400"/>
    <x v="992"/>
    <x v="0"/>
    <x v="0"/>
    <x v="0"/>
    <x v="1"/>
    <s v="10/2023"/>
    <x v="0"/>
    <s v="Grande"/>
  </r>
  <r>
    <n v="1059"/>
    <x v="392"/>
    <x v="7"/>
    <x v="4"/>
    <x v="4"/>
    <x v="29"/>
    <n v="34"/>
    <n v="16700"/>
    <n v="10"/>
    <n v="567800"/>
    <x v="993"/>
    <x v="0"/>
    <x v="0"/>
    <x v="2"/>
    <x v="1"/>
    <s v="03/2023"/>
    <x v="2"/>
    <s v="Grande"/>
  </r>
  <r>
    <n v="1060"/>
    <x v="106"/>
    <x v="7"/>
    <x v="1"/>
    <x v="1"/>
    <x v="14"/>
    <n v="49"/>
    <n v="132800"/>
    <n v="0"/>
    <n v="6507200"/>
    <x v="994"/>
    <x v="1"/>
    <x v="0"/>
    <x v="6"/>
    <x v="1"/>
    <s v="04/2023"/>
    <x v="3"/>
    <s v="Grande"/>
  </r>
  <r>
    <n v="1061"/>
    <x v="438"/>
    <x v="0"/>
    <x v="2"/>
    <x v="2"/>
    <x v="38"/>
    <n v="1"/>
    <n v="15400"/>
    <n v="10"/>
    <n v="15400"/>
    <x v="995"/>
    <x v="3"/>
    <x v="0"/>
    <x v="5"/>
    <x v="1"/>
    <s v="09/2023"/>
    <x v="1"/>
    <s v="Petite"/>
  </r>
  <r>
    <n v="1062"/>
    <x v="561"/>
    <x v="0"/>
    <x v="4"/>
    <x v="2"/>
    <x v="2"/>
    <n v="29"/>
    <n v="5900"/>
    <n v="0"/>
    <n v="171100"/>
    <x v="996"/>
    <x v="1"/>
    <x v="3"/>
    <x v="10"/>
    <x v="1"/>
    <s v="12/2023"/>
    <x v="0"/>
    <s v="Moyenne"/>
  </r>
  <r>
    <n v="1063"/>
    <x v="170"/>
    <x v="6"/>
    <x v="4"/>
    <x v="1"/>
    <x v="32"/>
    <n v="8"/>
    <n v="2600"/>
    <n v="0"/>
    <n v="20800"/>
    <x v="997"/>
    <x v="0"/>
    <x v="0"/>
    <x v="11"/>
    <x v="0"/>
    <s v="05/2024"/>
    <x v="3"/>
    <s v="Petite"/>
  </r>
  <r>
    <n v="1064"/>
    <x v="562"/>
    <x v="4"/>
    <x v="0"/>
    <x v="3"/>
    <x v="25"/>
    <n v="15"/>
    <n v="7000"/>
    <n v="5"/>
    <n v="105000"/>
    <x v="998"/>
    <x v="0"/>
    <x v="2"/>
    <x v="4"/>
    <x v="0"/>
    <s v="11/2024"/>
    <x v="0"/>
    <s v="Moyenne"/>
  </r>
  <r>
    <n v="1065"/>
    <x v="563"/>
    <x v="3"/>
    <x v="2"/>
    <x v="2"/>
    <x v="23"/>
    <n v="46"/>
    <n v="5100"/>
    <n v="5"/>
    <n v="234600"/>
    <x v="999"/>
    <x v="1"/>
    <x v="0"/>
    <x v="11"/>
    <x v="1"/>
    <s v="05/2023"/>
    <x v="3"/>
    <s v="Grande"/>
  </r>
  <r>
    <n v="1066"/>
    <x v="355"/>
    <x v="0"/>
    <x v="4"/>
    <x v="1"/>
    <x v="32"/>
    <n v="40"/>
    <n v="2500"/>
    <n v="0"/>
    <n v="100000"/>
    <x v="1000"/>
    <x v="0"/>
    <x v="3"/>
    <x v="8"/>
    <x v="1"/>
    <s v="06/2023"/>
    <x v="3"/>
    <s v="Moyenne"/>
  </r>
  <r>
    <n v="1067"/>
    <x v="564"/>
    <x v="9"/>
    <x v="4"/>
    <x v="2"/>
    <x v="23"/>
    <n v="39"/>
    <n v="5000"/>
    <n v="0"/>
    <n v="195000"/>
    <x v="1001"/>
    <x v="0"/>
    <x v="2"/>
    <x v="7"/>
    <x v="1"/>
    <s v="02/2023"/>
    <x v="2"/>
    <s v="Moyenne"/>
  </r>
  <r>
    <n v="1068"/>
    <x v="565"/>
    <x v="4"/>
    <x v="3"/>
    <x v="0"/>
    <x v="39"/>
    <n v="18"/>
    <n v="9000"/>
    <n v="0"/>
    <n v="162000"/>
    <x v="1002"/>
    <x v="2"/>
    <x v="3"/>
    <x v="4"/>
    <x v="0"/>
    <s v="11/2024"/>
    <x v="0"/>
    <s v="Moyenne"/>
  </r>
  <r>
    <n v="1069"/>
    <x v="566"/>
    <x v="0"/>
    <x v="0"/>
    <x v="2"/>
    <x v="13"/>
    <n v="25"/>
    <n v="4100"/>
    <n v="20"/>
    <n v="102500"/>
    <x v="1003"/>
    <x v="0"/>
    <x v="2"/>
    <x v="10"/>
    <x v="0"/>
    <s v="12/2024"/>
    <x v="0"/>
    <s v="Moyenne"/>
  </r>
  <r>
    <n v="1070"/>
    <x v="237"/>
    <x v="0"/>
    <x v="5"/>
    <x v="4"/>
    <x v="17"/>
    <n v="21"/>
    <n v="107700"/>
    <n v="20"/>
    <n v="2261700"/>
    <x v="1004"/>
    <x v="3"/>
    <x v="1"/>
    <x v="0"/>
    <x v="1"/>
    <s v="10/2023"/>
    <x v="0"/>
    <s v="Grande"/>
  </r>
  <r>
    <n v="1071"/>
    <x v="311"/>
    <x v="3"/>
    <x v="2"/>
    <x v="4"/>
    <x v="29"/>
    <n v="27"/>
    <n v="18400"/>
    <n v="0"/>
    <n v="496800"/>
    <x v="1005"/>
    <x v="0"/>
    <x v="3"/>
    <x v="9"/>
    <x v="0"/>
    <s v="01/2024"/>
    <x v="2"/>
    <s v="Grande"/>
  </r>
  <r>
    <n v="1072"/>
    <x v="65"/>
    <x v="5"/>
    <x v="1"/>
    <x v="4"/>
    <x v="28"/>
    <n v="32"/>
    <n v="12400"/>
    <n v="5"/>
    <n v="396800"/>
    <x v="1006"/>
    <x v="0"/>
    <x v="1"/>
    <x v="0"/>
    <x v="0"/>
    <s v="10/2024"/>
    <x v="0"/>
    <s v="Grande"/>
  </r>
  <r>
    <n v="1073"/>
    <x v="559"/>
    <x v="9"/>
    <x v="1"/>
    <x v="3"/>
    <x v="33"/>
    <n v="16"/>
    <n v="4800"/>
    <n v="20"/>
    <n v="76800"/>
    <x v="1007"/>
    <x v="0"/>
    <x v="1"/>
    <x v="2"/>
    <x v="1"/>
    <s v="03/2023"/>
    <x v="2"/>
    <s v="Moyenne"/>
  </r>
  <r>
    <n v="1074"/>
    <x v="567"/>
    <x v="3"/>
    <x v="3"/>
    <x v="4"/>
    <x v="30"/>
    <n v="4"/>
    <n v="31600"/>
    <n v="20"/>
    <n v="126400"/>
    <x v="1008"/>
    <x v="2"/>
    <x v="3"/>
    <x v="9"/>
    <x v="1"/>
    <s v="01/2023"/>
    <x v="2"/>
    <s v="Moyenne"/>
  </r>
  <r>
    <n v="1075"/>
    <x v="152"/>
    <x v="4"/>
    <x v="1"/>
    <x v="2"/>
    <x v="23"/>
    <n v="15"/>
    <n v="4600"/>
    <n v="0"/>
    <n v="69000"/>
    <x v="1009"/>
    <x v="0"/>
    <x v="1"/>
    <x v="11"/>
    <x v="1"/>
    <s v="05/2023"/>
    <x v="3"/>
    <s v="Moyenne"/>
  </r>
  <r>
    <n v="1076"/>
    <x v="211"/>
    <x v="6"/>
    <x v="1"/>
    <x v="1"/>
    <x v="9"/>
    <n v="45"/>
    <n v="8900"/>
    <n v="5"/>
    <n v="400500"/>
    <x v="1010"/>
    <x v="0"/>
    <x v="0"/>
    <x v="10"/>
    <x v="0"/>
    <s v="12/2024"/>
    <x v="0"/>
    <s v="Grande"/>
  </r>
  <r>
    <n v="1077"/>
    <x v="203"/>
    <x v="6"/>
    <x v="0"/>
    <x v="2"/>
    <x v="37"/>
    <n v="16"/>
    <n v="3000"/>
    <n v="0"/>
    <n v="48000"/>
    <x v="1011"/>
    <x v="0"/>
    <x v="2"/>
    <x v="1"/>
    <x v="0"/>
    <s v="08/2024"/>
    <x v="1"/>
    <s v="Petite"/>
  </r>
  <r>
    <n v="1078"/>
    <x v="159"/>
    <x v="8"/>
    <x v="4"/>
    <x v="3"/>
    <x v="7"/>
    <n v="47"/>
    <n v="22400"/>
    <n v="0"/>
    <n v="1052800"/>
    <x v="1012"/>
    <x v="0"/>
    <x v="0"/>
    <x v="8"/>
    <x v="1"/>
    <s v="06/2023"/>
    <x v="3"/>
    <s v="Grande"/>
  </r>
  <r>
    <n v="1079"/>
    <x v="568"/>
    <x v="6"/>
    <x v="0"/>
    <x v="1"/>
    <x v="12"/>
    <n v="1"/>
    <n v="18500"/>
    <n v="15"/>
    <n v="18500"/>
    <x v="1013"/>
    <x v="0"/>
    <x v="2"/>
    <x v="6"/>
    <x v="1"/>
    <s v="04/2023"/>
    <x v="3"/>
    <s v="Petite"/>
  </r>
  <r>
    <n v="1080"/>
    <x v="191"/>
    <x v="2"/>
    <x v="2"/>
    <x v="3"/>
    <x v="7"/>
    <n v="28"/>
    <n v="23700"/>
    <n v="0"/>
    <n v="663600"/>
    <x v="1014"/>
    <x v="3"/>
    <x v="3"/>
    <x v="0"/>
    <x v="0"/>
    <s v="10/2024"/>
    <x v="0"/>
    <s v="Grande"/>
  </r>
  <r>
    <n v="1081"/>
    <x v="505"/>
    <x v="7"/>
    <x v="4"/>
    <x v="2"/>
    <x v="23"/>
    <n v="15"/>
    <n v="5100"/>
    <n v="20"/>
    <n v="76500"/>
    <x v="876"/>
    <x v="0"/>
    <x v="0"/>
    <x v="8"/>
    <x v="0"/>
    <s v="06/2024"/>
    <x v="3"/>
    <s v="Moyenne"/>
  </r>
  <r>
    <n v="1082"/>
    <x v="231"/>
    <x v="8"/>
    <x v="1"/>
    <x v="0"/>
    <x v="21"/>
    <n v="11"/>
    <n v="5000"/>
    <n v="15"/>
    <n v="55000"/>
    <x v="1015"/>
    <x v="0"/>
    <x v="3"/>
    <x v="0"/>
    <x v="0"/>
    <s v="10/2024"/>
    <x v="0"/>
    <s v="Petite"/>
  </r>
  <r>
    <n v="1083"/>
    <x v="569"/>
    <x v="5"/>
    <x v="2"/>
    <x v="1"/>
    <x v="14"/>
    <n v="39"/>
    <n v="110300"/>
    <n v="0"/>
    <n v="4301700"/>
    <x v="1016"/>
    <x v="1"/>
    <x v="3"/>
    <x v="0"/>
    <x v="0"/>
    <s v="10/2024"/>
    <x v="0"/>
    <s v="Grande"/>
  </r>
  <r>
    <n v="1084"/>
    <x v="570"/>
    <x v="4"/>
    <x v="4"/>
    <x v="3"/>
    <x v="19"/>
    <n v="39"/>
    <n v="2000"/>
    <n v="0"/>
    <n v="78000"/>
    <x v="1017"/>
    <x v="0"/>
    <x v="4"/>
    <x v="2"/>
    <x v="1"/>
    <s v="03/2023"/>
    <x v="2"/>
    <s v="Moyenne"/>
  </r>
  <r>
    <n v="1085"/>
    <x v="571"/>
    <x v="5"/>
    <x v="0"/>
    <x v="2"/>
    <x v="16"/>
    <n v="37"/>
    <n v="8800"/>
    <n v="0"/>
    <n v="325600"/>
    <x v="1018"/>
    <x v="0"/>
    <x v="2"/>
    <x v="3"/>
    <x v="0"/>
    <s v="07/2024"/>
    <x v="1"/>
    <s v="Grande"/>
  </r>
  <r>
    <n v="1086"/>
    <x v="572"/>
    <x v="3"/>
    <x v="0"/>
    <x v="0"/>
    <x v="4"/>
    <n v="49"/>
    <n v="40100"/>
    <n v="10"/>
    <n v="1964900"/>
    <x v="1019"/>
    <x v="0"/>
    <x v="4"/>
    <x v="7"/>
    <x v="1"/>
    <s v="02/2023"/>
    <x v="2"/>
    <s v="Grande"/>
  </r>
  <r>
    <n v="1087"/>
    <x v="299"/>
    <x v="3"/>
    <x v="1"/>
    <x v="0"/>
    <x v="22"/>
    <n v="7"/>
    <n v="12900"/>
    <n v="10"/>
    <n v="90300"/>
    <x v="1020"/>
    <x v="0"/>
    <x v="0"/>
    <x v="3"/>
    <x v="1"/>
    <s v="07/2023"/>
    <x v="1"/>
    <s v="Moyenne"/>
  </r>
  <r>
    <n v="1088"/>
    <x v="478"/>
    <x v="1"/>
    <x v="3"/>
    <x v="4"/>
    <x v="28"/>
    <n v="3"/>
    <n v="12600"/>
    <n v="15"/>
    <n v="37800"/>
    <x v="1021"/>
    <x v="0"/>
    <x v="1"/>
    <x v="2"/>
    <x v="1"/>
    <s v="03/2023"/>
    <x v="2"/>
    <s v="Petite"/>
  </r>
  <r>
    <n v="1089"/>
    <x v="443"/>
    <x v="0"/>
    <x v="0"/>
    <x v="2"/>
    <x v="3"/>
    <n v="42"/>
    <n v="2000"/>
    <n v="10"/>
    <n v="84000"/>
    <x v="393"/>
    <x v="0"/>
    <x v="1"/>
    <x v="6"/>
    <x v="0"/>
    <s v="04/2024"/>
    <x v="3"/>
    <s v="Moyenne"/>
  </r>
  <r>
    <n v="1090"/>
    <x v="573"/>
    <x v="9"/>
    <x v="3"/>
    <x v="0"/>
    <x v="5"/>
    <n v="22"/>
    <n v="3800"/>
    <n v="0"/>
    <n v="83600"/>
    <x v="1022"/>
    <x v="0"/>
    <x v="2"/>
    <x v="10"/>
    <x v="0"/>
    <s v="12/2024"/>
    <x v="0"/>
    <s v="Moyenne"/>
  </r>
  <r>
    <n v="1091"/>
    <x v="263"/>
    <x v="7"/>
    <x v="4"/>
    <x v="2"/>
    <x v="24"/>
    <n v="37"/>
    <n v="6300"/>
    <n v="0"/>
    <n v="233100"/>
    <x v="1023"/>
    <x v="0"/>
    <x v="2"/>
    <x v="10"/>
    <x v="0"/>
    <s v="12/2024"/>
    <x v="0"/>
    <s v="Grande"/>
  </r>
  <r>
    <n v="1092"/>
    <x v="574"/>
    <x v="6"/>
    <x v="2"/>
    <x v="3"/>
    <x v="19"/>
    <n v="30"/>
    <n v="2300"/>
    <n v="0"/>
    <n v="69000"/>
    <x v="1009"/>
    <x v="0"/>
    <x v="3"/>
    <x v="9"/>
    <x v="1"/>
    <s v="01/2023"/>
    <x v="2"/>
    <s v="Moyenne"/>
  </r>
  <r>
    <n v="1093"/>
    <x v="397"/>
    <x v="4"/>
    <x v="3"/>
    <x v="0"/>
    <x v="39"/>
    <n v="12"/>
    <n v="7400"/>
    <n v="0"/>
    <n v="88800"/>
    <x v="6"/>
    <x v="1"/>
    <x v="2"/>
    <x v="4"/>
    <x v="1"/>
    <s v="11/2023"/>
    <x v="0"/>
    <s v="Moyenne"/>
  </r>
  <r>
    <n v="1094"/>
    <x v="20"/>
    <x v="4"/>
    <x v="1"/>
    <x v="2"/>
    <x v="24"/>
    <n v="32"/>
    <n v="6300"/>
    <n v="5"/>
    <n v="201600"/>
    <x v="931"/>
    <x v="0"/>
    <x v="3"/>
    <x v="6"/>
    <x v="0"/>
    <s v="04/2024"/>
    <x v="3"/>
    <s v="Moyenne"/>
  </r>
  <r>
    <n v="1095"/>
    <x v="481"/>
    <x v="9"/>
    <x v="4"/>
    <x v="4"/>
    <x v="15"/>
    <n v="40"/>
    <n v="7700"/>
    <n v="0"/>
    <n v="308000"/>
    <x v="650"/>
    <x v="3"/>
    <x v="3"/>
    <x v="7"/>
    <x v="0"/>
    <s v="02/2024"/>
    <x v="2"/>
    <s v="Grande"/>
  </r>
  <r>
    <n v="1096"/>
    <x v="168"/>
    <x v="7"/>
    <x v="3"/>
    <x v="4"/>
    <x v="17"/>
    <n v="44"/>
    <n v="128700"/>
    <n v="15"/>
    <n v="5662800"/>
    <x v="1024"/>
    <x v="0"/>
    <x v="0"/>
    <x v="4"/>
    <x v="0"/>
    <s v="11/2024"/>
    <x v="0"/>
    <s v="Grande"/>
  </r>
  <r>
    <n v="1097"/>
    <x v="173"/>
    <x v="2"/>
    <x v="0"/>
    <x v="2"/>
    <x v="24"/>
    <n v="11"/>
    <n v="5300"/>
    <n v="0"/>
    <n v="58300"/>
    <x v="1025"/>
    <x v="0"/>
    <x v="0"/>
    <x v="1"/>
    <x v="1"/>
    <s v="08/2023"/>
    <x v="1"/>
    <s v="Moyenne"/>
  </r>
  <r>
    <n v="1098"/>
    <x v="297"/>
    <x v="8"/>
    <x v="0"/>
    <x v="0"/>
    <x v="5"/>
    <n v="35"/>
    <n v="3600"/>
    <n v="0"/>
    <n v="126000"/>
    <x v="448"/>
    <x v="2"/>
    <x v="2"/>
    <x v="7"/>
    <x v="0"/>
    <s v="02/2024"/>
    <x v="2"/>
    <s v="Moyenne"/>
  </r>
  <r>
    <n v="1099"/>
    <x v="575"/>
    <x v="6"/>
    <x v="0"/>
    <x v="4"/>
    <x v="29"/>
    <n v="22"/>
    <n v="17100"/>
    <n v="10"/>
    <n v="376200"/>
    <x v="1026"/>
    <x v="0"/>
    <x v="3"/>
    <x v="2"/>
    <x v="1"/>
    <s v="03/2023"/>
    <x v="2"/>
    <s v="Grande"/>
  </r>
  <r>
    <n v="1100"/>
    <x v="145"/>
    <x v="5"/>
    <x v="1"/>
    <x v="1"/>
    <x v="32"/>
    <n v="35"/>
    <n v="2500"/>
    <n v="0"/>
    <n v="87500"/>
    <x v="947"/>
    <x v="0"/>
    <x v="2"/>
    <x v="10"/>
    <x v="0"/>
    <s v="12/2024"/>
    <x v="0"/>
    <s v="Moyenne"/>
  </r>
  <r>
    <n v="1101"/>
    <x v="7"/>
    <x v="5"/>
    <x v="2"/>
    <x v="3"/>
    <x v="20"/>
    <n v="50"/>
    <n v="7500"/>
    <n v="20"/>
    <n v="375000"/>
    <x v="1027"/>
    <x v="0"/>
    <x v="3"/>
    <x v="0"/>
    <x v="0"/>
    <s v="10/2024"/>
    <x v="0"/>
    <s v="Grande"/>
  </r>
  <r>
    <n v="1102"/>
    <x v="131"/>
    <x v="8"/>
    <x v="4"/>
    <x v="1"/>
    <x v="1"/>
    <n v="49"/>
    <n v="9500"/>
    <n v="0"/>
    <n v="465500"/>
    <x v="1028"/>
    <x v="1"/>
    <x v="3"/>
    <x v="2"/>
    <x v="0"/>
    <s v="03/2024"/>
    <x v="2"/>
    <s v="Grande"/>
  </r>
  <r>
    <n v="1103"/>
    <x v="576"/>
    <x v="6"/>
    <x v="0"/>
    <x v="2"/>
    <x v="24"/>
    <n v="6"/>
    <n v="5300"/>
    <n v="20"/>
    <n v="31800"/>
    <x v="1029"/>
    <x v="0"/>
    <x v="2"/>
    <x v="10"/>
    <x v="0"/>
    <s v="12/2024"/>
    <x v="0"/>
    <s v="Petite"/>
  </r>
  <r>
    <n v="1104"/>
    <x v="577"/>
    <x v="2"/>
    <x v="4"/>
    <x v="0"/>
    <x v="22"/>
    <n v="6"/>
    <n v="13300"/>
    <n v="0"/>
    <n v="79800"/>
    <x v="432"/>
    <x v="2"/>
    <x v="2"/>
    <x v="11"/>
    <x v="0"/>
    <s v="05/2024"/>
    <x v="3"/>
    <s v="Moyenne"/>
  </r>
  <r>
    <n v="1105"/>
    <x v="578"/>
    <x v="6"/>
    <x v="4"/>
    <x v="0"/>
    <x v="21"/>
    <n v="35"/>
    <n v="4600"/>
    <n v="15"/>
    <n v="161000"/>
    <x v="1030"/>
    <x v="1"/>
    <x v="1"/>
    <x v="9"/>
    <x v="1"/>
    <s v="01/2023"/>
    <x v="2"/>
    <s v="Moyenne"/>
  </r>
  <r>
    <n v="1106"/>
    <x v="579"/>
    <x v="3"/>
    <x v="3"/>
    <x v="4"/>
    <x v="35"/>
    <n v="39"/>
    <n v="98800"/>
    <n v="0"/>
    <n v="3853200"/>
    <x v="1031"/>
    <x v="0"/>
    <x v="1"/>
    <x v="2"/>
    <x v="0"/>
    <s v="03/2024"/>
    <x v="2"/>
    <s v="Grande"/>
  </r>
  <r>
    <n v="1107"/>
    <x v="323"/>
    <x v="3"/>
    <x v="0"/>
    <x v="2"/>
    <x v="2"/>
    <n v="32"/>
    <n v="6100"/>
    <n v="20"/>
    <n v="195200"/>
    <x v="1032"/>
    <x v="2"/>
    <x v="0"/>
    <x v="4"/>
    <x v="0"/>
    <s v="11/2024"/>
    <x v="0"/>
    <s v="Moyenne"/>
  </r>
  <r>
    <n v="1108"/>
    <x v="580"/>
    <x v="7"/>
    <x v="2"/>
    <x v="3"/>
    <x v="20"/>
    <n v="9"/>
    <n v="7500"/>
    <n v="0"/>
    <n v="67500"/>
    <x v="290"/>
    <x v="0"/>
    <x v="0"/>
    <x v="4"/>
    <x v="0"/>
    <s v="11/2024"/>
    <x v="0"/>
    <s v="Moyenne"/>
  </r>
  <r>
    <n v="1109"/>
    <x v="198"/>
    <x v="5"/>
    <x v="1"/>
    <x v="3"/>
    <x v="6"/>
    <n v="14"/>
    <n v="10300"/>
    <n v="15"/>
    <n v="144200"/>
    <x v="1033"/>
    <x v="0"/>
    <x v="1"/>
    <x v="10"/>
    <x v="1"/>
    <s v="12/2023"/>
    <x v="0"/>
    <s v="Moyenne"/>
  </r>
  <r>
    <n v="1110"/>
    <x v="581"/>
    <x v="1"/>
    <x v="2"/>
    <x v="0"/>
    <x v="4"/>
    <n v="20"/>
    <n v="34100"/>
    <n v="15"/>
    <n v="682000"/>
    <x v="1034"/>
    <x v="0"/>
    <x v="0"/>
    <x v="1"/>
    <x v="0"/>
    <s v="08/2024"/>
    <x v="1"/>
    <s v="Grande"/>
  </r>
  <r>
    <n v="1111"/>
    <x v="476"/>
    <x v="8"/>
    <x v="1"/>
    <x v="4"/>
    <x v="15"/>
    <n v="35"/>
    <n v="7400"/>
    <n v="0"/>
    <n v="259000"/>
    <x v="1035"/>
    <x v="0"/>
    <x v="3"/>
    <x v="11"/>
    <x v="0"/>
    <s v="05/2024"/>
    <x v="3"/>
    <s v="Grande"/>
  </r>
  <r>
    <n v="1112"/>
    <x v="582"/>
    <x v="8"/>
    <x v="1"/>
    <x v="0"/>
    <x v="22"/>
    <n v="11"/>
    <n v="12500"/>
    <n v="0"/>
    <n v="137500"/>
    <x v="718"/>
    <x v="0"/>
    <x v="2"/>
    <x v="8"/>
    <x v="1"/>
    <s v="06/2023"/>
    <x v="3"/>
    <s v="Moyenne"/>
  </r>
  <r>
    <n v="1113"/>
    <x v="347"/>
    <x v="7"/>
    <x v="2"/>
    <x v="3"/>
    <x v="19"/>
    <n v="7"/>
    <n v="2500"/>
    <n v="10"/>
    <n v="17500"/>
    <x v="1036"/>
    <x v="0"/>
    <x v="0"/>
    <x v="8"/>
    <x v="0"/>
    <s v="06/2024"/>
    <x v="3"/>
    <s v="Petite"/>
  </r>
  <r>
    <n v="1114"/>
    <x v="398"/>
    <x v="0"/>
    <x v="1"/>
    <x v="3"/>
    <x v="19"/>
    <n v="33"/>
    <n v="2300"/>
    <n v="15"/>
    <n v="75900"/>
    <x v="1037"/>
    <x v="0"/>
    <x v="0"/>
    <x v="7"/>
    <x v="0"/>
    <s v="02/2024"/>
    <x v="2"/>
    <s v="Moyenne"/>
  </r>
  <r>
    <n v="1115"/>
    <x v="458"/>
    <x v="7"/>
    <x v="4"/>
    <x v="2"/>
    <x v="2"/>
    <n v="8"/>
    <n v="5600"/>
    <n v="0"/>
    <n v="44800"/>
    <x v="1038"/>
    <x v="0"/>
    <x v="2"/>
    <x v="0"/>
    <x v="1"/>
    <s v="10/2023"/>
    <x v="0"/>
    <s v="Petite"/>
  </r>
  <r>
    <n v="1116"/>
    <x v="248"/>
    <x v="8"/>
    <x v="1"/>
    <x v="4"/>
    <x v="35"/>
    <n v="15"/>
    <n v="107800"/>
    <n v="15"/>
    <n v="1617000"/>
    <x v="1039"/>
    <x v="0"/>
    <x v="3"/>
    <x v="10"/>
    <x v="1"/>
    <s v="12/2023"/>
    <x v="0"/>
    <s v="Grande"/>
  </r>
  <r>
    <n v="1117"/>
    <x v="502"/>
    <x v="4"/>
    <x v="1"/>
    <x v="2"/>
    <x v="38"/>
    <n v="27"/>
    <n v="15800"/>
    <n v="0"/>
    <n v="426600"/>
    <x v="1040"/>
    <x v="0"/>
    <x v="0"/>
    <x v="5"/>
    <x v="1"/>
    <s v="09/2023"/>
    <x v="1"/>
    <s v="Grande"/>
  </r>
  <r>
    <n v="1118"/>
    <x v="517"/>
    <x v="2"/>
    <x v="3"/>
    <x v="0"/>
    <x v="39"/>
    <n v="37"/>
    <n v="7500"/>
    <n v="10"/>
    <n v="277500"/>
    <x v="1041"/>
    <x v="3"/>
    <x v="1"/>
    <x v="9"/>
    <x v="0"/>
    <s v="01/2024"/>
    <x v="2"/>
    <s v="Grande"/>
  </r>
  <r>
    <n v="1119"/>
    <x v="334"/>
    <x v="5"/>
    <x v="3"/>
    <x v="4"/>
    <x v="35"/>
    <n v="37"/>
    <n v="104500"/>
    <n v="15"/>
    <n v="3866500"/>
    <x v="1042"/>
    <x v="0"/>
    <x v="2"/>
    <x v="11"/>
    <x v="0"/>
    <s v="05/2024"/>
    <x v="3"/>
    <s v="Grande"/>
  </r>
  <r>
    <n v="1120"/>
    <x v="325"/>
    <x v="7"/>
    <x v="2"/>
    <x v="3"/>
    <x v="6"/>
    <n v="7"/>
    <n v="9900"/>
    <n v="10"/>
    <n v="69300"/>
    <x v="1043"/>
    <x v="1"/>
    <x v="1"/>
    <x v="8"/>
    <x v="1"/>
    <s v="06/2023"/>
    <x v="3"/>
    <s v="Moyenne"/>
  </r>
  <r>
    <n v="1121"/>
    <x v="78"/>
    <x v="9"/>
    <x v="1"/>
    <x v="0"/>
    <x v="22"/>
    <n v="14"/>
    <n v="13600"/>
    <n v="5"/>
    <n v="190400"/>
    <x v="1044"/>
    <x v="0"/>
    <x v="0"/>
    <x v="7"/>
    <x v="1"/>
    <s v="02/2023"/>
    <x v="2"/>
    <s v="Moyenne"/>
  </r>
  <r>
    <n v="1122"/>
    <x v="583"/>
    <x v="9"/>
    <x v="4"/>
    <x v="1"/>
    <x v="14"/>
    <n v="2"/>
    <n v="125200"/>
    <n v="5"/>
    <n v="250400"/>
    <x v="1045"/>
    <x v="1"/>
    <x v="1"/>
    <x v="10"/>
    <x v="1"/>
    <s v="12/2023"/>
    <x v="0"/>
    <s v="Grande"/>
  </r>
  <r>
    <n v="1123"/>
    <x v="584"/>
    <x v="3"/>
    <x v="4"/>
    <x v="2"/>
    <x v="3"/>
    <n v="35"/>
    <n v="1800"/>
    <n v="0"/>
    <n v="63000"/>
    <x v="1046"/>
    <x v="1"/>
    <x v="2"/>
    <x v="4"/>
    <x v="0"/>
    <s v="11/2024"/>
    <x v="0"/>
    <s v="Moyenne"/>
  </r>
  <r>
    <n v="1124"/>
    <x v="450"/>
    <x v="1"/>
    <x v="2"/>
    <x v="1"/>
    <x v="12"/>
    <n v="41"/>
    <n v="19000"/>
    <n v="0"/>
    <n v="779000"/>
    <x v="1047"/>
    <x v="3"/>
    <x v="0"/>
    <x v="5"/>
    <x v="1"/>
    <s v="09/2023"/>
    <x v="1"/>
    <s v="Grande"/>
  </r>
  <r>
    <n v="1125"/>
    <x v="186"/>
    <x v="9"/>
    <x v="0"/>
    <x v="1"/>
    <x v="12"/>
    <n v="12"/>
    <n v="17500"/>
    <n v="20"/>
    <n v="210000"/>
    <x v="1048"/>
    <x v="0"/>
    <x v="2"/>
    <x v="6"/>
    <x v="0"/>
    <s v="04/2024"/>
    <x v="3"/>
    <s v="Moyenne"/>
  </r>
  <r>
    <n v="1126"/>
    <x v="365"/>
    <x v="5"/>
    <x v="1"/>
    <x v="1"/>
    <x v="31"/>
    <n v="27"/>
    <n v="27500"/>
    <n v="0"/>
    <n v="742500"/>
    <x v="365"/>
    <x v="0"/>
    <x v="0"/>
    <x v="8"/>
    <x v="0"/>
    <s v="06/2024"/>
    <x v="3"/>
    <s v="Grande"/>
  </r>
  <r>
    <n v="1127"/>
    <x v="81"/>
    <x v="7"/>
    <x v="1"/>
    <x v="0"/>
    <x v="5"/>
    <n v="12"/>
    <n v="3900"/>
    <n v="15"/>
    <n v="46800"/>
    <x v="580"/>
    <x v="0"/>
    <x v="1"/>
    <x v="6"/>
    <x v="0"/>
    <s v="04/2024"/>
    <x v="3"/>
    <s v="Petite"/>
  </r>
  <r>
    <n v="1128"/>
    <x v="338"/>
    <x v="9"/>
    <x v="0"/>
    <x v="1"/>
    <x v="11"/>
    <n v="31"/>
    <n v="6900"/>
    <n v="0"/>
    <n v="213900"/>
    <x v="1049"/>
    <x v="3"/>
    <x v="0"/>
    <x v="2"/>
    <x v="0"/>
    <s v="03/2024"/>
    <x v="2"/>
    <s v="Grande"/>
  </r>
  <r>
    <n v="1129"/>
    <x v="505"/>
    <x v="4"/>
    <x v="0"/>
    <x v="2"/>
    <x v="38"/>
    <n v="34"/>
    <n v="14500"/>
    <n v="0"/>
    <n v="493000"/>
    <x v="1050"/>
    <x v="0"/>
    <x v="1"/>
    <x v="8"/>
    <x v="0"/>
    <s v="06/2024"/>
    <x v="3"/>
    <s v="Grande"/>
  </r>
  <r>
    <n v="1130"/>
    <x v="585"/>
    <x v="0"/>
    <x v="4"/>
    <x v="1"/>
    <x v="11"/>
    <n v="6"/>
    <n v="5600"/>
    <n v="0"/>
    <n v="33600"/>
    <x v="856"/>
    <x v="1"/>
    <x v="1"/>
    <x v="5"/>
    <x v="0"/>
    <s v="09/2024"/>
    <x v="1"/>
    <s v="Petite"/>
  </r>
  <r>
    <n v="1131"/>
    <x v="586"/>
    <x v="8"/>
    <x v="4"/>
    <x v="1"/>
    <x v="11"/>
    <n v="42"/>
    <n v="6500"/>
    <n v="5"/>
    <n v="273000"/>
    <x v="1051"/>
    <x v="0"/>
    <x v="2"/>
    <x v="1"/>
    <x v="1"/>
    <s v="08/2023"/>
    <x v="1"/>
    <s v="Grande"/>
  </r>
  <r>
    <n v="1132"/>
    <x v="587"/>
    <x v="7"/>
    <x v="4"/>
    <x v="0"/>
    <x v="22"/>
    <n v="46"/>
    <n v="11400"/>
    <n v="0"/>
    <n v="524400"/>
    <x v="1052"/>
    <x v="0"/>
    <x v="2"/>
    <x v="1"/>
    <x v="0"/>
    <s v="08/2024"/>
    <x v="1"/>
    <s v="Grande"/>
  </r>
  <r>
    <n v="1133"/>
    <x v="197"/>
    <x v="9"/>
    <x v="2"/>
    <x v="2"/>
    <x v="3"/>
    <n v="32"/>
    <n v="2000"/>
    <n v="5"/>
    <n v="64000"/>
    <x v="54"/>
    <x v="0"/>
    <x v="2"/>
    <x v="1"/>
    <x v="0"/>
    <s v="08/2024"/>
    <x v="1"/>
    <s v="Moyenne"/>
  </r>
  <r>
    <n v="1134"/>
    <x v="588"/>
    <x v="4"/>
    <x v="2"/>
    <x v="3"/>
    <x v="19"/>
    <n v="28"/>
    <n v="2300"/>
    <n v="0"/>
    <n v="64400"/>
    <x v="1053"/>
    <x v="0"/>
    <x v="3"/>
    <x v="7"/>
    <x v="0"/>
    <s v="02/2024"/>
    <x v="2"/>
    <s v="Moyenne"/>
  </r>
  <r>
    <n v="1135"/>
    <x v="435"/>
    <x v="0"/>
    <x v="1"/>
    <x v="2"/>
    <x v="38"/>
    <n v="17"/>
    <n v="16000"/>
    <n v="10"/>
    <n v="272000"/>
    <x v="972"/>
    <x v="0"/>
    <x v="3"/>
    <x v="5"/>
    <x v="0"/>
    <s v="09/2024"/>
    <x v="1"/>
    <s v="Grande"/>
  </r>
  <r>
    <n v="1136"/>
    <x v="140"/>
    <x v="2"/>
    <x v="2"/>
    <x v="4"/>
    <x v="35"/>
    <n v="21"/>
    <n v="88200"/>
    <n v="0"/>
    <n v="1852200"/>
    <x v="1054"/>
    <x v="0"/>
    <x v="1"/>
    <x v="0"/>
    <x v="0"/>
    <s v="10/2024"/>
    <x v="0"/>
    <s v="Grande"/>
  </r>
  <r>
    <n v="1137"/>
    <x v="589"/>
    <x v="0"/>
    <x v="4"/>
    <x v="0"/>
    <x v="39"/>
    <n v="21"/>
    <n v="7500"/>
    <n v="15"/>
    <n v="157500"/>
    <x v="1055"/>
    <x v="0"/>
    <x v="3"/>
    <x v="5"/>
    <x v="1"/>
    <s v="09/2023"/>
    <x v="1"/>
    <s v="Moyenne"/>
  </r>
  <r>
    <n v="1138"/>
    <x v="583"/>
    <x v="3"/>
    <x v="4"/>
    <x v="4"/>
    <x v="15"/>
    <n v="36"/>
    <n v="8400"/>
    <n v="10"/>
    <n v="302400"/>
    <x v="1056"/>
    <x v="0"/>
    <x v="3"/>
    <x v="10"/>
    <x v="1"/>
    <s v="12/2023"/>
    <x v="0"/>
    <s v="Grande"/>
  </r>
  <r>
    <n v="1139"/>
    <x v="486"/>
    <x v="2"/>
    <x v="4"/>
    <x v="1"/>
    <x v="32"/>
    <n v="43"/>
    <n v="2700"/>
    <n v="15"/>
    <n v="116100"/>
    <x v="1057"/>
    <x v="0"/>
    <x v="2"/>
    <x v="8"/>
    <x v="1"/>
    <s v="06/2023"/>
    <x v="3"/>
    <s v="Moyenne"/>
  </r>
  <r>
    <n v="1140"/>
    <x v="225"/>
    <x v="3"/>
    <x v="2"/>
    <x v="2"/>
    <x v="3"/>
    <n v="32"/>
    <n v="1600"/>
    <n v="5"/>
    <n v="51200"/>
    <x v="1058"/>
    <x v="0"/>
    <x v="3"/>
    <x v="2"/>
    <x v="0"/>
    <s v="03/2024"/>
    <x v="2"/>
    <s v="Petite"/>
  </r>
  <r>
    <n v="1141"/>
    <x v="27"/>
    <x v="0"/>
    <x v="1"/>
    <x v="2"/>
    <x v="37"/>
    <n v="16"/>
    <n v="3400"/>
    <n v="0"/>
    <n v="54400"/>
    <x v="221"/>
    <x v="0"/>
    <x v="3"/>
    <x v="2"/>
    <x v="1"/>
    <s v="03/2023"/>
    <x v="2"/>
    <s v="Moyenne"/>
  </r>
  <r>
    <n v="1142"/>
    <x v="467"/>
    <x v="9"/>
    <x v="0"/>
    <x v="4"/>
    <x v="17"/>
    <n v="26"/>
    <n v="107300"/>
    <n v="0"/>
    <n v="2789800"/>
    <x v="792"/>
    <x v="0"/>
    <x v="0"/>
    <x v="0"/>
    <x v="0"/>
    <s v="10/2024"/>
    <x v="0"/>
    <s v="Grande"/>
  </r>
  <r>
    <n v="1143"/>
    <x v="140"/>
    <x v="1"/>
    <x v="0"/>
    <x v="4"/>
    <x v="8"/>
    <n v="27"/>
    <n v="72000"/>
    <n v="0"/>
    <n v="1944000"/>
    <x v="1059"/>
    <x v="1"/>
    <x v="3"/>
    <x v="0"/>
    <x v="0"/>
    <s v="10/2024"/>
    <x v="0"/>
    <s v="Grande"/>
  </r>
  <r>
    <n v="1144"/>
    <x v="590"/>
    <x v="7"/>
    <x v="0"/>
    <x v="3"/>
    <x v="27"/>
    <n v="4"/>
    <n v="12300"/>
    <n v="5"/>
    <n v="49200"/>
    <x v="1060"/>
    <x v="0"/>
    <x v="2"/>
    <x v="10"/>
    <x v="1"/>
    <s v="12/2023"/>
    <x v="0"/>
    <s v="Petite"/>
  </r>
  <r>
    <n v="1145"/>
    <x v="172"/>
    <x v="0"/>
    <x v="2"/>
    <x v="3"/>
    <x v="19"/>
    <n v="4"/>
    <n v="2000"/>
    <n v="0"/>
    <n v="8000"/>
    <x v="921"/>
    <x v="1"/>
    <x v="1"/>
    <x v="0"/>
    <x v="0"/>
    <s v="10/2024"/>
    <x v="0"/>
    <s v="Petite"/>
  </r>
  <r>
    <n v="1146"/>
    <x v="84"/>
    <x v="7"/>
    <x v="4"/>
    <x v="2"/>
    <x v="24"/>
    <n v="24"/>
    <n v="5200"/>
    <n v="15"/>
    <n v="124800"/>
    <x v="1061"/>
    <x v="1"/>
    <x v="0"/>
    <x v="4"/>
    <x v="1"/>
    <s v="11/2023"/>
    <x v="0"/>
    <s v="Moyenne"/>
  </r>
  <r>
    <n v="1147"/>
    <x v="544"/>
    <x v="4"/>
    <x v="0"/>
    <x v="1"/>
    <x v="18"/>
    <n v="5"/>
    <n v="96600"/>
    <n v="0"/>
    <n v="483000"/>
    <x v="1062"/>
    <x v="0"/>
    <x v="2"/>
    <x v="7"/>
    <x v="1"/>
    <s v="02/2023"/>
    <x v="2"/>
    <s v="Grande"/>
  </r>
  <r>
    <n v="1148"/>
    <x v="364"/>
    <x v="6"/>
    <x v="4"/>
    <x v="3"/>
    <x v="36"/>
    <n v="21"/>
    <n v="3500"/>
    <n v="15"/>
    <n v="73500"/>
    <x v="1063"/>
    <x v="2"/>
    <x v="2"/>
    <x v="10"/>
    <x v="0"/>
    <s v="12/2024"/>
    <x v="0"/>
    <s v="Moyenne"/>
  </r>
  <r>
    <n v="1149"/>
    <x v="591"/>
    <x v="0"/>
    <x v="3"/>
    <x v="3"/>
    <x v="33"/>
    <n v="43"/>
    <n v="4700"/>
    <n v="0"/>
    <n v="202100"/>
    <x v="1064"/>
    <x v="0"/>
    <x v="3"/>
    <x v="6"/>
    <x v="0"/>
    <s v="04/2024"/>
    <x v="3"/>
    <s v="Grande"/>
  </r>
  <r>
    <n v="1150"/>
    <x v="92"/>
    <x v="5"/>
    <x v="0"/>
    <x v="0"/>
    <x v="34"/>
    <n v="23"/>
    <n v="34500"/>
    <n v="15"/>
    <n v="793500"/>
    <x v="1065"/>
    <x v="0"/>
    <x v="1"/>
    <x v="5"/>
    <x v="0"/>
    <s v="09/2024"/>
    <x v="1"/>
    <s v="Grande"/>
  </r>
  <r>
    <n v="1151"/>
    <x v="233"/>
    <x v="5"/>
    <x v="5"/>
    <x v="1"/>
    <x v="31"/>
    <n v="1"/>
    <n v="22900"/>
    <n v="20"/>
    <n v="22900"/>
    <x v="1066"/>
    <x v="1"/>
    <x v="2"/>
    <x v="0"/>
    <x v="0"/>
    <s v="10/2024"/>
    <x v="0"/>
    <s v="Petite"/>
  </r>
  <r>
    <n v="1152"/>
    <x v="311"/>
    <x v="5"/>
    <x v="1"/>
    <x v="1"/>
    <x v="11"/>
    <n v="38"/>
    <n v="5700"/>
    <n v="20"/>
    <n v="216600"/>
    <x v="1067"/>
    <x v="1"/>
    <x v="3"/>
    <x v="9"/>
    <x v="0"/>
    <s v="01/2024"/>
    <x v="2"/>
    <s v="Moyenne"/>
  </r>
  <r>
    <n v="1153"/>
    <x v="236"/>
    <x v="8"/>
    <x v="4"/>
    <x v="3"/>
    <x v="19"/>
    <n v="15"/>
    <n v="2500"/>
    <n v="5"/>
    <n v="37500"/>
    <x v="1068"/>
    <x v="2"/>
    <x v="2"/>
    <x v="4"/>
    <x v="1"/>
    <s v="11/2023"/>
    <x v="0"/>
    <s v="Petite"/>
  </r>
  <r>
    <n v="1154"/>
    <x v="227"/>
    <x v="2"/>
    <x v="4"/>
    <x v="4"/>
    <x v="26"/>
    <n v="28"/>
    <n v="38500"/>
    <n v="20"/>
    <n v="1078000"/>
    <x v="1069"/>
    <x v="0"/>
    <x v="3"/>
    <x v="5"/>
    <x v="0"/>
    <s v="09/2024"/>
    <x v="1"/>
    <s v="Grande"/>
  </r>
  <r>
    <n v="1155"/>
    <x v="413"/>
    <x v="0"/>
    <x v="4"/>
    <x v="4"/>
    <x v="8"/>
    <n v="16"/>
    <n v="70600"/>
    <n v="0"/>
    <n v="1129600"/>
    <x v="1070"/>
    <x v="0"/>
    <x v="2"/>
    <x v="1"/>
    <x v="0"/>
    <s v="08/2024"/>
    <x v="1"/>
    <s v="Grande"/>
  </r>
  <r>
    <n v="1156"/>
    <x v="592"/>
    <x v="1"/>
    <x v="1"/>
    <x v="3"/>
    <x v="36"/>
    <n v="8"/>
    <n v="3800"/>
    <n v="0"/>
    <n v="30400"/>
    <x v="1071"/>
    <x v="2"/>
    <x v="0"/>
    <x v="9"/>
    <x v="1"/>
    <s v="01/2023"/>
    <x v="2"/>
    <s v="Petite"/>
  </r>
  <r>
    <n v="1157"/>
    <x v="43"/>
    <x v="5"/>
    <x v="4"/>
    <x v="4"/>
    <x v="29"/>
    <n v="4"/>
    <n v="18500"/>
    <n v="0"/>
    <n v="74000"/>
    <x v="1072"/>
    <x v="0"/>
    <x v="3"/>
    <x v="2"/>
    <x v="0"/>
    <s v="03/2024"/>
    <x v="2"/>
    <s v="Moyenne"/>
  </r>
  <r>
    <n v="1158"/>
    <x v="593"/>
    <x v="7"/>
    <x v="1"/>
    <x v="2"/>
    <x v="16"/>
    <n v="12"/>
    <n v="9100"/>
    <n v="10"/>
    <n v="109200"/>
    <x v="1073"/>
    <x v="0"/>
    <x v="2"/>
    <x v="7"/>
    <x v="1"/>
    <s v="02/2023"/>
    <x v="2"/>
    <s v="Moyenne"/>
  </r>
  <r>
    <n v="1159"/>
    <x v="594"/>
    <x v="0"/>
    <x v="0"/>
    <x v="2"/>
    <x v="24"/>
    <n v="4"/>
    <n v="5300"/>
    <n v="0"/>
    <n v="21200"/>
    <x v="635"/>
    <x v="2"/>
    <x v="3"/>
    <x v="2"/>
    <x v="0"/>
    <s v="03/2024"/>
    <x v="2"/>
    <s v="Petite"/>
  </r>
  <r>
    <n v="1160"/>
    <x v="570"/>
    <x v="2"/>
    <x v="0"/>
    <x v="0"/>
    <x v="0"/>
    <n v="45"/>
    <n v="24700"/>
    <n v="5"/>
    <n v="1111500"/>
    <x v="1074"/>
    <x v="1"/>
    <x v="2"/>
    <x v="2"/>
    <x v="1"/>
    <s v="03/2023"/>
    <x v="2"/>
    <s v="Grande"/>
  </r>
  <r>
    <n v="1161"/>
    <x v="281"/>
    <x v="5"/>
    <x v="2"/>
    <x v="4"/>
    <x v="26"/>
    <n v="14"/>
    <n v="39600"/>
    <n v="15"/>
    <n v="554400"/>
    <x v="1075"/>
    <x v="0"/>
    <x v="3"/>
    <x v="6"/>
    <x v="1"/>
    <s v="04/2023"/>
    <x v="3"/>
    <s v="Grande"/>
  </r>
  <r>
    <n v="1162"/>
    <x v="588"/>
    <x v="4"/>
    <x v="0"/>
    <x v="1"/>
    <x v="12"/>
    <n v="45"/>
    <n v="18500"/>
    <n v="20"/>
    <n v="832500"/>
    <x v="1076"/>
    <x v="0"/>
    <x v="3"/>
    <x v="7"/>
    <x v="0"/>
    <s v="02/2024"/>
    <x v="2"/>
    <s v="Grande"/>
  </r>
  <r>
    <n v="1163"/>
    <x v="184"/>
    <x v="5"/>
    <x v="4"/>
    <x v="0"/>
    <x v="10"/>
    <n v="22"/>
    <n v="26400"/>
    <n v="0"/>
    <n v="580800"/>
    <x v="1077"/>
    <x v="2"/>
    <x v="1"/>
    <x v="11"/>
    <x v="0"/>
    <s v="05/2024"/>
    <x v="3"/>
    <s v="Grande"/>
  </r>
  <r>
    <n v="1164"/>
    <x v="377"/>
    <x v="8"/>
    <x v="1"/>
    <x v="0"/>
    <x v="4"/>
    <n v="17"/>
    <n v="33100"/>
    <n v="15"/>
    <n v="562700"/>
    <x v="1078"/>
    <x v="2"/>
    <x v="1"/>
    <x v="4"/>
    <x v="0"/>
    <s v="11/2024"/>
    <x v="0"/>
    <s v="Grande"/>
  </r>
  <r>
    <n v="1165"/>
    <x v="595"/>
    <x v="9"/>
    <x v="2"/>
    <x v="4"/>
    <x v="35"/>
    <n v="16"/>
    <n v="97100"/>
    <n v="20"/>
    <n v="1553600"/>
    <x v="1079"/>
    <x v="0"/>
    <x v="0"/>
    <x v="0"/>
    <x v="1"/>
    <s v="10/2023"/>
    <x v="0"/>
    <s v="Grande"/>
  </r>
  <r>
    <n v="1166"/>
    <x v="567"/>
    <x v="9"/>
    <x v="2"/>
    <x v="2"/>
    <x v="13"/>
    <n v="50"/>
    <n v="4600"/>
    <n v="20"/>
    <n v="230000"/>
    <x v="1080"/>
    <x v="0"/>
    <x v="3"/>
    <x v="9"/>
    <x v="1"/>
    <s v="01/2023"/>
    <x v="2"/>
    <s v="Moyenne"/>
  </r>
  <r>
    <n v="1167"/>
    <x v="596"/>
    <x v="8"/>
    <x v="1"/>
    <x v="0"/>
    <x v="34"/>
    <n v="17"/>
    <n v="34100"/>
    <n v="20"/>
    <n v="579700"/>
    <x v="1081"/>
    <x v="0"/>
    <x v="0"/>
    <x v="0"/>
    <x v="1"/>
    <s v="10/2023"/>
    <x v="0"/>
    <s v="Grande"/>
  </r>
  <r>
    <n v="1168"/>
    <x v="597"/>
    <x v="4"/>
    <x v="2"/>
    <x v="3"/>
    <x v="36"/>
    <n v="44"/>
    <n v="3500"/>
    <n v="0"/>
    <n v="154000"/>
    <x v="1082"/>
    <x v="0"/>
    <x v="0"/>
    <x v="10"/>
    <x v="1"/>
    <s v="12/2023"/>
    <x v="0"/>
    <s v="Moyenne"/>
  </r>
  <r>
    <n v="1169"/>
    <x v="598"/>
    <x v="5"/>
    <x v="4"/>
    <x v="0"/>
    <x v="5"/>
    <n v="37"/>
    <n v="3200"/>
    <n v="0"/>
    <n v="118400"/>
    <x v="1083"/>
    <x v="1"/>
    <x v="2"/>
    <x v="7"/>
    <x v="0"/>
    <s v="02/2024"/>
    <x v="2"/>
    <s v="Moyenne"/>
  </r>
  <r>
    <n v="1170"/>
    <x v="343"/>
    <x v="0"/>
    <x v="4"/>
    <x v="4"/>
    <x v="8"/>
    <n v="41"/>
    <n v="74200"/>
    <n v="10"/>
    <n v="3042200"/>
    <x v="1084"/>
    <x v="1"/>
    <x v="2"/>
    <x v="3"/>
    <x v="1"/>
    <s v="07/2023"/>
    <x v="1"/>
    <s v="Grande"/>
  </r>
  <r>
    <n v="1171"/>
    <x v="101"/>
    <x v="4"/>
    <x v="2"/>
    <x v="0"/>
    <x v="21"/>
    <n v="18"/>
    <n v="4700"/>
    <n v="10"/>
    <n v="84600"/>
    <x v="1085"/>
    <x v="0"/>
    <x v="0"/>
    <x v="8"/>
    <x v="1"/>
    <s v="06/2023"/>
    <x v="3"/>
    <s v="Moyenne"/>
  </r>
  <r>
    <n v="1172"/>
    <x v="270"/>
    <x v="3"/>
    <x v="3"/>
    <x v="1"/>
    <x v="9"/>
    <n v="37"/>
    <n v="9900"/>
    <n v="0"/>
    <n v="366300"/>
    <x v="1086"/>
    <x v="3"/>
    <x v="3"/>
    <x v="8"/>
    <x v="0"/>
    <s v="06/2024"/>
    <x v="3"/>
    <s v="Grande"/>
  </r>
  <r>
    <n v="1173"/>
    <x v="440"/>
    <x v="1"/>
    <x v="1"/>
    <x v="2"/>
    <x v="2"/>
    <n v="34"/>
    <n v="5800"/>
    <n v="0"/>
    <n v="197200"/>
    <x v="1087"/>
    <x v="3"/>
    <x v="1"/>
    <x v="6"/>
    <x v="1"/>
    <s v="04/2023"/>
    <x v="3"/>
    <s v="Moyenne"/>
  </r>
  <r>
    <n v="1174"/>
    <x v="244"/>
    <x v="4"/>
    <x v="0"/>
    <x v="0"/>
    <x v="4"/>
    <n v="14"/>
    <n v="35500"/>
    <n v="0"/>
    <n v="497000"/>
    <x v="1088"/>
    <x v="0"/>
    <x v="0"/>
    <x v="11"/>
    <x v="0"/>
    <s v="05/2024"/>
    <x v="3"/>
    <s v="Grande"/>
  </r>
  <r>
    <n v="1175"/>
    <x v="599"/>
    <x v="4"/>
    <x v="0"/>
    <x v="4"/>
    <x v="15"/>
    <n v="1"/>
    <n v="8000"/>
    <n v="0"/>
    <n v="8000"/>
    <x v="921"/>
    <x v="0"/>
    <x v="1"/>
    <x v="11"/>
    <x v="0"/>
    <s v="05/2024"/>
    <x v="3"/>
    <s v="Petite"/>
  </r>
  <r>
    <n v="1176"/>
    <x v="428"/>
    <x v="2"/>
    <x v="3"/>
    <x v="2"/>
    <x v="24"/>
    <n v="10"/>
    <n v="5900"/>
    <n v="5"/>
    <n v="59000"/>
    <x v="1089"/>
    <x v="3"/>
    <x v="1"/>
    <x v="0"/>
    <x v="1"/>
    <s v="10/2023"/>
    <x v="0"/>
    <s v="Moyenne"/>
  </r>
  <r>
    <n v="1177"/>
    <x v="86"/>
    <x v="0"/>
    <x v="2"/>
    <x v="2"/>
    <x v="38"/>
    <n v="23"/>
    <n v="14300"/>
    <n v="5"/>
    <n v="328900"/>
    <x v="1090"/>
    <x v="0"/>
    <x v="2"/>
    <x v="1"/>
    <x v="0"/>
    <s v="08/2024"/>
    <x v="1"/>
    <s v="Grande"/>
  </r>
  <r>
    <n v="1178"/>
    <x v="489"/>
    <x v="0"/>
    <x v="2"/>
    <x v="0"/>
    <x v="34"/>
    <n v="28"/>
    <n v="30200"/>
    <n v="20"/>
    <n v="845600"/>
    <x v="1091"/>
    <x v="1"/>
    <x v="3"/>
    <x v="7"/>
    <x v="0"/>
    <s v="02/2024"/>
    <x v="2"/>
    <s v="Grande"/>
  </r>
  <r>
    <n v="1179"/>
    <x v="319"/>
    <x v="6"/>
    <x v="4"/>
    <x v="0"/>
    <x v="22"/>
    <n v="13"/>
    <n v="12000"/>
    <n v="0"/>
    <n v="156000"/>
    <x v="1092"/>
    <x v="0"/>
    <x v="0"/>
    <x v="1"/>
    <x v="0"/>
    <s v="08/2024"/>
    <x v="1"/>
    <s v="Moyenne"/>
  </r>
  <r>
    <n v="1180"/>
    <x v="1"/>
    <x v="8"/>
    <x v="3"/>
    <x v="2"/>
    <x v="23"/>
    <n v="28"/>
    <n v="5300"/>
    <n v="15"/>
    <n v="148400"/>
    <x v="1093"/>
    <x v="0"/>
    <x v="2"/>
    <x v="1"/>
    <x v="0"/>
    <s v="08/2024"/>
    <x v="1"/>
    <s v="Moyenne"/>
  </r>
  <r>
    <n v="1181"/>
    <x v="255"/>
    <x v="2"/>
    <x v="2"/>
    <x v="4"/>
    <x v="15"/>
    <n v="27"/>
    <n v="7600"/>
    <n v="0"/>
    <n v="205200"/>
    <x v="511"/>
    <x v="3"/>
    <x v="2"/>
    <x v="4"/>
    <x v="1"/>
    <s v="11/2023"/>
    <x v="0"/>
    <s v="Grande"/>
  </r>
  <r>
    <n v="1182"/>
    <x v="298"/>
    <x v="1"/>
    <x v="1"/>
    <x v="1"/>
    <x v="12"/>
    <n v="20"/>
    <n v="19000"/>
    <n v="0"/>
    <n v="380000"/>
    <x v="1094"/>
    <x v="1"/>
    <x v="3"/>
    <x v="3"/>
    <x v="0"/>
    <s v="07/2024"/>
    <x v="1"/>
    <s v="Grande"/>
  </r>
  <r>
    <n v="1183"/>
    <x v="227"/>
    <x v="2"/>
    <x v="3"/>
    <x v="0"/>
    <x v="4"/>
    <n v="26"/>
    <n v="38100"/>
    <n v="5"/>
    <n v="990600"/>
    <x v="1095"/>
    <x v="0"/>
    <x v="0"/>
    <x v="5"/>
    <x v="0"/>
    <s v="09/2024"/>
    <x v="1"/>
    <s v="Grande"/>
  </r>
  <r>
    <n v="1184"/>
    <x v="525"/>
    <x v="8"/>
    <x v="0"/>
    <x v="1"/>
    <x v="18"/>
    <n v="42"/>
    <n v="82200"/>
    <n v="20"/>
    <n v="3452400"/>
    <x v="1096"/>
    <x v="0"/>
    <x v="0"/>
    <x v="8"/>
    <x v="0"/>
    <s v="06/2024"/>
    <x v="3"/>
    <s v="Grande"/>
  </r>
  <r>
    <n v="1185"/>
    <x v="408"/>
    <x v="9"/>
    <x v="1"/>
    <x v="0"/>
    <x v="4"/>
    <n v="38"/>
    <n v="32600"/>
    <n v="15"/>
    <n v="1238800"/>
    <x v="1097"/>
    <x v="1"/>
    <x v="0"/>
    <x v="0"/>
    <x v="1"/>
    <s v="10/2023"/>
    <x v="0"/>
    <s v="Grande"/>
  </r>
  <r>
    <n v="1186"/>
    <x v="28"/>
    <x v="2"/>
    <x v="4"/>
    <x v="3"/>
    <x v="36"/>
    <n v="44"/>
    <n v="3500"/>
    <n v="0"/>
    <n v="154000"/>
    <x v="1082"/>
    <x v="0"/>
    <x v="1"/>
    <x v="3"/>
    <x v="1"/>
    <s v="07/2023"/>
    <x v="1"/>
    <s v="Moyenne"/>
  </r>
  <r>
    <n v="1187"/>
    <x v="528"/>
    <x v="4"/>
    <x v="0"/>
    <x v="4"/>
    <x v="26"/>
    <n v="1"/>
    <n v="39000"/>
    <n v="10"/>
    <n v="39000"/>
    <x v="1098"/>
    <x v="0"/>
    <x v="0"/>
    <x v="11"/>
    <x v="0"/>
    <s v="05/2024"/>
    <x v="3"/>
    <s v="Petite"/>
  </r>
  <r>
    <n v="1188"/>
    <x v="108"/>
    <x v="5"/>
    <x v="4"/>
    <x v="1"/>
    <x v="31"/>
    <n v="33"/>
    <n v="22700"/>
    <n v="0"/>
    <n v="749100"/>
    <x v="1099"/>
    <x v="0"/>
    <x v="0"/>
    <x v="0"/>
    <x v="1"/>
    <s v="10/2023"/>
    <x v="0"/>
    <s v="Grande"/>
  </r>
  <r>
    <n v="1189"/>
    <x v="492"/>
    <x v="7"/>
    <x v="1"/>
    <x v="2"/>
    <x v="3"/>
    <n v="35"/>
    <n v="2000"/>
    <n v="20"/>
    <n v="70000"/>
    <x v="1100"/>
    <x v="0"/>
    <x v="2"/>
    <x v="6"/>
    <x v="1"/>
    <s v="04/2023"/>
    <x v="3"/>
    <s v="Moyenne"/>
  </r>
  <r>
    <n v="1190"/>
    <x v="421"/>
    <x v="9"/>
    <x v="0"/>
    <x v="4"/>
    <x v="30"/>
    <n v="12"/>
    <n v="29700"/>
    <n v="0"/>
    <n v="356400"/>
    <x v="56"/>
    <x v="0"/>
    <x v="1"/>
    <x v="6"/>
    <x v="0"/>
    <s v="04/2024"/>
    <x v="3"/>
    <s v="Grande"/>
  </r>
  <r>
    <n v="1191"/>
    <x v="247"/>
    <x v="2"/>
    <x v="4"/>
    <x v="4"/>
    <x v="28"/>
    <n v="43"/>
    <n v="11700"/>
    <n v="0"/>
    <n v="503100"/>
    <x v="1101"/>
    <x v="0"/>
    <x v="2"/>
    <x v="3"/>
    <x v="0"/>
    <s v="07/2024"/>
    <x v="1"/>
    <s v="Grande"/>
  </r>
  <r>
    <n v="1192"/>
    <x v="565"/>
    <x v="4"/>
    <x v="1"/>
    <x v="4"/>
    <x v="8"/>
    <n v="28"/>
    <n v="66000"/>
    <n v="5"/>
    <n v="1848000"/>
    <x v="1102"/>
    <x v="0"/>
    <x v="3"/>
    <x v="4"/>
    <x v="0"/>
    <s v="11/2024"/>
    <x v="0"/>
    <s v="Grande"/>
  </r>
  <r>
    <n v="1193"/>
    <x v="600"/>
    <x v="9"/>
    <x v="1"/>
    <x v="1"/>
    <x v="32"/>
    <n v="42"/>
    <n v="2300"/>
    <n v="0"/>
    <n v="96600"/>
    <x v="1103"/>
    <x v="2"/>
    <x v="2"/>
    <x v="6"/>
    <x v="1"/>
    <s v="04/2023"/>
    <x v="3"/>
    <s v="Moyenne"/>
  </r>
  <r>
    <n v="1194"/>
    <x v="422"/>
    <x v="6"/>
    <x v="1"/>
    <x v="4"/>
    <x v="17"/>
    <n v="11"/>
    <n v="103800"/>
    <n v="0"/>
    <n v="1141800"/>
    <x v="1104"/>
    <x v="0"/>
    <x v="1"/>
    <x v="10"/>
    <x v="1"/>
    <s v="12/2023"/>
    <x v="0"/>
    <s v="Grande"/>
  </r>
  <r>
    <n v="1195"/>
    <x v="436"/>
    <x v="2"/>
    <x v="1"/>
    <x v="3"/>
    <x v="19"/>
    <n v="10"/>
    <n v="2100"/>
    <n v="5"/>
    <n v="21000"/>
    <x v="1105"/>
    <x v="0"/>
    <x v="3"/>
    <x v="10"/>
    <x v="0"/>
    <s v="12/2024"/>
    <x v="0"/>
    <s v="Petite"/>
  </r>
  <r>
    <n v="1196"/>
    <x v="601"/>
    <x v="4"/>
    <x v="2"/>
    <x v="4"/>
    <x v="8"/>
    <n v="42"/>
    <n v="73400"/>
    <n v="10"/>
    <n v="3082800"/>
    <x v="1106"/>
    <x v="0"/>
    <x v="2"/>
    <x v="11"/>
    <x v="1"/>
    <s v="05/2023"/>
    <x v="3"/>
    <s v="Grande"/>
  </r>
  <r>
    <n v="1197"/>
    <x v="318"/>
    <x v="6"/>
    <x v="3"/>
    <x v="3"/>
    <x v="7"/>
    <n v="21"/>
    <n v="20500"/>
    <n v="10"/>
    <n v="430500"/>
    <x v="1107"/>
    <x v="0"/>
    <x v="3"/>
    <x v="11"/>
    <x v="0"/>
    <s v="05/2024"/>
    <x v="3"/>
    <s v="Grande"/>
  </r>
  <r>
    <n v="1198"/>
    <x v="602"/>
    <x v="7"/>
    <x v="0"/>
    <x v="1"/>
    <x v="18"/>
    <n v="11"/>
    <n v="94600"/>
    <n v="5"/>
    <n v="1040600"/>
    <x v="1108"/>
    <x v="0"/>
    <x v="0"/>
    <x v="5"/>
    <x v="0"/>
    <s v="09/2024"/>
    <x v="1"/>
    <s v="Grande"/>
  </r>
  <r>
    <n v="1199"/>
    <x v="58"/>
    <x v="8"/>
    <x v="2"/>
    <x v="2"/>
    <x v="3"/>
    <n v="12"/>
    <n v="1700"/>
    <n v="20"/>
    <n v="20400"/>
    <x v="172"/>
    <x v="1"/>
    <x v="2"/>
    <x v="4"/>
    <x v="0"/>
    <s v="11/2024"/>
    <x v="0"/>
    <s v="Petite"/>
  </r>
  <r>
    <n v="1200"/>
    <x v="348"/>
    <x v="0"/>
    <x v="0"/>
    <x v="3"/>
    <x v="7"/>
    <n v="48"/>
    <n v="20400"/>
    <n v="10"/>
    <n v="979200"/>
    <x v="1109"/>
    <x v="0"/>
    <x v="3"/>
    <x v="8"/>
    <x v="0"/>
    <s v="06/2024"/>
    <x v="3"/>
    <s v="Grande"/>
  </r>
  <r>
    <n v="1201"/>
    <x v="301"/>
    <x v="1"/>
    <x v="4"/>
    <x v="0"/>
    <x v="10"/>
    <n v="25"/>
    <n v="30100"/>
    <n v="0"/>
    <n v="752500"/>
    <x v="1110"/>
    <x v="0"/>
    <x v="1"/>
    <x v="1"/>
    <x v="0"/>
    <s v="08/2024"/>
    <x v="1"/>
    <s v="Grande"/>
  </r>
  <r>
    <n v="1202"/>
    <x v="295"/>
    <x v="8"/>
    <x v="1"/>
    <x v="0"/>
    <x v="0"/>
    <n v="11"/>
    <n v="20900"/>
    <n v="0"/>
    <n v="229900"/>
    <x v="961"/>
    <x v="0"/>
    <x v="1"/>
    <x v="5"/>
    <x v="1"/>
    <s v="09/2023"/>
    <x v="1"/>
    <s v="Grande"/>
  </r>
  <r>
    <n v="1203"/>
    <x v="193"/>
    <x v="1"/>
    <x v="0"/>
    <x v="2"/>
    <x v="38"/>
    <n v="1"/>
    <n v="15400"/>
    <n v="10"/>
    <n v="15400"/>
    <x v="995"/>
    <x v="0"/>
    <x v="2"/>
    <x v="1"/>
    <x v="0"/>
    <s v="08/2024"/>
    <x v="1"/>
    <s v="Petite"/>
  </r>
  <r>
    <n v="1204"/>
    <x v="57"/>
    <x v="0"/>
    <x v="2"/>
    <x v="2"/>
    <x v="2"/>
    <n v="14"/>
    <n v="5100"/>
    <n v="10"/>
    <n v="71400"/>
    <x v="1111"/>
    <x v="0"/>
    <x v="4"/>
    <x v="3"/>
    <x v="0"/>
    <s v="07/2024"/>
    <x v="1"/>
    <s v="Moyenne"/>
  </r>
  <r>
    <n v="1205"/>
    <x v="105"/>
    <x v="3"/>
    <x v="3"/>
    <x v="3"/>
    <x v="6"/>
    <n v="29"/>
    <n v="10800"/>
    <n v="20"/>
    <n v="313200"/>
    <x v="1112"/>
    <x v="0"/>
    <x v="2"/>
    <x v="10"/>
    <x v="1"/>
    <s v="12/2023"/>
    <x v="0"/>
    <s v="Grande"/>
  </r>
  <r>
    <n v="1206"/>
    <x v="415"/>
    <x v="9"/>
    <x v="0"/>
    <x v="2"/>
    <x v="16"/>
    <n v="32"/>
    <n v="8900"/>
    <n v="0"/>
    <n v="284800"/>
    <x v="1113"/>
    <x v="0"/>
    <x v="3"/>
    <x v="2"/>
    <x v="1"/>
    <s v="03/2023"/>
    <x v="2"/>
    <s v="Grande"/>
  </r>
  <r>
    <n v="1207"/>
    <x v="151"/>
    <x v="4"/>
    <x v="2"/>
    <x v="4"/>
    <x v="15"/>
    <n v="11"/>
    <n v="6900"/>
    <n v="10"/>
    <n v="75900"/>
    <x v="1114"/>
    <x v="3"/>
    <x v="0"/>
    <x v="1"/>
    <x v="1"/>
    <s v="08/2023"/>
    <x v="1"/>
    <s v="Moyenne"/>
  </r>
  <r>
    <n v="1208"/>
    <x v="56"/>
    <x v="5"/>
    <x v="3"/>
    <x v="3"/>
    <x v="7"/>
    <n v="4"/>
    <n v="22000"/>
    <n v="10"/>
    <n v="88000"/>
    <x v="1115"/>
    <x v="0"/>
    <x v="0"/>
    <x v="10"/>
    <x v="0"/>
    <s v="12/2024"/>
    <x v="0"/>
    <s v="Moyenne"/>
  </r>
  <r>
    <n v="1209"/>
    <x v="393"/>
    <x v="4"/>
    <x v="0"/>
    <x v="1"/>
    <x v="11"/>
    <n v="13"/>
    <n v="6000"/>
    <n v="0"/>
    <n v="78000"/>
    <x v="1017"/>
    <x v="0"/>
    <x v="0"/>
    <x v="6"/>
    <x v="0"/>
    <s v="04/2024"/>
    <x v="3"/>
    <s v="Moyenne"/>
  </r>
  <r>
    <n v="1210"/>
    <x v="28"/>
    <x v="2"/>
    <x v="2"/>
    <x v="1"/>
    <x v="1"/>
    <n v="37"/>
    <n v="8700"/>
    <n v="0"/>
    <n v="321900"/>
    <x v="94"/>
    <x v="2"/>
    <x v="0"/>
    <x v="3"/>
    <x v="1"/>
    <s v="07/2023"/>
    <x v="1"/>
    <s v="Grande"/>
  </r>
  <r>
    <n v="1211"/>
    <x v="415"/>
    <x v="7"/>
    <x v="3"/>
    <x v="3"/>
    <x v="19"/>
    <n v="31"/>
    <n v="2500"/>
    <n v="15"/>
    <n v="77500"/>
    <x v="1116"/>
    <x v="3"/>
    <x v="3"/>
    <x v="2"/>
    <x v="1"/>
    <s v="03/2023"/>
    <x v="2"/>
    <s v="Moyenne"/>
  </r>
  <r>
    <n v="1212"/>
    <x v="389"/>
    <x v="0"/>
    <x v="0"/>
    <x v="4"/>
    <x v="26"/>
    <n v="28"/>
    <n v="44600"/>
    <n v="0"/>
    <n v="1248800"/>
    <x v="1117"/>
    <x v="0"/>
    <x v="1"/>
    <x v="10"/>
    <x v="1"/>
    <s v="12/2023"/>
    <x v="0"/>
    <s v="Grande"/>
  </r>
  <r>
    <n v="1213"/>
    <x v="132"/>
    <x v="1"/>
    <x v="4"/>
    <x v="3"/>
    <x v="25"/>
    <n v="48"/>
    <n v="8000"/>
    <n v="0"/>
    <n v="384000"/>
    <x v="373"/>
    <x v="0"/>
    <x v="2"/>
    <x v="7"/>
    <x v="1"/>
    <s v="02/2023"/>
    <x v="2"/>
    <s v="Grande"/>
  </r>
  <r>
    <n v="1214"/>
    <x v="166"/>
    <x v="7"/>
    <x v="4"/>
    <x v="4"/>
    <x v="29"/>
    <n v="8"/>
    <n v="18700"/>
    <n v="0"/>
    <n v="149600"/>
    <x v="160"/>
    <x v="0"/>
    <x v="3"/>
    <x v="9"/>
    <x v="0"/>
    <s v="01/2024"/>
    <x v="2"/>
    <s v="Moyenne"/>
  </r>
  <r>
    <n v="1215"/>
    <x v="75"/>
    <x v="3"/>
    <x v="1"/>
    <x v="1"/>
    <x v="1"/>
    <n v="38"/>
    <n v="8100"/>
    <n v="15"/>
    <n v="307800"/>
    <x v="1118"/>
    <x v="0"/>
    <x v="2"/>
    <x v="3"/>
    <x v="1"/>
    <s v="07/2023"/>
    <x v="1"/>
    <s v="Grande"/>
  </r>
  <r>
    <n v="1216"/>
    <x v="433"/>
    <x v="9"/>
    <x v="0"/>
    <x v="1"/>
    <x v="1"/>
    <n v="5"/>
    <n v="9400"/>
    <n v="0"/>
    <n v="47000"/>
    <x v="1119"/>
    <x v="0"/>
    <x v="2"/>
    <x v="2"/>
    <x v="0"/>
    <s v="03/2024"/>
    <x v="2"/>
    <s v="Petite"/>
  </r>
  <r>
    <n v="1217"/>
    <x v="380"/>
    <x v="1"/>
    <x v="2"/>
    <x v="0"/>
    <x v="0"/>
    <n v="9"/>
    <n v="25300"/>
    <n v="15"/>
    <n v="227700"/>
    <x v="1120"/>
    <x v="0"/>
    <x v="2"/>
    <x v="0"/>
    <x v="1"/>
    <s v="10/2023"/>
    <x v="0"/>
    <s v="Moyenne"/>
  </r>
  <r>
    <n v="1218"/>
    <x v="468"/>
    <x v="0"/>
    <x v="0"/>
    <x v="0"/>
    <x v="0"/>
    <n v="48"/>
    <n v="22500"/>
    <n v="5"/>
    <n v="1080000"/>
    <x v="1121"/>
    <x v="1"/>
    <x v="1"/>
    <x v="8"/>
    <x v="1"/>
    <s v="06/2023"/>
    <x v="3"/>
    <s v="Grande"/>
  </r>
  <r>
    <n v="1219"/>
    <x v="278"/>
    <x v="4"/>
    <x v="2"/>
    <x v="3"/>
    <x v="7"/>
    <n v="16"/>
    <n v="24600"/>
    <n v="0"/>
    <n v="393600"/>
    <x v="1122"/>
    <x v="0"/>
    <x v="3"/>
    <x v="10"/>
    <x v="0"/>
    <s v="12/2024"/>
    <x v="0"/>
    <s v="Grande"/>
  </r>
  <r>
    <n v="1220"/>
    <x v="391"/>
    <x v="2"/>
    <x v="3"/>
    <x v="1"/>
    <x v="18"/>
    <n v="27"/>
    <n v="83900"/>
    <n v="0"/>
    <n v="2265300"/>
    <x v="1123"/>
    <x v="1"/>
    <x v="2"/>
    <x v="10"/>
    <x v="0"/>
    <s v="12/2024"/>
    <x v="0"/>
    <s v="Grande"/>
  </r>
  <r>
    <n v="1221"/>
    <x v="15"/>
    <x v="5"/>
    <x v="4"/>
    <x v="3"/>
    <x v="33"/>
    <n v="36"/>
    <n v="4400"/>
    <n v="15"/>
    <n v="158400"/>
    <x v="1124"/>
    <x v="0"/>
    <x v="3"/>
    <x v="2"/>
    <x v="1"/>
    <s v="03/2023"/>
    <x v="2"/>
    <s v="Moyenne"/>
  </r>
  <r>
    <n v="1222"/>
    <x v="82"/>
    <x v="1"/>
    <x v="4"/>
    <x v="4"/>
    <x v="28"/>
    <n v="2"/>
    <n v="13700"/>
    <n v="0"/>
    <n v="27400"/>
    <x v="1125"/>
    <x v="0"/>
    <x v="0"/>
    <x v="11"/>
    <x v="1"/>
    <s v="05/2023"/>
    <x v="3"/>
    <s v="Petite"/>
  </r>
  <r>
    <n v="1223"/>
    <x v="453"/>
    <x v="9"/>
    <x v="1"/>
    <x v="0"/>
    <x v="10"/>
    <n v="40"/>
    <n v="25600"/>
    <n v="20"/>
    <n v="1024000"/>
    <x v="1126"/>
    <x v="0"/>
    <x v="0"/>
    <x v="10"/>
    <x v="1"/>
    <s v="12/2023"/>
    <x v="0"/>
    <s v="Grande"/>
  </r>
  <r>
    <n v="1224"/>
    <x v="200"/>
    <x v="7"/>
    <x v="1"/>
    <x v="1"/>
    <x v="1"/>
    <n v="12"/>
    <n v="8100"/>
    <n v="0"/>
    <n v="97200"/>
    <x v="968"/>
    <x v="1"/>
    <x v="0"/>
    <x v="9"/>
    <x v="0"/>
    <s v="01/2024"/>
    <x v="2"/>
    <s v="Moyenne"/>
  </r>
  <r>
    <n v="1225"/>
    <x v="483"/>
    <x v="1"/>
    <x v="3"/>
    <x v="0"/>
    <x v="4"/>
    <n v="49"/>
    <n v="39500"/>
    <n v="0"/>
    <n v="1935500"/>
    <x v="1127"/>
    <x v="2"/>
    <x v="3"/>
    <x v="5"/>
    <x v="1"/>
    <s v="09/2023"/>
    <x v="1"/>
    <s v="Grande"/>
  </r>
  <r>
    <n v="1226"/>
    <x v="551"/>
    <x v="5"/>
    <x v="0"/>
    <x v="0"/>
    <x v="21"/>
    <n v="47"/>
    <n v="5000"/>
    <n v="20"/>
    <n v="235000"/>
    <x v="1128"/>
    <x v="2"/>
    <x v="0"/>
    <x v="1"/>
    <x v="0"/>
    <s v="08/2024"/>
    <x v="1"/>
    <s v="Moyenne"/>
  </r>
  <r>
    <n v="1227"/>
    <x v="189"/>
    <x v="2"/>
    <x v="1"/>
    <x v="0"/>
    <x v="5"/>
    <n v="47"/>
    <n v="3500"/>
    <n v="0"/>
    <n v="164500"/>
    <x v="133"/>
    <x v="0"/>
    <x v="3"/>
    <x v="6"/>
    <x v="1"/>
    <s v="04/2023"/>
    <x v="3"/>
    <s v="Moyenne"/>
  </r>
  <r>
    <n v="1228"/>
    <x v="95"/>
    <x v="8"/>
    <x v="4"/>
    <x v="2"/>
    <x v="38"/>
    <n v="44"/>
    <n v="13600"/>
    <n v="0"/>
    <n v="598400"/>
    <x v="1129"/>
    <x v="3"/>
    <x v="0"/>
    <x v="9"/>
    <x v="0"/>
    <s v="01/2024"/>
    <x v="2"/>
    <s v="Grande"/>
  </r>
  <r>
    <n v="1229"/>
    <x v="89"/>
    <x v="4"/>
    <x v="2"/>
    <x v="3"/>
    <x v="25"/>
    <n v="18"/>
    <n v="6800"/>
    <n v="20"/>
    <n v="122400"/>
    <x v="1130"/>
    <x v="0"/>
    <x v="3"/>
    <x v="5"/>
    <x v="0"/>
    <s v="09/2024"/>
    <x v="1"/>
    <s v="Moyenne"/>
  </r>
  <r>
    <n v="1230"/>
    <x v="107"/>
    <x v="9"/>
    <x v="0"/>
    <x v="1"/>
    <x v="32"/>
    <n v="21"/>
    <n v="2600"/>
    <n v="5"/>
    <n v="54600"/>
    <x v="1131"/>
    <x v="1"/>
    <x v="1"/>
    <x v="0"/>
    <x v="0"/>
    <s v="10/2024"/>
    <x v="0"/>
    <s v="Moyenne"/>
  </r>
  <r>
    <n v="1231"/>
    <x v="477"/>
    <x v="1"/>
    <x v="5"/>
    <x v="1"/>
    <x v="31"/>
    <n v="23"/>
    <n v="22700"/>
    <n v="5"/>
    <n v="522100"/>
    <x v="1132"/>
    <x v="0"/>
    <x v="1"/>
    <x v="6"/>
    <x v="0"/>
    <s v="04/2024"/>
    <x v="3"/>
    <s v="Grande"/>
  </r>
  <r>
    <n v="1232"/>
    <x v="603"/>
    <x v="9"/>
    <x v="0"/>
    <x v="0"/>
    <x v="39"/>
    <n v="29"/>
    <n v="9100"/>
    <n v="0"/>
    <n v="263900"/>
    <x v="1133"/>
    <x v="0"/>
    <x v="3"/>
    <x v="9"/>
    <x v="1"/>
    <s v="01/2023"/>
    <x v="2"/>
    <s v="Grande"/>
  </r>
  <r>
    <n v="1233"/>
    <x v="471"/>
    <x v="6"/>
    <x v="4"/>
    <x v="2"/>
    <x v="13"/>
    <n v="42"/>
    <n v="4700"/>
    <n v="15"/>
    <n v="197400"/>
    <x v="1134"/>
    <x v="0"/>
    <x v="0"/>
    <x v="11"/>
    <x v="0"/>
    <s v="05/2024"/>
    <x v="3"/>
    <s v="Moyenne"/>
  </r>
  <r>
    <n v="1234"/>
    <x v="520"/>
    <x v="6"/>
    <x v="3"/>
    <x v="4"/>
    <x v="15"/>
    <n v="46"/>
    <n v="6800"/>
    <n v="0"/>
    <n v="312800"/>
    <x v="1135"/>
    <x v="0"/>
    <x v="4"/>
    <x v="5"/>
    <x v="1"/>
    <s v="09/2023"/>
    <x v="1"/>
    <s v="Grande"/>
  </r>
  <r>
    <n v="1235"/>
    <x v="604"/>
    <x v="3"/>
    <x v="3"/>
    <x v="1"/>
    <x v="1"/>
    <n v="5"/>
    <n v="8400"/>
    <n v="10"/>
    <n v="42000"/>
    <x v="1136"/>
    <x v="0"/>
    <x v="0"/>
    <x v="9"/>
    <x v="1"/>
    <s v="01/2023"/>
    <x v="2"/>
    <s v="Petite"/>
  </r>
  <r>
    <n v="1236"/>
    <x v="386"/>
    <x v="5"/>
    <x v="4"/>
    <x v="0"/>
    <x v="39"/>
    <n v="44"/>
    <n v="8900"/>
    <n v="0"/>
    <n v="391600"/>
    <x v="1137"/>
    <x v="0"/>
    <x v="2"/>
    <x v="2"/>
    <x v="1"/>
    <s v="03/2023"/>
    <x v="2"/>
    <s v="Grande"/>
  </r>
  <r>
    <n v="1237"/>
    <x v="465"/>
    <x v="1"/>
    <x v="2"/>
    <x v="3"/>
    <x v="27"/>
    <n v="27"/>
    <n v="11800"/>
    <n v="5"/>
    <n v="318600"/>
    <x v="1138"/>
    <x v="2"/>
    <x v="3"/>
    <x v="11"/>
    <x v="1"/>
    <s v="05/2023"/>
    <x v="3"/>
    <s v="Grande"/>
  </r>
  <r>
    <n v="1238"/>
    <x v="73"/>
    <x v="9"/>
    <x v="0"/>
    <x v="2"/>
    <x v="37"/>
    <n v="10"/>
    <n v="2900"/>
    <n v="0"/>
    <n v="29000"/>
    <x v="1139"/>
    <x v="2"/>
    <x v="0"/>
    <x v="0"/>
    <x v="1"/>
    <s v="10/2023"/>
    <x v="0"/>
    <s v="Petite"/>
  </r>
  <r>
    <n v="1239"/>
    <x v="153"/>
    <x v="5"/>
    <x v="2"/>
    <x v="3"/>
    <x v="27"/>
    <n v="25"/>
    <n v="13600"/>
    <n v="15"/>
    <n v="340000"/>
    <x v="1140"/>
    <x v="1"/>
    <x v="0"/>
    <x v="5"/>
    <x v="0"/>
    <s v="09/2024"/>
    <x v="1"/>
    <s v="Grande"/>
  </r>
  <r>
    <n v="1240"/>
    <x v="478"/>
    <x v="7"/>
    <x v="0"/>
    <x v="1"/>
    <x v="1"/>
    <n v="37"/>
    <n v="8900"/>
    <n v="10"/>
    <n v="329300"/>
    <x v="1141"/>
    <x v="0"/>
    <x v="2"/>
    <x v="2"/>
    <x v="1"/>
    <s v="03/2023"/>
    <x v="2"/>
    <s v="Grande"/>
  </r>
  <r>
    <n v="1241"/>
    <x v="605"/>
    <x v="2"/>
    <x v="0"/>
    <x v="3"/>
    <x v="36"/>
    <n v="34"/>
    <n v="4000"/>
    <n v="0"/>
    <n v="136000"/>
    <x v="672"/>
    <x v="0"/>
    <x v="3"/>
    <x v="11"/>
    <x v="1"/>
    <s v="05/2023"/>
    <x v="3"/>
    <s v="Moyenne"/>
  </r>
  <r>
    <n v="1242"/>
    <x v="56"/>
    <x v="4"/>
    <x v="4"/>
    <x v="0"/>
    <x v="0"/>
    <n v="24"/>
    <n v="24200"/>
    <n v="15"/>
    <n v="580800"/>
    <x v="1142"/>
    <x v="0"/>
    <x v="3"/>
    <x v="10"/>
    <x v="0"/>
    <s v="12/2024"/>
    <x v="0"/>
    <s v="Grande"/>
  </r>
  <r>
    <n v="1243"/>
    <x v="114"/>
    <x v="5"/>
    <x v="5"/>
    <x v="4"/>
    <x v="15"/>
    <n v="36"/>
    <n v="6900"/>
    <n v="15"/>
    <n v="248400"/>
    <x v="1143"/>
    <x v="0"/>
    <x v="3"/>
    <x v="6"/>
    <x v="1"/>
    <s v="04/2023"/>
    <x v="3"/>
    <s v="Grande"/>
  </r>
  <r>
    <n v="1244"/>
    <x v="187"/>
    <x v="9"/>
    <x v="4"/>
    <x v="4"/>
    <x v="29"/>
    <n v="9"/>
    <n v="17200"/>
    <n v="20"/>
    <n v="154800"/>
    <x v="1144"/>
    <x v="2"/>
    <x v="1"/>
    <x v="0"/>
    <x v="0"/>
    <s v="10/2024"/>
    <x v="0"/>
    <s v="Moyenne"/>
  </r>
  <r>
    <n v="1245"/>
    <x v="55"/>
    <x v="9"/>
    <x v="4"/>
    <x v="3"/>
    <x v="7"/>
    <n v="22"/>
    <n v="24200"/>
    <n v="5"/>
    <n v="532400"/>
    <x v="1145"/>
    <x v="0"/>
    <x v="0"/>
    <x v="7"/>
    <x v="0"/>
    <s v="02/2024"/>
    <x v="2"/>
    <s v="Grande"/>
  </r>
  <r>
    <n v="1246"/>
    <x v="606"/>
    <x v="2"/>
    <x v="4"/>
    <x v="3"/>
    <x v="36"/>
    <n v="50"/>
    <n v="4000"/>
    <n v="5"/>
    <n v="200000"/>
    <x v="977"/>
    <x v="0"/>
    <x v="1"/>
    <x v="3"/>
    <x v="0"/>
    <s v="07/2024"/>
    <x v="1"/>
    <s v="Moyenne"/>
  </r>
  <r>
    <n v="1247"/>
    <x v="574"/>
    <x v="6"/>
    <x v="0"/>
    <x v="4"/>
    <x v="17"/>
    <n v="46"/>
    <n v="125500"/>
    <n v="0"/>
    <n v="5773000"/>
    <x v="1146"/>
    <x v="3"/>
    <x v="0"/>
    <x v="9"/>
    <x v="1"/>
    <s v="01/2023"/>
    <x v="2"/>
    <s v="Grande"/>
  </r>
  <r>
    <n v="1248"/>
    <x v="482"/>
    <x v="7"/>
    <x v="0"/>
    <x v="2"/>
    <x v="24"/>
    <n v="34"/>
    <n v="5100"/>
    <n v="0"/>
    <n v="173400"/>
    <x v="1147"/>
    <x v="2"/>
    <x v="2"/>
    <x v="6"/>
    <x v="1"/>
    <s v="04/2023"/>
    <x v="3"/>
    <s v="Moyenne"/>
  </r>
  <r>
    <n v="1249"/>
    <x v="437"/>
    <x v="7"/>
    <x v="3"/>
    <x v="2"/>
    <x v="16"/>
    <n v="22"/>
    <n v="8900"/>
    <n v="15"/>
    <n v="195800"/>
    <x v="1148"/>
    <x v="0"/>
    <x v="0"/>
    <x v="4"/>
    <x v="1"/>
    <s v="11/2023"/>
    <x v="0"/>
    <s v="Moyenne"/>
  </r>
  <r>
    <n v="1250"/>
    <x v="472"/>
    <x v="0"/>
    <x v="2"/>
    <x v="4"/>
    <x v="29"/>
    <n v="48"/>
    <n v="19000"/>
    <n v="20"/>
    <n v="912000"/>
    <x v="626"/>
    <x v="1"/>
    <x v="3"/>
    <x v="7"/>
    <x v="1"/>
    <s v="02/2023"/>
    <x v="2"/>
    <s v="Grande"/>
  </r>
  <r>
    <n v="1251"/>
    <x v="607"/>
    <x v="6"/>
    <x v="4"/>
    <x v="3"/>
    <x v="19"/>
    <n v="1"/>
    <n v="2100"/>
    <n v="15"/>
    <n v="2100"/>
    <x v="1149"/>
    <x v="0"/>
    <x v="3"/>
    <x v="2"/>
    <x v="0"/>
    <s v="03/2024"/>
    <x v="2"/>
    <s v="Petite"/>
  </r>
  <r>
    <n v="1252"/>
    <x v="212"/>
    <x v="8"/>
    <x v="1"/>
    <x v="0"/>
    <x v="5"/>
    <n v="47"/>
    <n v="3300"/>
    <n v="0"/>
    <n v="155100"/>
    <x v="1150"/>
    <x v="0"/>
    <x v="0"/>
    <x v="0"/>
    <x v="0"/>
    <s v="10/2024"/>
    <x v="0"/>
    <s v="Moyenne"/>
  </r>
  <r>
    <n v="1253"/>
    <x v="578"/>
    <x v="8"/>
    <x v="2"/>
    <x v="1"/>
    <x v="9"/>
    <n v="25"/>
    <n v="8700"/>
    <n v="0"/>
    <n v="217500"/>
    <x v="1151"/>
    <x v="0"/>
    <x v="1"/>
    <x v="9"/>
    <x v="1"/>
    <s v="01/2023"/>
    <x v="2"/>
    <s v="Grande"/>
  </r>
  <r>
    <n v="1254"/>
    <x v="389"/>
    <x v="5"/>
    <x v="1"/>
    <x v="3"/>
    <x v="7"/>
    <n v="40"/>
    <n v="23000"/>
    <n v="0"/>
    <n v="920000"/>
    <x v="1152"/>
    <x v="0"/>
    <x v="3"/>
    <x v="10"/>
    <x v="1"/>
    <s v="12/2023"/>
    <x v="0"/>
    <s v="Grande"/>
  </r>
  <r>
    <n v="1255"/>
    <x v="504"/>
    <x v="0"/>
    <x v="2"/>
    <x v="0"/>
    <x v="5"/>
    <n v="11"/>
    <n v="3500"/>
    <n v="10"/>
    <n v="38500"/>
    <x v="695"/>
    <x v="0"/>
    <x v="3"/>
    <x v="8"/>
    <x v="1"/>
    <s v="06/2023"/>
    <x v="3"/>
    <s v="Petite"/>
  </r>
  <r>
    <n v="1256"/>
    <x v="272"/>
    <x v="5"/>
    <x v="2"/>
    <x v="2"/>
    <x v="24"/>
    <n v="33"/>
    <n v="5200"/>
    <n v="10"/>
    <n v="171600"/>
    <x v="1153"/>
    <x v="1"/>
    <x v="0"/>
    <x v="6"/>
    <x v="1"/>
    <s v="04/2023"/>
    <x v="3"/>
    <s v="Moyenne"/>
  </r>
  <r>
    <n v="1257"/>
    <x v="310"/>
    <x v="2"/>
    <x v="3"/>
    <x v="2"/>
    <x v="38"/>
    <n v="2"/>
    <n v="14300"/>
    <n v="10"/>
    <n v="28600"/>
    <x v="1154"/>
    <x v="0"/>
    <x v="3"/>
    <x v="0"/>
    <x v="1"/>
    <s v="10/2023"/>
    <x v="0"/>
    <s v="Petite"/>
  </r>
  <r>
    <n v="1258"/>
    <x v="162"/>
    <x v="8"/>
    <x v="3"/>
    <x v="2"/>
    <x v="2"/>
    <n v="8"/>
    <n v="5300"/>
    <n v="5"/>
    <n v="42400"/>
    <x v="1155"/>
    <x v="1"/>
    <x v="0"/>
    <x v="10"/>
    <x v="0"/>
    <s v="12/2024"/>
    <x v="0"/>
    <s v="Petite"/>
  </r>
  <r>
    <n v="1259"/>
    <x v="367"/>
    <x v="8"/>
    <x v="2"/>
    <x v="1"/>
    <x v="12"/>
    <n v="47"/>
    <n v="20700"/>
    <n v="20"/>
    <n v="972900"/>
    <x v="1156"/>
    <x v="1"/>
    <x v="3"/>
    <x v="2"/>
    <x v="0"/>
    <s v="03/2024"/>
    <x v="2"/>
    <s v="Grande"/>
  </r>
  <r>
    <n v="1260"/>
    <x v="15"/>
    <x v="5"/>
    <x v="0"/>
    <x v="0"/>
    <x v="22"/>
    <n v="18"/>
    <n v="12300"/>
    <n v="15"/>
    <n v="221400"/>
    <x v="1157"/>
    <x v="0"/>
    <x v="0"/>
    <x v="2"/>
    <x v="1"/>
    <s v="03/2023"/>
    <x v="2"/>
    <s v="Moyenne"/>
  </r>
  <r>
    <n v="1261"/>
    <x v="184"/>
    <x v="3"/>
    <x v="0"/>
    <x v="4"/>
    <x v="8"/>
    <n v="34"/>
    <n v="73700"/>
    <n v="15"/>
    <n v="2505800"/>
    <x v="1158"/>
    <x v="0"/>
    <x v="0"/>
    <x v="11"/>
    <x v="0"/>
    <s v="05/2024"/>
    <x v="3"/>
    <s v="Grande"/>
  </r>
  <r>
    <n v="1262"/>
    <x v="139"/>
    <x v="1"/>
    <x v="4"/>
    <x v="2"/>
    <x v="23"/>
    <n v="15"/>
    <n v="5400"/>
    <n v="5"/>
    <n v="81000"/>
    <x v="1159"/>
    <x v="1"/>
    <x v="3"/>
    <x v="6"/>
    <x v="0"/>
    <s v="04/2024"/>
    <x v="3"/>
    <s v="Moyenne"/>
  </r>
  <r>
    <n v="1263"/>
    <x v="608"/>
    <x v="8"/>
    <x v="4"/>
    <x v="4"/>
    <x v="17"/>
    <n v="41"/>
    <n v="107300"/>
    <n v="0"/>
    <n v="4399300"/>
    <x v="1160"/>
    <x v="2"/>
    <x v="1"/>
    <x v="11"/>
    <x v="1"/>
    <s v="05/2023"/>
    <x v="3"/>
    <s v="Grande"/>
  </r>
  <r>
    <n v="1264"/>
    <x v="388"/>
    <x v="0"/>
    <x v="1"/>
    <x v="3"/>
    <x v="33"/>
    <n v="3"/>
    <n v="4800"/>
    <n v="10"/>
    <n v="14400"/>
    <x v="526"/>
    <x v="0"/>
    <x v="3"/>
    <x v="2"/>
    <x v="0"/>
    <s v="03/2024"/>
    <x v="2"/>
    <s v="Petite"/>
  </r>
  <r>
    <n v="1265"/>
    <x v="609"/>
    <x v="9"/>
    <x v="4"/>
    <x v="0"/>
    <x v="5"/>
    <n v="12"/>
    <n v="3600"/>
    <n v="0"/>
    <n v="43200"/>
    <x v="339"/>
    <x v="2"/>
    <x v="1"/>
    <x v="9"/>
    <x v="0"/>
    <s v="01/2024"/>
    <x v="2"/>
    <s v="Petite"/>
  </r>
  <r>
    <n v="1266"/>
    <x v="329"/>
    <x v="8"/>
    <x v="1"/>
    <x v="4"/>
    <x v="15"/>
    <n v="19"/>
    <n v="7800"/>
    <n v="20"/>
    <n v="148200"/>
    <x v="1161"/>
    <x v="0"/>
    <x v="0"/>
    <x v="4"/>
    <x v="0"/>
    <s v="11/2024"/>
    <x v="0"/>
    <s v="Moyenne"/>
  </r>
  <r>
    <n v="1267"/>
    <x v="360"/>
    <x v="7"/>
    <x v="1"/>
    <x v="0"/>
    <x v="0"/>
    <n v="8"/>
    <n v="23400"/>
    <n v="15"/>
    <n v="187200"/>
    <x v="768"/>
    <x v="0"/>
    <x v="3"/>
    <x v="0"/>
    <x v="1"/>
    <s v="10/2023"/>
    <x v="0"/>
    <s v="Moyenne"/>
  </r>
  <r>
    <n v="1268"/>
    <x v="91"/>
    <x v="3"/>
    <x v="1"/>
    <x v="2"/>
    <x v="2"/>
    <n v="32"/>
    <n v="6000"/>
    <n v="0"/>
    <n v="192000"/>
    <x v="1162"/>
    <x v="0"/>
    <x v="1"/>
    <x v="6"/>
    <x v="1"/>
    <s v="04/2023"/>
    <x v="3"/>
    <s v="Moyenne"/>
  </r>
  <r>
    <n v="1269"/>
    <x v="408"/>
    <x v="4"/>
    <x v="3"/>
    <x v="2"/>
    <x v="23"/>
    <n v="50"/>
    <n v="4400"/>
    <n v="5"/>
    <n v="220000"/>
    <x v="1163"/>
    <x v="0"/>
    <x v="4"/>
    <x v="0"/>
    <x v="1"/>
    <s v="10/2023"/>
    <x v="0"/>
    <s v="Grande"/>
  </r>
  <r>
    <n v="1270"/>
    <x v="334"/>
    <x v="8"/>
    <x v="1"/>
    <x v="4"/>
    <x v="17"/>
    <n v="18"/>
    <n v="129700"/>
    <n v="0"/>
    <n v="2334600"/>
    <x v="1164"/>
    <x v="0"/>
    <x v="1"/>
    <x v="11"/>
    <x v="0"/>
    <s v="05/2024"/>
    <x v="3"/>
    <s v="Grande"/>
  </r>
  <r>
    <n v="1271"/>
    <x v="539"/>
    <x v="1"/>
    <x v="2"/>
    <x v="4"/>
    <x v="29"/>
    <n v="11"/>
    <n v="17200"/>
    <n v="10"/>
    <n v="189200"/>
    <x v="1165"/>
    <x v="0"/>
    <x v="0"/>
    <x v="0"/>
    <x v="0"/>
    <s v="10/2024"/>
    <x v="0"/>
    <s v="Moyenne"/>
  </r>
  <r>
    <n v="1272"/>
    <x v="192"/>
    <x v="3"/>
    <x v="4"/>
    <x v="3"/>
    <x v="20"/>
    <n v="2"/>
    <n v="7400"/>
    <n v="20"/>
    <n v="14800"/>
    <x v="1166"/>
    <x v="1"/>
    <x v="0"/>
    <x v="5"/>
    <x v="0"/>
    <s v="09/2024"/>
    <x v="1"/>
    <s v="Petite"/>
  </r>
  <r>
    <n v="1273"/>
    <x v="188"/>
    <x v="3"/>
    <x v="2"/>
    <x v="3"/>
    <x v="19"/>
    <n v="34"/>
    <n v="2300"/>
    <n v="0"/>
    <n v="78200"/>
    <x v="1167"/>
    <x v="0"/>
    <x v="1"/>
    <x v="10"/>
    <x v="0"/>
    <s v="12/2024"/>
    <x v="0"/>
    <s v="Moyenne"/>
  </r>
  <r>
    <n v="1274"/>
    <x v="351"/>
    <x v="7"/>
    <x v="4"/>
    <x v="0"/>
    <x v="22"/>
    <n v="22"/>
    <n v="13500"/>
    <n v="0"/>
    <n v="297000"/>
    <x v="1168"/>
    <x v="0"/>
    <x v="1"/>
    <x v="7"/>
    <x v="0"/>
    <s v="02/2024"/>
    <x v="2"/>
    <s v="Grande"/>
  </r>
  <r>
    <n v="1275"/>
    <x v="610"/>
    <x v="1"/>
    <x v="3"/>
    <x v="1"/>
    <x v="9"/>
    <n v="3"/>
    <n v="9900"/>
    <n v="0"/>
    <n v="29700"/>
    <x v="1169"/>
    <x v="0"/>
    <x v="3"/>
    <x v="8"/>
    <x v="1"/>
    <s v="06/2023"/>
    <x v="3"/>
    <s v="Petite"/>
  </r>
  <r>
    <n v="1276"/>
    <x v="611"/>
    <x v="5"/>
    <x v="0"/>
    <x v="0"/>
    <x v="10"/>
    <n v="25"/>
    <n v="30900"/>
    <n v="20"/>
    <n v="772500"/>
    <x v="1170"/>
    <x v="1"/>
    <x v="1"/>
    <x v="1"/>
    <x v="1"/>
    <s v="08/2023"/>
    <x v="1"/>
    <s v="Grande"/>
  </r>
  <r>
    <n v="1277"/>
    <x v="558"/>
    <x v="0"/>
    <x v="0"/>
    <x v="1"/>
    <x v="9"/>
    <n v="48"/>
    <n v="8100"/>
    <n v="0"/>
    <n v="388800"/>
    <x v="1171"/>
    <x v="1"/>
    <x v="1"/>
    <x v="6"/>
    <x v="1"/>
    <s v="04/2023"/>
    <x v="3"/>
    <s v="Grande"/>
  </r>
  <r>
    <n v="1278"/>
    <x v="79"/>
    <x v="7"/>
    <x v="4"/>
    <x v="3"/>
    <x v="7"/>
    <n v="28"/>
    <n v="24100"/>
    <n v="0"/>
    <n v="674800"/>
    <x v="1172"/>
    <x v="0"/>
    <x v="0"/>
    <x v="1"/>
    <x v="0"/>
    <s v="08/2024"/>
    <x v="1"/>
    <s v="Grande"/>
  </r>
  <r>
    <n v="1279"/>
    <x v="586"/>
    <x v="8"/>
    <x v="4"/>
    <x v="1"/>
    <x v="32"/>
    <n v="37"/>
    <n v="2900"/>
    <n v="5"/>
    <n v="107300"/>
    <x v="1173"/>
    <x v="0"/>
    <x v="3"/>
    <x v="1"/>
    <x v="1"/>
    <s v="08/2023"/>
    <x v="1"/>
    <s v="Moyenne"/>
  </r>
  <r>
    <n v="1280"/>
    <x v="499"/>
    <x v="5"/>
    <x v="1"/>
    <x v="3"/>
    <x v="7"/>
    <n v="45"/>
    <n v="22500"/>
    <n v="5"/>
    <n v="1012500"/>
    <x v="1174"/>
    <x v="0"/>
    <x v="1"/>
    <x v="8"/>
    <x v="1"/>
    <s v="06/2023"/>
    <x v="3"/>
    <s v="Grande"/>
  </r>
  <r>
    <n v="1281"/>
    <x v="567"/>
    <x v="8"/>
    <x v="1"/>
    <x v="0"/>
    <x v="10"/>
    <n v="37"/>
    <n v="28400"/>
    <n v="20"/>
    <n v="1050800"/>
    <x v="1175"/>
    <x v="3"/>
    <x v="2"/>
    <x v="9"/>
    <x v="1"/>
    <s v="01/2023"/>
    <x v="2"/>
    <s v="Grande"/>
  </r>
  <r>
    <n v="1282"/>
    <x v="612"/>
    <x v="8"/>
    <x v="2"/>
    <x v="4"/>
    <x v="8"/>
    <n v="22"/>
    <n v="68900"/>
    <n v="0"/>
    <n v="1515800"/>
    <x v="1176"/>
    <x v="0"/>
    <x v="0"/>
    <x v="1"/>
    <x v="1"/>
    <s v="08/2023"/>
    <x v="1"/>
    <s v="Grande"/>
  </r>
  <r>
    <n v="1283"/>
    <x v="127"/>
    <x v="6"/>
    <x v="4"/>
    <x v="4"/>
    <x v="26"/>
    <n v="26"/>
    <n v="38700"/>
    <n v="10"/>
    <n v="1006200"/>
    <x v="1177"/>
    <x v="0"/>
    <x v="2"/>
    <x v="3"/>
    <x v="0"/>
    <s v="07/2024"/>
    <x v="1"/>
    <s v="Grande"/>
  </r>
  <r>
    <n v="1284"/>
    <x v="338"/>
    <x v="5"/>
    <x v="0"/>
    <x v="4"/>
    <x v="17"/>
    <n v="48"/>
    <n v="115300"/>
    <n v="0"/>
    <n v="5534400"/>
    <x v="1178"/>
    <x v="0"/>
    <x v="1"/>
    <x v="2"/>
    <x v="0"/>
    <s v="03/2024"/>
    <x v="2"/>
    <s v="Grande"/>
  </r>
  <r>
    <n v="1285"/>
    <x v="266"/>
    <x v="9"/>
    <x v="3"/>
    <x v="4"/>
    <x v="35"/>
    <n v="14"/>
    <n v="91900"/>
    <n v="10"/>
    <n v="1286600"/>
    <x v="1179"/>
    <x v="1"/>
    <x v="2"/>
    <x v="4"/>
    <x v="1"/>
    <s v="11/2023"/>
    <x v="0"/>
    <s v="Grande"/>
  </r>
  <r>
    <n v="1286"/>
    <x v="476"/>
    <x v="3"/>
    <x v="4"/>
    <x v="0"/>
    <x v="5"/>
    <n v="33"/>
    <n v="3800"/>
    <n v="0"/>
    <n v="125400"/>
    <x v="1180"/>
    <x v="0"/>
    <x v="0"/>
    <x v="11"/>
    <x v="0"/>
    <s v="05/2024"/>
    <x v="3"/>
    <s v="Moyenne"/>
  </r>
  <r>
    <n v="1287"/>
    <x v="613"/>
    <x v="0"/>
    <x v="1"/>
    <x v="2"/>
    <x v="38"/>
    <n v="48"/>
    <n v="13200"/>
    <n v="5"/>
    <n v="633600"/>
    <x v="1181"/>
    <x v="0"/>
    <x v="1"/>
    <x v="4"/>
    <x v="0"/>
    <s v="11/2024"/>
    <x v="0"/>
    <s v="Grande"/>
  </r>
  <r>
    <n v="1288"/>
    <x v="91"/>
    <x v="1"/>
    <x v="1"/>
    <x v="4"/>
    <x v="30"/>
    <n v="34"/>
    <n v="29600"/>
    <n v="5"/>
    <n v="1006400"/>
    <x v="1182"/>
    <x v="0"/>
    <x v="2"/>
    <x v="6"/>
    <x v="1"/>
    <s v="04/2023"/>
    <x v="3"/>
    <s v="Grande"/>
  </r>
  <r>
    <n v="1289"/>
    <x v="595"/>
    <x v="4"/>
    <x v="5"/>
    <x v="4"/>
    <x v="17"/>
    <n v="44"/>
    <n v="124200"/>
    <n v="10"/>
    <n v="5464800"/>
    <x v="1183"/>
    <x v="0"/>
    <x v="3"/>
    <x v="0"/>
    <x v="1"/>
    <s v="10/2023"/>
    <x v="0"/>
    <s v="Grande"/>
  </r>
  <r>
    <n v="1290"/>
    <x v="262"/>
    <x v="9"/>
    <x v="4"/>
    <x v="2"/>
    <x v="16"/>
    <n v="14"/>
    <n v="9900"/>
    <n v="10"/>
    <n v="138600"/>
    <x v="1184"/>
    <x v="1"/>
    <x v="3"/>
    <x v="9"/>
    <x v="0"/>
    <s v="01/2024"/>
    <x v="2"/>
    <s v="Moyenne"/>
  </r>
  <r>
    <n v="1291"/>
    <x v="538"/>
    <x v="4"/>
    <x v="1"/>
    <x v="4"/>
    <x v="26"/>
    <n v="48"/>
    <n v="47600"/>
    <n v="0"/>
    <n v="2284800"/>
    <x v="1185"/>
    <x v="1"/>
    <x v="1"/>
    <x v="4"/>
    <x v="0"/>
    <s v="11/2024"/>
    <x v="0"/>
    <s v="Grande"/>
  </r>
  <r>
    <n v="1292"/>
    <x v="614"/>
    <x v="8"/>
    <x v="0"/>
    <x v="0"/>
    <x v="21"/>
    <n v="31"/>
    <n v="4300"/>
    <n v="0"/>
    <n v="133300"/>
    <x v="1186"/>
    <x v="0"/>
    <x v="0"/>
    <x v="8"/>
    <x v="0"/>
    <s v="06/2024"/>
    <x v="3"/>
    <s v="Moyenne"/>
  </r>
  <r>
    <n v="1293"/>
    <x v="259"/>
    <x v="5"/>
    <x v="4"/>
    <x v="1"/>
    <x v="31"/>
    <n v="4"/>
    <n v="24600"/>
    <n v="0"/>
    <n v="98400"/>
    <x v="574"/>
    <x v="0"/>
    <x v="1"/>
    <x v="10"/>
    <x v="0"/>
    <s v="12/2024"/>
    <x v="0"/>
    <s v="Moyenne"/>
  </r>
  <r>
    <n v="1294"/>
    <x v="615"/>
    <x v="2"/>
    <x v="4"/>
    <x v="0"/>
    <x v="4"/>
    <n v="18"/>
    <n v="39600"/>
    <n v="10"/>
    <n v="712800"/>
    <x v="1187"/>
    <x v="0"/>
    <x v="2"/>
    <x v="10"/>
    <x v="1"/>
    <s v="12/2023"/>
    <x v="0"/>
    <s v="Grande"/>
  </r>
  <r>
    <n v="1295"/>
    <x v="616"/>
    <x v="3"/>
    <x v="3"/>
    <x v="4"/>
    <x v="17"/>
    <n v="42"/>
    <n v="119600"/>
    <n v="10"/>
    <n v="5023200"/>
    <x v="1188"/>
    <x v="1"/>
    <x v="0"/>
    <x v="0"/>
    <x v="1"/>
    <s v="10/2023"/>
    <x v="0"/>
    <s v="Grande"/>
  </r>
  <r>
    <n v="1296"/>
    <x v="68"/>
    <x v="0"/>
    <x v="4"/>
    <x v="0"/>
    <x v="22"/>
    <n v="7"/>
    <n v="11600"/>
    <n v="0"/>
    <n v="81200"/>
    <x v="1189"/>
    <x v="0"/>
    <x v="2"/>
    <x v="8"/>
    <x v="1"/>
    <s v="06/2023"/>
    <x v="3"/>
    <s v="Moyenne"/>
  </r>
  <r>
    <n v="1297"/>
    <x v="56"/>
    <x v="9"/>
    <x v="3"/>
    <x v="0"/>
    <x v="5"/>
    <n v="1"/>
    <n v="3300"/>
    <n v="0"/>
    <n v="3300"/>
    <x v="1190"/>
    <x v="1"/>
    <x v="1"/>
    <x v="10"/>
    <x v="0"/>
    <s v="12/2024"/>
    <x v="0"/>
    <s v="Petite"/>
  </r>
  <r>
    <n v="1298"/>
    <x v="407"/>
    <x v="6"/>
    <x v="4"/>
    <x v="2"/>
    <x v="2"/>
    <n v="21"/>
    <n v="6000"/>
    <n v="0"/>
    <n v="126000"/>
    <x v="448"/>
    <x v="0"/>
    <x v="0"/>
    <x v="5"/>
    <x v="0"/>
    <s v="09/2024"/>
    <x v="1"/>
    <s v="Moyenne"/>
  </r>
  <r>
    <n v="1299"/>
    <x v="247"/>
    <x v="8"/>
    <x v="5"/>
    <x v="4"/>
    <x v="15"/>
    <n v="49"/>
    <n v="7300"/>
    <n v="5"/>
    <n v="357700"/>
    <x v="1191"/>
    <x v="0"/>
    <x v="2"/>
    <x v="3"/>
    <x v="0"/>
    <s v="07/2024"/>
    <x v="1"/>
    <s v="Grande"/>
  </r>
  <r>
    <n v="1300"/>
    <x v="311"/>
    <x v="8"/>
    <x v="2"/>
    <x v="0"/>
    <x v="39"/>
    <n v="39"/>
    <n v="8300"/>
    <n v="15"/>
    <n v="323700"/>
    <x v="1192"/>
    <x v="1"/>
    <x v="1"/>
    <x v="9"/>
    <x v="0"/>
    <s v="01/2024"/>
    <x v="2"/>
    <s v="Grande"/>
  </r>
  <r>
    <n v="1301"/>
    <x v="453"/>
    <x v="6"/>
    <x v="1"/>
    <x v="3"/>
    <x v="36"/>
    <n v="17"/>
    <n v="3900"/>
    <n v="15"/>
    <n v="66300"/>
    <x v="1193"/>
    <x v="1"/>
    <x v="2"/>
    <x v="10"/>
    <x v="1"/>
    <s v="12/2023"/>
    <x v="0"/>
    <s v="Moyenne"/>
  </r>
  <r>
    <n v="1302"/>
    <x v="201"/>
    <x v="6"/>
    <x v="0"/>
    <x v="0"/>
    <x v="5"/>
    <n v="23"/>
    <n v="3800"/>
    <n v="10"/>
    <n v="87400"/>
    <x v="1194"/>
    <x v="1"/>
    <x v="1"/>
    <x v="10"/>
    <x v="1"/>
    <s v="12/2023"/>
    <x v="0"/>
    <s v="Moyenne"/>
  </r>
  <r>
    <n v="1303"/>
    <x v="554"/>
    <x v="5"/>
    <x v="1"/>
    <x v="0"/>
    <x v="22"/>
    <n v="1"/>
    <n v="13600"/>
    <n v="10"/>
    <n v="13600"/>
    <x v="1195"/>
    <x v="0"/>
    <x v="3"/>
    <x v="3"/>
    <x v="0"/>
    <s v="07/2024"/>
    <x v="1"/>
    <s v="Petite"/>
  </r>
  <r>
    <n v="1304"/>
    <x v="299"/>
    <x v="1"/>
    <x v="3"/>
    <x v="0"/>
    <x v="39"/>
    <n v="24"/>
    <n v="7400"/>
    <n v="10"/>
    <n v="177600"/>
    <x v="871"/>
    <x v="2"/>
    <x v="0"/>
    <x v="3"/>
    <x v="1"/>
    <s v="07/2023"/>
    <x v="1"/>
    <s v="Moyenne"/>
  </r>
  <r>
    <n v="1305"/>
    <x v="617"/>
    <x v="1"/>
    <x v="2"/>
    <x v="4"/>
    <x v="29"/>
    <n v="45"/>
    <n v="16400"/>
    <n v="15"/>
    <n v="738000"/>
    <x v="1196"/>
    <x v="1"/>
    <x v="3"/>
    <x v="3"/>
    <x v="1"/>
    <s v="07/2023"/>
    <x v="1"/>
    <s v="Grande"/>
  </r>
  <r>
    <n v="1306"/>
    <x v="618"/>
    <x v="9"/>
    <x v="0"/>
    <x v="4"/>
    <x v="28"/>
    <n v="31"/>
    <n v="12300"/>
    <n v="0"/>
    <n v="381300"/>
    <x v="565"/>
    <x v="1"/>
    <x v="0"/>
    <x v="7"/>
    <x v="1"/>
    <s v="02/2023"/>
    <x v="2"/>
    <s v="Grande"/>
  </r>
  <r>
    <n v="1307"/>
    <x v="35"/>
    <x v="1"/>
    <x v="3"/>
    <x v="2"/>
    <x v="13"/>
    <n v="9"/>
    <n v="4700"/>
    <n v="0"/>
    <n v="42300"/>
    <x v="1197"/>
    <x v="0"/>
    <x v="0"/>
    <x v="9"/>
    <x v="0"/>
    <s v="01/2024"/>
    <x v="2"/>
    <s v="Petite"/>
  </r>
  <r>
    <n v="1308"/>
    <x v="116"/>
    <x v="1"/>
    <x v="2"/>
    <x v="1"/>
    <x v="32"/>
    <n v="13"/>
    <n v="2900"/>
    <n v="0"/>
    <n v="37700"/>
    <x v="1198"/>
    <x v="1"/>
    <x v="0"/>
    <x v="2"/>
    <x v="0"/>
    <s v="03/2024"/>
    <x v="2"/>
    <s v="Petite"/>
  </r>
  <r>
    <n v="1309"/>
    <x v="85"/>
    <x v="3"/>
    <x v="4"/>
    <x v="3"/>
    <x v="27"/>
    <n v="43"/>
    <n v="12300"/>
    <n v="0"/>
    <n v="528900"/>
    <x v="1199"/>
    <x v="0"/>
    <x v="0"/>
    <x v="4"/>
    <x v="0"/>
    <s v="11/2024"/>
    <x v="0"/>
    <s v="Grande"/>
  </r>
  <r>
    <n v="1310"/>
    <x v="288"/>
    <x v="2"/>
    <x v="4"/>
    <x v="0"/>
    <x v="10"/>
    <n v="3"/>
    <n v="26400"/>
    <n v="15"/>
    <n v="79200"/>
    <x v="1200"/>
    <x v="0"/>
    <x v="1"/>
    <x v="3"/>
    <x v="1"/>
    <s v="07/2023"/>
    <x v="1"/>
    <s v="Moyenne"/>
  </r>
  <r>
    <n v="1311"/>
    <x v="169"/>
    <x v="7"/>
    <x v="4"/>
    <x v="1"/>
    <x v="32"/>
    <n v="23"/>
    <n v="2400"/>
    <n v="10"/>
    <n v="55200"/>
    <x v="547"/>
    <x v="0"/>
    <x v="2"/>
    <x v="9"/>
    <x v="0"/>
    <s v="01/2024"/>
    <x v="2"/>
    <s v="Petite"/>
  </r>
  <r>
    <n v="1312"/>
    <x v="66"/>
    <x v="0"/>
    <x v="3"/>
    <x v="4"/>
    <x v="8"/>
    <n v="6"/>
    <n v="60400"/>
    <n v="0"/>
    <n v="362400"/>
    <x v="1201"/>
    <x v="0"/>
    <x v="0"/>
    <x v="10"/>
    <x v="0"/>
    <s v="12/2024"/>
    <x v="0"/>
    <s v="Grande"/>
  </r>
  <r>
    <n v="1313"/>
    <x v="420"/>
    <x v="9"/>
    <x v="0"/>
    <x v="2"/>
    <x v="38"/>
    <n v="24"/>
    <n v="13400"/>
    <n v="0"/>
    <n v="321600"/>
    <x v="1202"/>
    <x v="0"/>
    <x v="1"/>
    <x v="4"/>
    <x v="1"/>
    <s v="11/2023"/>
    <x v="0"/>
    <s v="Grande"/>
  </r>
  <r>
    <n v="1314"/>
    <x v="619"/>
    <x v="5"/>
    <x v="4"/>
    <x v="0"/>
    <x v="4"/>
    <n v="19"/>
    <n v="34800"/>
    <n v="10"/>
    <n v="661200"/>
    <x v="113"/>
    <x v="0"/>
    <x v="1"/>
    <x v="4"/>
    <x v="0"/>
    <s v="11/2024"/>
    <x v="0"/>
    <s v="Grande"/>
  </r>
  <r>
    <n v="1315"/>
    <x v="620"/>
    <x v="7"/>
    <x v="4"/>
    <x v="2"/>
    <x v="16"/>
    <n v="12"/>
    <n v="10800"/>
    <n v="15"/>
    <n v="129600"/>
    <x v="376"/>
    <x v="3"/>
    <x v="3"/>
    <x v="4"/>
    <x v="1"/>
    <s v="11/2023"/>
    <x v="0"/>
    <s v="Moyenne"/>
  </r>
  <r>
    <n v="1316"/>
    <x v="96"/>
    <x v="4"/>
    <x v="0"/>
    <x v="4"/>
    <x v="15"/>
    <n v="23"/>
    <n v="7800"/>
    <n v="20"/>
    <n v="179400"/>
    <x v="1203"/>
    <x v="1"/>
    <x v="2"/>
    <x v="2"/>
    <x v="0"/>
    <s v="03/2024"/>
    <x v="2"/>
    <s v="Moyenne"/>
  </r>
  <r>
    <n v="1317"/>
    <x v="301"/>
    <x v="6"/>
    <x v="0"/>
    <x v="3"/>
    <x v="25"/>
    <n v="37"/>
    <n v="7000"/>
    <n v="0"/>
    <n v="259000"/>
    <x v="1035"/>
    <x v="0"/>
    <x v="4"/>
    <x v="1"/>
    <x v="0"/>
    <s v="08/2024"/>
    <x v="1"/>
    <s v="Grande"/>
  </r>
  <r>
    <n v="1318"/>
    <x v="340"/>
    <x v="4"/>
    <x v="4"/>
    <x v="0"/>
    <x v="34"/>
    <n v="50"/>
    <n v="29500"/>
    <n v="5"/>
    <n v="1475000"/>
    <x v="1204"/>
    <x v="0"/>
    <x v="4"/>
    <x v="0"/>
    <x v="0"/>
    <s v="10/2024"/>
    <x v="0"/>
    <s v="Grande"/>
  </r>
  <r>
    <n v="1319"/>
    <x v="41"/>
    <x v="1"/>
    <x v="0"/>
    <x v="3"/>
    <x v="6"/>
    <n v="30"/>
    <n v="10000"/>
    <n v="10"/>
    <n v="300000"/>
    <x v="1205"/>
    <x v="0"/>
    <x v="3"/>
    <x v="5"/>
    <x v="1"/>
    <s v="09/2023"/>
    <x v="1"/>
    <s v="Grande"/>
  </r>
  <r>
    <n v="1320"/>
    <x v="621"/>
    <x v="9"/>
    <x v="0"/>
    <x v="0"/>
    <x v="10"/>
    <n v="1"/>
    <n v="29600"/>
    <n v="0"/>
    <n v="29600"/>
    <x v="1206"/>
    <x v="0"/>
    <x v="2"/>
    <x v="9"/>
    <x v="0"/>
    <s v="01/2024"/>
    <x v="2"/>
    <s v="Petite"/>
  </r>
  <r>
    <n v="1321"/>
    <x v="146"/>
    <x v="0"/>
    <x v="4"/>
    <x v="0"/>
    <x v="34"/>
    <n v="35"/>
    <n v="30100"/>
    <n v="5"/>
    <n v="1053500"/>
    <x v="1207"/>
    <x v="0"/>
    <x v="0"/>
    <x v="4"/>
    <x v="1"/>
    <s v="11/2023"/>
    <x v="0"/>
    <s v="Grande"/>
  </r>
  <r>
    <n v="1322"/>
    <x v="531"/>
    <x v="8"/>
    <x v="3"/>
    <x v="3"/>
    <x v="25"/>
    <n v="31"/>
    <n v="8100"/>
    <n v="15"/>
    <n v="251100"/>
    <x v="1208"/>
    <x v="1"/>
    <x v="3"/>
    <x v="5"/>
    <x v="0"/>
    <s v="09/2024"/>
    <x v="1"/>
    <s v="Grande"/>
  </r>
  <r>
    <n v="1323"/>
    <x v="622"/>
    <x v="9"/>
    <x v="2"/>
    <x v="4"/>
    <x v="29"/>
    <n v="15"/>
    <n v="17600"/>
    <n v="5"/>
    <n v="264000"/>
    <x v="1209"/>
    <x v="1"/>
    <x v="0"/>
    <x v="9"/>
    <x v="0"/>
    <s v="01/2024"/>
    <x v="2"/>
    <s v="Grande"/>
  </r>
  <r>
    <n v="1324"/>
    <x v="162"/>
    <x v="4"/>
    <x v="3"/>
    <x v="4"/>
    <x v="35"/>
    <n v="11"/>
    <n v="89400"/>
    <n v="10"/>
    <n v="983400"/>
    <x v="1210"/>
    <x v="2"/>
    <x v="1"/>
    <x v="10"/>
    <x v="0"/>
    <s v="12/2024"/>
    <x v="0"/>
    <s v="Grande"/>
  </r>
  <r>
    <n v="1325"/>
    <x v="152"/>
    <x v="6"/>
    <x v="2"/>
    <x v="1"/>
    <x v="14"/>
    <n v="50"/>
    <n v="117300"/>
    <n v="5"/>
    <n v="5865000"/>
    <x v="1211"/>
    <x v="0"/>
    <x v="3"/>
    <x v="11"/>
    <x v="1"/>
    <s v="05/2023"/>
    <x v="3"/>
    <s v="Grande"/>
  </r>
  <r>
    <n v="1326"/>
    <x v="291"/>
    <x v="6"/>
    <x v="1"/>
    <x v="1"/>
    <x v="12"/>
    <n v="12"/>
    <n v="17100"/>
    <n v="0"/>
    <n v="205200"/>
    <x v="511"/>
    <x v="0"/>
    <x v="0"/>
    <x v="0"/>
    <x v="0"/>
    <s v="10/2024"/>
    <x v="0"/>
    <s v="Grande"/>
  </r>
  <r>
    <n v="1327"/>
    <x v="623"/>
    <x v="5"/>
    <x v="1"/>
    <x v="1"/>
    <x v="1"/>
    <n v="36"/>
    <n v="8000"/>
    <n v="0"/>
    <n v="288000"/>
    <x v="95"/>
    <x v="1"/>
    <x v="3"/>
    <x v="1"/>
    <x v="1"/>
    <s v="08/2023"/>
    <x v="1"/>
    <s v="Grande"/>
  </r>
  <r>
    <n v="1328"/>
    <x v="607"/>
    <x v="6"/>
    <x v="2"/>
    <x v="1"/>
    <x v="31"/>
    <n v="26"/>
    <n v="25900"/>
    <n v="15"/>
    <n v="673400"/>
    <x v="1212"/>
    <x v="1"/>
    <x v="2"/>
    <x v="2"/>
    <x v="0"/>
    <s v="03/2024"/>
    <x v="2"/>
    <s v="Grande"/>
  </r>
  <r>
    <n v="1329"/>
    <x v="470"/>
    <x v="8"/>
    <x v="4"/>
    <x v="1"/>
    <x v="9"/>
    <n v="49"/>
    <n v="8400"/>
    <n v="20"/>
    <n v="411600"/>
    <x v="1213"/>
    <x v="3"/>
    <x v="2"/>
    <x v="9"/>
    <x v="0"/>
    <s v="01/2024"/>
    <x v="2"/>
    <s v="Grande"/>
  </r>
  <r>
    <n v="1330"/>
    <x v="271"/>
    <x v="4"/>
    <x v="1"/>
    <x v="3"/>
    <x v="25"/>
    <n v="23"/>
    <n v="7800"/>
    <n v="0"/>
    <n v="179400"/>
    <x v="1214"/>
    <x v="0"/>
    <x v="0"/>
    <x v="9"/>
    <x v="1"/>
    <s v="01/2023"/>
    <x v="2"/>
    <s v="Moyenne"/>
  </r>
  <r>
    <n v="1331"/>
    <x v="153"/>
    <x v="6"/>
    <x v="4"/>
    <x v="0"/>
    <x v="39"/>
    <n v="1"/>
    <n v="7900"/>
    <n v="0"/>
    <n v="7900"/>
    <x v="1215"/>
    <x v="0"/>
    <x v="2"/>
    <x v="5"/>
    <x v="0"/>
    <s v="09/2024"/>
    <x v="1"/>
    <s v="Petite"/>
  </r>
  <r>
    <n v="1332"/>
    <x v="340"/>
    <x v="5"/>
    <x v="4"/>
    <x v="4"/>
    <x v="26"/>
    <n v="20"/>
    <n v="38300"/>
    <n v="5"/>
    <n v="766000"/>
    <x v="1216"/>
    <x v="0"/>
    <x v="3"/>
    <x v="0"/>
    <x v="0"/>
    <s v="10/2024"/>
    <x v="0"/>
    <s v="Grande"/>
  </r>
  <r>
    <n v="1333"/>
    <x v="65"/>
    <x v="6"/>
    <x v="1"/>
    <x v="2"/>
    <x v="16"/>
    <n v="44"/>
    <n v="9400"/>
    <n v="0"/>
    <n v="413600"/>
    <x v="1217"/>
    <x v="1"/>
    <x v="0"/>
    <x v="0"/>
    <x v="0"/>
    <s v="10/2024"/>
    <x v="0"/>
    <s v="Grande"/>
  </r>
  <r>
    <n v="1334"/>
    <x v="433"/>
    <x v="6"/>
    <x v="4"/>
    <x v="4"/>
    <x v="8"/>
    <n v="6"/>
    <n v="66100"/>
    <n v="15"/>
    <n v="396600"/>
    <x v="1218"/>
    <x v="0"/>
    <x v="0"/>
    <x v="2"/>
    <x v="0"/>
    <s v="03/2024"/>
    <x v="2"/>
    <s v="Grande"/>
  </r>
  <r>
    <n v="1335"/>
    <x v="239"/>
    <x v="1"/>
    <x v="4"/>
    <x v="0"/>
    <x v="22"/>
    <n v="25"/>
    <n v="12500"/>
    <n v="5"/>
    <n v="312500"/>
    <x v="1219"/>
    <x v="1"/>
    <x v="0"/>
    <x v="7"/>
    <x v="0"/>
    <s v="02/2024"/>
    <x v="2"/>
    <s v="Grande"/>
  </r>
  <r>
    <n v="1336"/>
    <x v="65"/>
    <x v="7"/>
    <x v="1"/>
    <x v="1"/>
    <x v="32"/>
    <n v="48"/>
    <n v="2500"/>
    <n v="10"/>
    <n v="120000"/>
    <x v="202"/>
    <x v="0"/>
    <x v="2"/>
    <x v="0"/>
    <x v="0"/>
    <s v="10/2024"/>
    <x v="0"/>
    <s v="Moyenne"/>
  </r>
  <r>
    <n v="1337"/>
    <x v="125"/>
    <x v="8"/>
    <x v="2"/>
    <x v="3"/>
    <x v="27"/>
    <n v="12"/>
    <n v="11100"/>
    <n v="20"/>
    <n v="133200"/>
    <x v="1220"/>
    <x v="3"/>
    <x v="2"/>
    <x v="9"/>
    <x v="0"/>
    <s v="01/2024"/>
    <x v="2"/>
    <s v="Moyenne"/>
  </r>
  <r>
    <n v="1338"/>
    <x v="580"/>
    <x v="0"/>
    <x v="4"/>
    <x v="1"/>
    <x v="11"/>
    <n v="46"/>
    <n v="6800"/>
    <n v="10"/>
    <n v="312800"/>
    <x v="1221"/>
    <x v="0"/>
    <x v="1"/>
    <x v="4"/>
    <x v="0"/>
    <s v="11/2024"/>
    <x v="0"/>
    <s v="Grande"/>
  </r>
  <r>
    <n v="1339"/>
    <x v="407"/>
    <x v="8"/>
    <x v="1"/>
    <x v="1"/>
    <x v="31"/>
    <n v="8"/>
    <n v="24300"/>
    <n v="0"/>
    <n v="194400"/>
    <x v="1222"/>
    <x v="2"/>
    <x v="2"/>
    <x v="5"/>
    <x v="0"/>
    <s v="09/2024"/>
    <x v="1"/>
    <s v="Moyenne"/>
  </r>
  <r>
    <n v="1340"/>
    <x v="624"/>
    <x v="9"/>
    <x v="2"/>
    <x v="0"/>
    <x v="21"/>
    <n v="19"/>
    <n v="4400"/>
    <n v="10"/>
    <n v="83600"/>
    <x v="1223"/>
    <x v="1"/>
    <x v="0"/>
    <x v="7"/>
    <x v="1"/>
    <s v="02/2023"/>
    <x v="2"/>
    <s v="Moyenne"/>
  </r>
  <r>
    <n v="1341"/>
    <x v="592"/>
    <x v="6"/>
    <x v="2"/>
    <x v="0"/>
    <x v="21"/>
    <n v="21"/>
    <n v="4100"/>
    <n v="10"/>
    <n v="86100"/>
    <x v="1224"/>
    <x v="0"/>
    <x v="0"/>
    <x v="9"/>
    <x v="1"/>
    <s v="01/2023"/>
    <x v="2"/>
    <s v="Moyenne"/>
  </r>
  <r>
    <n v="1342"/>
    <x v="543"/>
    <x v="3"/>
    <x v="0"/>
    <x v="3"/>
    <x v="25"/>
    <n v="6"/>
    <n v="7200"/>
    <n v="15"/>
    <n v="43200"/>
    <x v="525"/>
    <x v="0"/>
    <x v="1"/>
    <x v="6"/>
    <x v="1"/>
    <s v="04/2023"/>
    <x v="3"/>
    <s v="Petite"/>
  </r>
  <r>
    <n v="1343"/>
    <x v="426"/>
    <x v="8"/>
    <x v="1"/>
    <x v="0"/>
    <x v="39"/>
    <n v="45"/>
    <n v="9100"/>
    <n v="0"/>
    <n v="409500"/>
    <x v="1225"/>
    <x v="0"/>
    <x v="2"/>
    <x v="11"/>
    <x v="1"/>
    <s v="05/2023"/>
    <x v="3"/>
    <s v="Grande"/>
  </r>
  <r>
    <n v="1344"/>
    <x v="469"/>
    <x v="3"/>
    <x v="2"/>
    <x v="1"/>
    <x v="12"/>
    <n v="47"/>
    <n v="18900"/>
    <n v="5"/>
    <n v="888300"/>
    <x v="1226"/>
    <x v="0"/>
    <x v="0"/>
    <x v="2"/>
    <x v="1"/>
    <s v="03/2023"/>
    <x v="2"/>
    <s v="Grande"/>
  </r>
  <r>
    <n v="1345"/>
    <x v="587"/>
    <x v="0"/>
    <x v="2"/>
    <x v="0"/>
    <x v="21"/>
    <n v="12"/>
    <n v="4500"/>
    <n v="15"/>
    <n v="54000"/>
    <x v="1227"/>
    <x v="3"/>
    <x v="3"/>
    <x v="1"/>
    <x v="0"/>
    <s v="08/2024"/>
    <x v="1"/>
    <s v="Petite"/>
  </r>
  <r>
    <n v="1346"/>
    <x v="107"/>
    <x v="0"/>
    <x v="1"/>
    <x v="1"/>
    <x v="1"/>
    <n v="20"/>
    <n v="8900"/>
    <n v="15"/>
    <n v="178000"/>
    <x v="1228"/>
    <x v="0"/>
    <x v="1"/>
    <x v="0"/>
    <x v="0"/>
    <s v="10/2024"/>
    <x v="0"/>
    <s v="Moyenne"/>
  </r>
  <r>
    <n v="1347"/>
    <x v="593"/>
    <x v="3"/>
    <x v="3"/>
    <x v="4"/>
    <x v="26"/>
    <n v="28"/>
    <n v="45800"/>
    <n v="0"/>
    <n v="1282400"/>
    <x v="1229"/>
    <x v="0"/>
    <x v="1"/>
    <x v="7"/>
    <x v="1"/>
    <s v="02/2023"/>
    <x v="2"/>
    <s v="Grande"/>
  </r>
  <r>
    <n v="1348"/>
    <x v="446"/>
    <x v="1"/>
    <x v="3"/>
    <x v="4"/>
    <x v="30"/>
    <n v="18"/>
    <n v="29900"/>
    <n v="0"/>
    <n v="538200"/>
    <x v="77"/>
    <x v="0"/>
    <x v="1"/>
    <x v="11"/>
    <x v="0"/>
    <s v="05/2024"/>
    <x v="3"/>
    <s v="Grande"/>
  </r>
  <r>
    <n v="1349"/>
    <x v="49"/>
    <x v="6"/>
    <x v="2"/>
    <x v="0"/>
    <x v="5"/>
    <n v="41"/>
    <n v="3700"/>
    <n v="0"/>
    <n v="151700"/>
    <x v="942"/>
    <x v="0"/>
    <x v="1"/>
    <x v="7"/>
    <x v="0"/>
    <s v="02/2024"/>
    <x v="2"/>
    <s v="Moyenne"/>
  </r>
  <r>
    <n v="1350"/>
    <x v="552"/>
    <x v="3"/>
    <x v="4"/>
    <x v="1"/>
    <x v="32"/>
    <n v="39"/>
    <n v="2700"/>
    <n v="15"/>
    <n v="105300"/>
    <x v="1230"/>
    <x v="1"/>
    <x v="2"/>
    <x v="9"/>
    <x v="1"/>
    <s v="01/2023"/>
    <x v="2"/>
    <s v="Moyenne"/>
  </r>
  <r>
    <n v="1351"/>
    <x v="289"/>
    <x v="3"/>
    <x v="3"/>
    <x v="4"/>
    <x v="28"/>
    <n v="1"/>
    <n v="13600"/>
    <n v="0"/>
    <n v="13600"/>
    <x v="1231"/>
    <x v="0"/>
    <x v="3"/>
    <x v="9"/>
    <x v="0"/>
    <s v="01/2024"/>
    <x v="2"/>
    <s v="Petite"/>
  </r>
  <r>
    <n v="1352"/>
    <x v="625"/>
    <x v="6"/>
    <x v="1"/>
    <x v="4"/>
    <x v="26"/>
    <n v="11"/>
    <n v="43400"/>
    <n v="5"/>
    <n v="477400"/>
    <x v="1232"/>
    <x v="1"/>
    <x v="3"/>
    <x v="2"/>
    <x v="0"/>
    <s v="03/2024"/>
    <x v="2"/>
    <s v="Grande"/>
  </r>
  <r>
    <n v="1353"/>
    <x v="164"/>
    <x v="9"/>
    <x v="0"/>
    <x v="4"/>
    <x v="15"/>
    <n v="48"/>
    <n v="6900"/>
    <n v="0"/>
    <n v="331200"/>
    <x v="1233"/>
    <x v="3"/>
    <x v="3"/>
    <x v="2"/>
    <x v="1"/>
    <s v="03/2023"/>
    <x v="2"/>
    <s v="Grande"/>
  </r>
  <r>
    <n v="1354"/>
    <x v="369"/>
    <x v="3"/>
    <x v="1"/>
    <x v="4"/>
    <x v="35"/>
    <n v="38"/>
    <n v="89200"/>
    <n v="10"/>
    <n v="3389600"/>
    <x v="1234"/>
    <x v="0"/>
    <x v="4"/>
    <x v="0"/>
    <x v="1"/>
    <s v="10/2023"/>
    <x v="0"/>
    <s v="Grande"/>
  </r>
  <r>
    <n v="1355"/>
    <x v="43"/>
    <x v="7"/>
    <x v="0"/>
    <x v="0"/>
    <x v="5"/>
    <n v="25"/>
    <n v="4000"/>
    <n v="5"/>
    <n v="100000"/>
    <x v="1235"/>
    <x v="2"/>
    <x v="1"/>
    <x v="2"/>
    <x v="0"/>
    <s v="03/2024"/>
    <x v="2"/>
    <s v="Moyenne"/>
  </r>
  <r>
    <n v="1356"/>
    <x v="556"/>
    <x v="0"/>
    <x v="0"/>
    <x v="4"/>
    <x v="26"/>
    <n v="8"/>
    <n v="40000"/>
    <n v="20"/>
    <n v="320000"/>
    <x v="24"/>
    <x v="0"/>
    <x v="1"/>
    <x v="5"/>
    <x v="0"/>
    <s v="09/2024"/>
    <x v="1"/>
    <s v="Grande"/>
  </r>
  <r>
    <n v="1357"/>
    <x v="302"/>
    <x v="7"/>
    <x v="3"/>
    <x v="4"/>
    <x v="15"/>
    <n v="27"/>
    <n v="8200"/>
    <n v="0"/>
    <n v="221400"/>
    <x v="1236"/>
    <x v="2"/>
    <x v="3"/>
    <x v="10"/>
    <x v="1"/>
    <s v="12/2023"/>
    <x v="0"/>
    <s v="Grande"/>
  </r>
  <r>
    <n v="1358"/>
    <x v="626"/>
    <x v="0"/>
    <x v="2"/>
    <x v="3"/>
    <x v="25"/>
    <n v="26"/>
    <n v="7200"/>
    <n v="0"/>
    <n v="187200"/>
    <x v="1237"/>
    <x v="0"/>
    <x v="2"/>
    <x v="3"/>
    <x v="0"/>
    <s v="07/2024"/>
    <x v="1"/>
    <s v="Moyenne"/>
  </r>
  <r>
    <n v="1359"/>
    <x v="627"/>
    <x v="6"/>
    <x v="4"/>
    <x v="4"/>
    <x v="17"/>
    <n v="22"/>
    <n v="103600"/>
    <n v="15"/>
    <n v="2279200"/>
    <x v="1238"/>
    <x v="1"/>
    <x v="1"/>
    <x v="11"/>
    <x v="0"/>
    <s v="05/2024"/>
    <x v="3"/>
    <s v="Grande"/>
  </r>
  <r>
    <n v="1360"/>
    <x v="336"/>
    <x v="7"/>
    <x v="3"/>
    <x v="4"/>
    <x v="29"/>
    <n v="41"/>
    <n v="18000"/>
    <n v="0"/>
    <n v="738000"/>
    <x v="1239"/>
    <x v="0"/>
    <x v="1"/>
    <x v="4"/>
    <x v="1"/>
    <s v="11/2023"/>
    <x v="0"/>
    <s v="Grande"/>
  </r>
  <r>
    <n v="1361"/>
    <x v="70"/>
    <x v="9"/>
    <x v="3"/>
    <x v="1"/>
    <x v="9"/>
    <n v="21"/>
    <n v="10200"/>
    <n v="10"/>
    <n v="214200"/>
    <x v="1240"/>
    <x v="0"/>
    <x v="1"/>
    <x v="5"/>
    <x v="0"/>
    <s v="09/2024"/>
    <x v="1"/>
    <s v="Moyenne"/>
  </r>
  <r>
    <n v="1362"/>
    <x v="226"/>
    <x v="8"/>
    <x v="0"/>
    <x v="0"/>
    <x v="4"/>
    <n v="42"/>
    <n v="38000"/>
    <n v="20"/>
    <n v="1596000"/>
    <x v="1241"/>
    <x v="0"/>
    <x v="1"/>
    <x v="7"/>
    <x v="0"/>
    <s v="02/2024"/>
    <x v="2"/>
    <s v="Grande"/>
  </r>
  <r>
    <n v="1363"/>
    <x v="628"/>
    <x v="8"/>
    <x v="2"/>
    <x v="2"/>
    <x v="13"/>
    <n v="46"/>
    <n v="4300"/>
    <n v="0"/>
    <n v="197800"/>
    <x v="1242"/>
    <x v="2"/>
    <x v="3"/>
    <x v="8"/>
    <x v="1"/>
    <s v="06/2023"/>
    <x v="3"/>
    <s v="Moyenne"/>
  </r>
  <r>
    <n v="1364"/>
    <x v="328"/>
    <x v="0"/>
    <x v="0"/>
    <x v="2"/>
    <x v="2"/>
    <n v="44"/>
    <n v="5500"/>
    <n v="20"/>
    <n v="242000"/>
    <x v="1243"/>
    <x v="0"/>
    <x v="1"/>
    <x v="0"/>
    <x v="1"/>
    <s v="10/2023"/>
    <x v="0"/>
    <s v="Moyenne"/>
  </r>
  <r>
    <n v="1365"/>
    <x v="629"/>
    <x v="8"/>
    <x v="3"/>
    <x v="1"/>
    <x v="11"/>
    <n v="11"/>
    <n v="6700"/>
    <n v="0"/>
    <n v="73700"/>
    <x v="793"/>
    <x v="0"/>
    <x v="0"/>
    <x v="9"/>
    <x v="1"/>
    <s v="01/2023"/>
    <x v="2"/>
    <s v="Moyenne"/>
  </r>
  <r>
    <n v="1366"/>
    <x v="164"/>
    <x v="7"/>
    <x v="3"/>
    <x v="4"/>
    <x v="29"/>
    <n v="27"/>
    <n v="16500"/>
    <n v="15"/>
    <n v="445500"/>
    <x v="1244"/>
    <x v="3"/>
    <x v="4"/>
    <x v="2"/>
    <x v="1"/>
    <s v="03/2023"/>
    <x v="2"/>
    <s v="Grande"/>
  </r>
  <r>
    <n v="1367"/>
    <x v="556"/>
    <x v="2"/>
    <x v="0"/>
    <x v="4"/>
    <x v="28"/>
    <n v="4"/>
    <n v="13300"/>
    <n v="20"/>
    <n v="53200"/>
    <x v="1245"/>
    <x v="0"/>
    <x v="2"/>
    <x v="5"/>
    <x v="0"/>
    <s v="09/2024"/>
    <x v="1"/>
    <s v="Petite"/>
  </r>
  <r>
    <n v="1368"/>
    <x v="310"/>
    <x v="3"/>
    <x v="1"/>
    <x v="3"/>
    <x v="36"/>
    <n v="8"/>
    <n v="3800"/>
    <n v="20"/>
    <n v="30400"/>
    <x v="1246"/>
    <x v="0"/>
    <x v="3"/>
    <x v="0"/>
    <x v="1"/>
    <s v="10/2023"/>
    <x v="0"/>
    <s v="Petite"/>
  </r>
  <r>
    <n v="1369"/>
    <x v="46"/>
    <x v="0"/>
    <x v="4"/>
    <x v="0"/>
    <x v="21"/>
    <n v="10"/>
    <n v="4800"/>
    <n v="0"/>
    <n v="48000"/>
    <x v="1011"/>
    <x v="2"/>
    <x v="2"/>
    <x v="1"/>
    <x v="0"/>
    <s v="08/2024"/>
    <x v="1"/>
    <s v="Petite"/>
  </r>
  <r>
    <n v="1370"/>
    <x v="502"/>
    <x v="0"/>
    <x v="2"/>
    <x v="1"/>
    <x v="31"/>
    <n v="32"/>
    <n v="28100"/>
    <n v="0"/>
    <n v="899200"/>
    <x v="1247"/>
    <x v="1"/>
    <x v="3"/>
    <x v="5"/>
    <x v="1"/>
    <s v="09/2023"/>
    <x v="1"/>
    <s v="Grande"/>
  </r>
  <r>
    <n v="1371"/>
    <x v="630"/>
    <x v="8"/>
    <x v="2"/>
    <x v="4"/>
    <x v="17"/>
    <n v="39"/>
    <n v="119800"/>
    <n v="0"/>
    <n v="4672200"/>
    <x v="1248"/>
    <x v="0"/>
    <x v="1"/>
    <x v="0"/>
    <x v="1"/>
    <s v="10/2023"/>
    <x v="0"/>
    <s v="Grande"/>
  </r>
  <r>
    <n v="1372"/>
    <x v="505"/>
    <x v="4"/>
    <x v="0"/>
    <x v="2"/>
    <x v="37"/>
    <n v="46"/>
    <n v="3300"/>
    <n v="10"/>
    <n v="151800"/>
    <x v="1249"/>
    <x v="0"/>
    <x v="1"/>
    <x v="8"/>
    <x v="0"/>
    <s v="06/2024"/>
    <x v="3"/>
    <s v="Moyenne"/>
  </r>
  <r>
    <n v="1373"/>
    <x v="584"/>
    <x v="4"/>
    <x v="5"/>
    <x v="4"/>
    <x v="17"/>
    <n v="45"/>
    <n v="107900"/>
    <n v="20"/>
    <n v="4855500"/>
    <x v="1250"/>
    <x v="0"/>
    <x v="3"/>
    <x v="4"/>
    <x v="0"/>
    <s v="11/2024"/>
    <x v="0"/>
    <s v="Grande"/>
  </r>
  <r>
    <n v="1374"/>
    <x v="631"/>
    <x v="4"/>
    <x v="4"/>
    <x v="1"/>
    <x v="1"/>
    <n v="10"/>
    <n v="8900"/>
    <n v="0"/>
    <n v="89000"/>
    <x v="1251"/>
    <x v="0"/>
    <x v="3"/>
    <x v="9"/>
    <x v="0"/>
    <s v="01/2024"/>
    <x v="2"/>
    <s v="Moyenne"/>
  </r>
  <r>
    <n v="1375"/>
    <x v="330"/>
    <x v="2"/>
    <x v="1"/>
    <x v="4"/>
    <x v="30"/>
    <n v="42"/>
    <n v="32000"/>
    <n v="10"/>
    <n v="1344000"/>
    <x v="1252"/>
    <x v="0"/>
    <x v="3"/>
    <x v="6"/>
    <x v="0"/>
    <s v="04/2024"/>
    <x v="3"/>
    <s v="Grande"/>
  </r>
  <r>
    <n v="1376"/>
    <x v="517"/>
    <x v="7"/>
    <x v="1"/>
    <x v="2"/>
    <x v="2"/>
    <n v="25"/>
    <n v="5100"/>
    <n v="0"/>
    <n v="127500"/>
    <x v="379"/>
    <x v="0"/>
    <x v="0"/>
    <x v="9"/>
    <x v="0"/>
    <s v="01/2024"/>
    <x v="2"/>
    <s v="Moyenne"/>
  </r>
  <r>
    <n v="1377"/>
    <x v="445"/>
    <x v="4"/>
    <x v="4"/>
    <x v="2"/>
    <x v="13"/>
    <n v="50"/>
    <n v="4100"/>
    <n v="15"/>
    <n v="205000"/>
    <x v="1253"/>
    <x v="1"/>
    <x v="0"/>
    <x v="1"/>
    <x v="1"/>
    <s v="08/2023"/>
    <x v="1"/>
    <s v="Moyenne"/>
  </r>
  <r>
    <n v="1378"/>
    <x v="632"/>
    <x v="3"/>
    <x v="1"/>
    <x v="4"/>
    <x v="35"/>
    <n v="34"/>
    <n v="105400"/>
    <n v="0"/>
    <n v="3583600"/>
    <x v="1254"/>
    <x v="2"/>
    <x v="1"/>
    <x v="3"/>
    <x v="1"/>
    <s v="07/2023"/>
    <x v="1"/>
    <s v="Grande"/>
  </r>
  <r>
    <n v="1379"/>
    <x v="323"/>
    <x v="1"/>
    <x v="1"/>
    <x v="1"/>
    <x v="11"/>
    <n v="18"/>
    <n v="6200"/>
    <n v="20"/>
    <n v="111600"/>
    <x v="1255"/>
    <x v="0"/>
    <x v="0"/>
    <x v="4"/>
    <x v="0"/>
    <s v="11/2024"/>
    <x v="0"/>
    <s v="Moyenne"/>
  </r>
  <r>
    <n v="1380"/>
    <x v="100"/>
    <x v="8"/>
    <x v="3"/>
    <x v="3"/>
    <x v="33"/>
    <n v="48"/>
    <n v="4300"/>
    <n v="0"/>
    <n v="206400"/>
    <x v="775"/>
    <x v="0"/>
    <x v="1"/>
    <x v="7"/>
    <x v="1"/>
    <s v="02/2023"/>
    <x v="2"/>
    <s v="Grande"/>
  </r>
  <r>
    <n v="1381"/>
    <x v="135"/>
    <x v="8"/>
    <x v="4"/>
    <x v="1"/>
    <x v="32"/>
    <n v="6"/>
    <n v="2600"/>
    <n v="0"/>
    <n v="15600"/>
    <x v="1256"/>
    <x v="1"/>
    <x v="0"/>
    <x v="3"/>
    <x v="0"/>
    <s v="07/2024"/>
    <x v="1"/>
    <s v="Petite"/>
  </r>
  <r>
    <n v="1382"/>
    <x v="633"/>
    <x v="4"/>
    <x v="0"/>
    <x v="2"/>
    <x v="3"/>
    <n v="49"/>
    <n v="1700"/>
    <n v="0"/>
    <n v="83300"/>
    <x v="1257"/>
    <x v="0"/>
    <x v="2"/>
    <x v="8"/>
    <x v="0"/>
    <s v="06/2024"/>
    <x v="3"/>
    <s v="Moyenne"/>
  </r>
  <r>
    <n v="1383"/>
    <x v="433"/>
    <x v="1"/>
    <x v="2"/>
    <x v="1"/>
    <x v="1"/>
    <n v="29"/>
    <n v="8700"/>
    <n v="0"/>
    <n v="252300"/>
    <x v="1258"/>
    <x v="0"/>
    <x v="1"/>
    <x v="2"/>
    <x v="0"/>
    <s v="03/2024"/>
    <x v="2"/>
    <s v="Grande"/>
  </r>
  <r>
    <n v="1384"/>
    <x v="89"/>
    <x v="9"/>
    <x v="4"/>
    <x v="3"/>
    <x v="36"/>
    <n v="1"/>
    <n v="3700"/>
    <n v="15"/>
    <n v="3700"/>
    <x v="1259"/>
    <x v="0"/>
    <x v="0"/>
    <x v="5"/>
    <x v="0"/>
    <s v="09/2024"/>
    <x v="1"/>
    <s v="Petite"/>
  </r>
  <r>
    <n v="1385"/>
    <x v="130"/>
    <x v="5"/>
    <x v="3"/>
    <x v="3"/>
    <x v="36"/>
    <n v="17"/>
    <n v="4400"/>
    <n v="5"/>
    <n v="74800"/>
    <x v="1260"/>
    <x v="1"/>
    <x v="3"/>
    <x v="2"/>
    <x v="0"/>
    <s v="03/2024"/>
    <x v="2"/>
    <s v="Moyenne"/>
  </r>
  <r>
    <n v="1386"/>
    <x v="301"/>
    <x v="6"/>
    <x v="2"/>
    <x v="3"/>
    <x v="36"/>
    <n v="42"/>
    <n v="3900"/>
    <n v="0"/>
    <n v="163800"/>
    <x v="1261"/>
    <x v="0"/>
    <x v="1"/>
    <x v="1"/>
    <x v="0"/>
    <s v="08/2024"/>
    <x v="1"/>
    <s v="Moyenne"/>
  </r>
  <r>
    <n v="1387"/>
    <x v="363"/>
    <x v="2"/>
    <x v="3"/>
    <x v="0"/>
    <x v="5"/>
    <n v="49"/>
    <n v="3200"/>
    <n v="0"/>
    <n v="156800"/>
    <x v="1262"/>
    <x v="3"/>
    <x v="2"/>
    <x v="5"/>
    <x v="1"/>
    <s v="09/2023"/>
    <x v="1"/>
    <s v="Moyenne"/>
  </r>
  <r>
    <n v="1388"/>
    <x v="634"/>
    <x v="2"/>
    <x v="1"/>
    <x v="4"/>
    <x v="30"/>
    <n v="49"/>
    <n v="26500"/>
    <n v="0"/>
    <n v="1298500"/>
    <x v="1263"/>
    <x v="0"/>
    <x v="3"/>
    <x v="4"/>
    <x v="1"/>
    <s v="11/2023"/>
    <x v="0"/>
    <s v="Grande"/>
  </r>
  <r>
    <n v="1389"/>
    <x v="130"/>
    <x v="3"/>
    <x v="3"/>
    <x v="2"/>
    <x v="3"/>
    <n v="49"/>
    <n v="2000"/>
    <n v="10"/>
    <n v="98000"/>
    <x v="1264"/>
    <x v="0"/>
    <x v="3"/>
    <x v="2"/>
    <x v="0"/>
    <s v="03/2024"/>
    <x v="2"/>
    <s v="Moyenne"/>
  </r>
  <r>
    <n v="1390"/>
    <x v="483"/>
    <x v="3"/>
    <x v="3"/>
    <x v="4"/>
    <x v="8"/>
    <n v="40"/>
    <n v="69600"/>
    <n v="0"/>
    <n v="2784000"/>
    <x v="1265"/>
    <x v="0"/>
    <x v="1"/>
    <x v="5"/>
    <x v="1"/>
    <s v="09/2023"/>
    <x v="1"/>
    <s v="Grande"/>
  </r>
  <r>
    <n v="1391"/>
    <x v="395"/>
    <x v="5"/>
    <x v="1"/>
    <x v="2"/>
    <x v="13"/>
    <n v="11"/>
    <n v="4400"/>
    <n v="15"/>
    <n v="48400"/>
    <x v="1266"/>
    <x v="0"/>
    <x v="2"/>
    <x v="0"/>
    <x v="1"/>
    <s v="10/2023"/>
    <x v="0"/>
    <s v="Petite"/>
  </r>
  <r>
    <n v="1392"/>
    <x v="289"/>
    <x v="7"/>
    <x v="2"/>
    <x v="2"/>
    <x v="16"/>
    <n v="20"/>
    <n v="9800"/>
    <n v="0"/>
    <n v="196000"/>
    <x v="1267"/>
    <x v="0"/>
    <x v="3"/>
    <x v="9"/>
    <x v="0"/>
    <s v="01/2024"/>
    <x v="2"/>
    <s v="Moyenne"/>
  </r>
  <r>
    <n v="1393"/>
    <x v="409"/>
    <x v="3"/>
    <x v="1"/>
    <x v="0"/>
    <x v="21"/>
    <n v="49"/>
    <n v="4700"/>
    <n v="0"/>
    <n v="230300"/>
    <x v="1268"/>
    <x v="0"/>
    <x v="2"/>
    <x v="10"/>
    <x v="1"/>
    <s v="12/2023"/>
    <x v="0"/>
    <s v="Grande"/>
  </r>
  <r>
    <n v="1394"/>
    <x v="481"/>
    <x v="3"/>
    <x v="4"/>
    <x v="4"/>
    <x v="17"/>
    <n v="46"/>
    <n v="104100"/>
    <n v="0"/>
    <n v="4788600"/>
    <x v="1269"/>
    <x v="0"/>
    <x v="3"/>
    <x v="7"/>
    <x v="0"/>
    <s v="02/2024"/>
    <x v="2"/>
    <s v="Grande"/>
  </r>
  <r>
    <n v="1395"/>
    <x v="622"/>
    <x v="1"/>
    <x v="2"/>
    <x v="4"/>
    <x v="29"/>
    <n v="36"/>
    <n v="17700"/>
    <n v="10"/>
    <n v="637200"/>
    <x v="1270"/>
    <x v="1"/>
    <x v="1"/>
    <x v="9"/>
    <x v="0"/>
    <s v="01/2024"/>
    <x v="2"/>
    <s v="Grande"/>
  </r>
  <r>
    <n v="1396"/>
    <x v="635"/>
    <x v="8"/>
    <x v="2"/>
    <x v="1"/>
    <x v="14"/>
    <n v="21"/>
    <n v="115300"/>
    <n v="0"/>
    <n v="2421300"/>
    <x v="1271"/>
    <x v="1"/>
    <x v="2"/>
    <x v="11"/>
    <x v="0"/>
    <s v="05/2024"/>
    <x v="3"/>
    <s v="Grande"/>
  </r>
  <r>
    <n v="1397"/>
    <x v="347"/>
    <x v="7"/>
    <x v="1"/>
    <x v="2"/>
    <x v="16"/>
    <n v="38"/>
    <n v="11000"/>
    <n v="0"/>
    <n v="418000"/>
    <x v="1272"/>
    <x v="0"/>
    <x v="0"/>
    <x v="8"/>
    <x v="0"/>
    <s v="06/2024"/>
    <x v="3"/>
    <s v="Grande"/>
  </r>
  <r>
    <n v="1398"/>
    <x v="0"/>
    <x v="3"/>
    <x v="2"/>
    <x v="3"/>
    <x v="27"/>
    <n v="19"/>
    <n v="12100"/>
    <n v="15"/>
    <n v="229900"/>
    <x v="620"/>
    <x v="0"/>
    <x v="1"/>
    <x v="0"/>
    <x v="0"/>
    <s v="10/2024"/>
    <x v="0"/>
    <s v="Moyenne"/>
  </r>
  <r>
    <n v="1399"/>
    <x v="223"/>
    <x v="3"/>
    <x v="1"/>
    <x v="2"/>
    <x v="13"/>
    <n v="37"/>
    <n v="4400"/>
    <n v="5"/>
    <n v="162800"/>
    <x v="919"/>
    <x v="0"/>
    <x v="0"/>
    <x v="2"/>
    <x v="1"/>
    <s v="03/2023"/>
    <x v="2"/>
    <s v="Moyenne"/>
  </r>
  <r>
    <n v="1400"/>
    <x v="589"/>
    <x v="3"/>
    <x v="3"/>
    <x v="3"/>
    <x v="7"/>
    <n v="19"/>
    <n v="22900"/>
    <n v="20"/>
    <n v="435100"/>
    <x v="1273"/>
    <x v="1"/>
    <x v="1"/>
    <x v="5"/>
    <x v="1"/>
    <s v="09/2023"/>
    <x v="1"/>
    <s v="Grande"/>
  </r>
  <r>
    <n v="1401"/>
    <x v="397"/>
    <x v="3"/>
    <x v="2"/>
    <x v="4"/>
    <x v="26"/>
    <n v="30"/>
    <n v="39700"/>
    <n v="0"/>
    <n v="1191000"/>
    <x v="1274"/>
    <x v="0"/>
    <x v="3"/>
    <x v="4"/>
    <x v="1"/>
    <s v="11/2023"/>
    <x v="0"/>
    <s v="Grande"/>
  </r>
  <r>
    <n v="1402"/>
    <x v="48"/>
    <x v="4"/>
    <x v="2"/>
    <x v="3"/>
    <x v="20"/>
    <n v="42"/>
    <n v="6100"/>
    <n v="20"/>
    <n v="256200"/>
    <x v="690"/>
    <x v="0"/>
    <x v="2"/>
    <x v="3"/>
    <x v="1"/>
    <s v="07/2023"/>
    <x v="1"/>
    <s v="Grande"/>
  </r>
  <r>
    <n v="1403"/>
    <x v="244"/>
    <x v="1"/>
    <x v="3"/>
    <x v="1"/>
    <x v="11"/>
    <n v="28"/>
    <n v="5400"/>
    <n v="20"/>
    <n v="151200"/>
    <x v="1275"/>
    <x v="3"/>
    <x v="3"/>
    <x v="11"/>
    <x v="0"/>
    <s v="05/2024"/>
    <x v="3"/>
    <s v="Moyenne"/>
  </r>
  <r>
    <n v="1404"/>
    <x v="545"/>
    <x v="8"/>
    <x v="2"/>
    <x v="3"/>
    <x v="27"/>
    <n v="48"/>
    <n v="12700"/>
    <n v="10"/>
    <n v="609600"/>
    <x v="1276"/>
    <x v="0"/>
    <x v="0"/>
    <x v="11"/>
    <x v="0"/>
    <s v="05/2024"/>
    <x v="3"/>
    <s v="Grande"/>
  </r>
  <r>
    <n v="1405"/>
    <x v="636"/>
    <x v="2"/>
    <x v="4"/>
    <x v="3"/>
    <x v="19"/>
    <n v="30"/>
    <n v="2300"/>
    <n v="20"/>
    <n v="69000"/>
    <x v="1277"/>
    <x v="0"/>
    <x v="1"/>
    <x v="6"/>
    <x v="1"/>
    <s v="04/2023"/>
    <x v="3"/>
    <s v="Moyenne"/>
  </r>
  <r>
    <n v="1406"/>
    <x v="29"/>
    <x v="7"/>
    <x v="2"/>
    <x v="4"/>
    <x v="28"/>
    <n v="48"/>
    <n v="13500"/>
    <n v="0"/>
    <n v="648000"/>
    <x v="1278"/>
    <x v="0"/>
    <x v="3"/>
    <x v="2"/>
    <x v="1"/>
    <s v="03/2023"/>
    <x v="2"/>
    <s v="Grande"/>
  </r>
  <r>
    <n v="1407"/>
    <x v="159"/>
    <x v="9"/>
    <x v="2"/>
    <x v="4"/>
    <x v="29"/>
    <n v="26"/>
    <n v="20200"/>
    <n v="10"/>
    <n v="525200"/>
    <x v="1279"/>
    <x v="0"/>
    <x v="0"/>
    <x v="8"/>
    <x v="1"/>
    <s v="06/2023"/>
    <x v="3"/>
    <s v="Grande"/>
  </r>
  <r>
    <n v="1408"/>
    <x v="591"/>
    <x v="1"/>
    <x v="0"/>
    <x v="2"/>
    <x v="37"/>
    <n v="17"/>
    <n v="3200"/>
    <n v="10"/>
    <n v="54400"/>
    <x v="1280"/>
    <x v="2"/>
    <x v="3"/>
    <x v="6"/>
    <x v="0"/>
    <s v="04/2024"/>
    <x v="3"/>
    <s v="Petite"/>
  </r>
  <r>
    <n v="1409"/>
    <x v="447"/>
    <x v="5"/>
    <x v="3"/>
    <x v="0"/>
    <x v="22"/>
    <n v="10"/>
    <n v="11400"/>
    <n v="0"/>
    <n v="114000"/>
    <x v="1281"/>
    <x v="0"/>
    <x v="1"/>
    <x v="6"/>
    <x v="0"/>
    <s v="04/2024"/>
    <x v="3"/>
    <s v="Moyenne"/>
  </r>
  <r>
    <n v="1410"/>
    <x v="64"/>
    <x v="2"/>
    <x v="3"/>
    <x v="1"/>
    <x v="12"/>
    <n v="5"/>
    <n v="18600"/>
    <n v="0"/>
    <n v="93000"/>
    <x v="1282"/>
    <x v="0"/>
    <x v="3"/>
    <x v="9"/>
    <x v="1"/>
    <s v="01/2023"/>
    <x v="2"/>
    <s v="Moyenne"/>
  </r>
  <r>
    <n v="1411"/>
    <x v="421"/>
    <x v="5"/>
    <x v="4"/>
    <x v="0"/>
    <x v="22"/>
    <n v="18"/>
    <n v="12100"/>
    <n v="20"/>
    <n v="217800"/>
    <x v="1283"/>
    <x v="0"/>
    <x v="1"/>
    <x v="6"/>
    <x v="0"/>
    <s v="04/2024"/>
    <x v="3"/>
    <s v="Moyenne"/>
  </r>
  <r>
    <n v="1412"/>
    <x v="422"/>
    <x v="1"/>
    <x v="4"/>
    <x v="4"/>
    <x v="8"/>
    <n v="25"/>
    <n v="72100"/>
    <n v="5"/>
    <n v="1802500"/>
    <x v="1284"/>
    <x v="0"/>
    <x v="1"/>
    <x v="10"/>
    <x v="1"/>
    <s v="12/2023"/>
    <x v="0"/>
    <s v="Grande"/>
  </r>
  <r>
    <n v="1413"/>
    <x v="593"/>
    <x v="8"/>
    <x v="1"/>
    <x v="4"/>
    <x v="26"/>
    <n v="25"/>
    <n v="40000"/>
    <n v="0"/>
    <n v="1000000"/>
    <x v="1285"/>
    <x v="0"/>
    <x v="0"/>
    <x v="7"/>
    <x v="1"/>
    <s v="02/2023"/>
    <x v="2"/>
    <s v="Grande"/>
  </r>
  <r>
    <n v="1414"/>
    <x v="101"/>
    <x v="2"/>
    <x v="3"/>
    <x v="3"/>
    <x v="19"/>
    <n v="14"/>
    <n v="2100"/>
    <n v="15"/>
    <n v="29400"/>
    <x v="1286"/>
    <x v="0"/>
    <x v="2"/>
    <x v="8"/>
    <x v="1"/>
    <s v="06/2023"/>
    <x v="3"/>
    <s v="Petite"/>
  </r>
  <r>
    <n v="1415"/>
    <x v="538"/>
    <x v="3"/>
    <x v="2"/>
    <x v="4"/>
    <x v="26"/>
    <n v="6"/>
    <n v="40000"/>
    <n v="5"/>
    <n v="240000"/>
    <x v="117"/>
    <x v="1"/>
    <x v="3"/>
    <x v="4"/>
    <x v="0"/>
    <s v="11/2024"/>
    <x v="0"/>
    <s v="Grande"/>
  </r>
  <r>
    <n v="1416"/>
    <x v="208"/>
    <x v="2"/>
    <x v="0"/>
    <x v="4"/>
    <x v="35"/>
    <n v="27"/>
    <n v="85700"/>
    <n v="0"/>
    <n v="2313900"/>
    <x v="1287"/>
    <x v="0"/>
    <x v="0"/>
    <x v="5"/>
    <x v="1"/>
    <s v="09/2023"/>
    <x v="1"/>
    <s v="Grande"/>
  </r>
  <r>
    <n v="1417"/>
    <x v="156"/>
    <x v="4"/>
    <x v="0"/>
    <x v="4"/>
    <x v="17"/>
    <n v="45"/>
    <n v="110100"/>
    <n v="5"/>
    <n v="4954500"/>
    <x v="1288"/>
    <x v="0"/>
    <x v="2"/>
    <x v="11"/>
    <x v="0"/>
    <s v="05/2024"/>
    <x v="3"/>
    <s v="Grande"/>
  </r>
  <r>
    <n v="1418"/>
    <x v="604"/>
    <x v="4"/>
    <x v="2"/>
    <x v="1"/>
    <x v="12"/>
    <n v="12"/>
    <n v="20000"/>
    <n v="10"/>
    <n v="240000"/>
    <x v="35"/>
    <x v="0"/>
    <x v="1"/>
    <x v="9"/>
    <x v="1"/>
    <s v="01/2023"/>
    <x v="2"/>
    <s v="Grande"/>
  </r>
  <r>
    <n v="1419"/>
    <x v="260"/>
    <x v="6"/>
    <x v="1"/>
    <x v="1"/>
    <x v="18"/>
    <n v="14"/>
    <n v="89200"/>
    <n v="0"/>
    <n v="1248800"/>
    <x v="1117"/>
    <x v="2"/>
    <x v="3"/>
    <x v="5"/>
    <x v="1"/>
    <s v="09/2023"/>
    <x v="1"/>
    <s v="Grande"/>
  </r>
  <r>
    <n v="1420"/>
    <x v="602"/>
    <x v="7"/>
    <x v="4"/>
    <x v="4"/>
    <x v="30"/>
    <n v="34"/>
    <n v="26400"/>
    <n v="0"/>
    <n v="897600"/>
    <x v="312"/>
    <x v="3"/>
    <x v="1"/>
    <x v="5"/>
    <x v="0"/>
    <s v="09/2024"/>
    <x v="1"/>
    <s v="Grande"/>
  </r>
  <r>
    <n v="1421"/>
    <x v="440"/>
    <x v="6"/>
    <x v="0"/>
    <x v="4"/>
    <x v="26"/>
    <n v="41"/>
    <n v="41000"/>
    <n v="10"/>
    <n v="1681000"/>
    <x v="1289"/>
    <x v="0"/>
    <x v="3"/>
    <x v="6"/>
    <x v="1"/>
    <s v="04/2023"/>
    <x v="3"/>
    <s v="Grande"/>
  </r>
  <r>
    <n v="1422"/>
    <x v="228"/>
    <x v="1"/>
    <x v="0"/>
    <x v="0"/>
    <x v="4"/>
    <n v="3"/>
    <n v="39300"/>
    <n v="5"/>
    <n v="117900"/>
    <x v="1290"/>
    <x v="1"/>
    <x v="1"/>
    <x v="4"/>
    <x v="1"/>
    <s v="11/2023"/>
    <x v="0"/>
    <s v="Moyenne"/>
  </r>
  <r>
    <n v="1423"/>
    <x v="265"/>
    <x v="2"/>
    <x v="1"/>
    <x v="3"/>
    <x v="6"/>
    <n v="1"/>
    <n v="9200"/>
    <n v="0"/>
    <n v="9200"/>
    <x v="1291"/>
    <x v="0"/>
    <x v="1"/>
    <x v="7"/>
    <x v="1"/>
    <s v="02/2023"/>
    <x v="2"/>
    <s v="Petite"/>
  </r>
  <r>
    <n v="1424"/>
    <x v="577"/>
    <x v="0"/>
    <x v="0"/>
    <x v="4"/>
    <x v="28"/>
    <n v="35"/>
    <n v="13800"/>
    <n v="0"/>
    <n v="483000"/>
    <x v="1062"/>
    <x v="0"/>
    <x v="0"/>
    <x v="11"/>
    <x v="0"/>
    <s v="05/2024"/>
    <x v="3"/>
    <s v="Grande"/>
  </r>
  <r>
    <n v="1425"/>
    <x v="464"/>
    <x v="8"/>
    <x v="2"/>
    <x v="2"/>
    <x v="37"/>
    <n v="24"/>
    <n v="3400"/>
    <n v="5"/>
    <n v="81600"/>
    <x v="271"/>
    <x v="3"/>
    <x v="4"/>
    <x v="7"/>
    <x v="0"/>
    <s v="02/2024"/>
    <x v="2"/>
    <s v="Moyenne"/>
  </r>
  <r>
    <n v="1426"/>
    <x v="637"/>
    <x v="9"/>
    <x v="4"/>
    <x v="2"/>
    <x v="3"/>
    <n v="10"/>
    <n v="1900"/>
    <n v="15"/>
    <n v="19000"/>
    <x v="1292"/>
    <x v="0"/>
    <x v="0"/>
    <x v="11"/>
    <x v="0"/>
    <s v="05/2024"/>
    <x v="3"/>
    <s v="Petite"/>
  </r>
  <r>
    <n v="1427"/>
    <x v="254"/>
    <x v="7"/>
    <x v="2"/>
    <x v="3"/>
    <x v="19"/>
    <n v="17"/>
    <n v="2100"/>
    <n v="0"/>
    <n v="35700"/>
    <x v="1293"/>
    <x v="0"/>
    <x v="3"/>
    <x v="1"/>
    <x v="1"/>
    <s v="08/2023"/>
    <x v="1"/>
    <s v="Petite"/>
  </r>
  <r>
    <n v="1428"/>
    <x v="638"/>
    <x v="8"/>
    <x v="3"/>
    <x v="3"/>
    <x v="7"/>
    <n v="9"/>
    <n v="24000"/>
    <n v="15"/>
    <n v="216000"/>
    <x v="1294"/>
    <x v="0"/>
    <x v="3"/>
    <x v="10"/>
    <x v="0"/>
    <s v="12/2024"/>
    <x v="0"/>
    <s v="Moyenne"/>
  </r>
  <r>
    <n v="1429"/>
    <x v="426"/>
    <x v="9"/>
    <x v="0"/>
    <x v="4"/>
    <x v="35"/>
    <n v="12"/>
    <n v="104400"/>
    <n v="20"/>
    <n v="1252800"/>
    <x v="1295"/>
    <x v="0"/>
    <x v="0"/>
    <x v="11"/>
    <x v="1"/>
    <s v="05/2023"/>
    <x v="3"/>
    <s v="Grande"/>
  </r>
  <r>
    <n v="1430"/>
    <x v="19"/>
    <x v="6"/>
    <x v="1"/>
    <x v="0"/>
    <x v="4"/>
    <n v="31"/>
    <n v="36500"/>
    <n v="15"/>
    <n v="1131500"/>
    <x v="1296"/>
    <x v="2"/>
    <x v="1"/>
    <x v="9"/>
    <x v="1"/>
    <s v="01/2023"/>
    <x v="2"/>
    <s v="Grande"/>
  </r>
  <r>
    <n v="1431"/>
    <x v="413"/>
    <x v="7"/>
    <x v="1"/>
    <x v="2"/>
    <x v="2"/>
    <n v="35"/>
    <n v="5700"/>
    <n v="15"/>
    <n v="199500"/>
    <x v="722"/>
    <x v="0"/>
    <x v="3"/>
    <x v="1"/>
    <x v="0"/>
    <s v="08/2024"/>
    <x v="1"/>
    <s v="Moyenne"/>
  </r>
  <r>
    <n v="1432"/>
    <x v="249"/>
    <x v="3"/>
    <x v="2"/>
    <x v="2"/>
    <x v="16"/>
    <n v="32"/>
    <n v="9500"/>
    <n v="15"/>
    <n v="304000"/>
    <x v="1297"/>
    <x v="1"/>
    <x v="2"/>
    <x v="0"/>
    <x v="0"/>
    <s v="10/2024"/>
    <x v="0"/>
    <s v="Grande"/>
  </r>
  <r>
    <n v="1433"/>
    <x v="218"/>
    <x v="3"/>
    <x v="3"/>
    <x v="0"/>
    <x v="10"/>
    <n v="28"/>
    <n v="30700"/>
    <n v="0"/>
    <n v="859600"/>
    <x v="1298"/>
    <x v="0"/>
    <x v="1"/>
    <x v="5"/>
    <x v="1"/>
    <s v="09/2023"/>
    <x v="1"/>
    <s v="Grande"/>
  </r>
  <r>
    <n v="1434"/>
    <x v="521"/>
    <x v="8"/>
    <x v="0"/>
    <x v="1"/>
    <x v="32"/>
    <n v="23"/>
    <n v="2300"/>
    <n v="10"/>
    <n v="52900"/>
    <x v="1299"/>
    <x v="0"/>
    <x v="2"/>
    <x v="1"/>
    <x v="1"/>
    <s v="08/2023"/>
    <x v="1"/>
    <s v="Petite"/>
  </r>
  <r>
    <n v="1435"/>
    <x v="519"/>
    <x v="2"/>
    <x v="4"/>
    <x v="4"/>
    <x v="26"/>
    <n v="44"/>
    <n v="39300"/>
    <n v="0"/>
    <n v="1729200"/>
    <x v="1300"/>
    <x v="0"/>
    <x v="0"/>
    <x v="2"/>
    <x v="1"/>
    <s v="03/2023"/>
    <x v="2"/>
    <s v="Grande"/>
  </r>
  <r>
    <n v="1436"/>
    <x v="409"/>
    <x v="2"/>
    <x v="3"/>
    <x v="2"/>
    <x v="38"/>
    <n v="24"/>
    <n v="15400"/>
    <n v="0"/>
    <n v="369600"/>
    <x v="184"/>
    <x v="0"/>
    <x v="1"/>
    <x v="10"/>
    <x v="1"/>
    <s v="12/2023"/>
    <x v="0"/>
    <s v="Grande"/>
  </r>
  <r>
    <n v="1437"/>
    <x v="302"/>
    <x v="0"/>
    <x v="4"/>
    <x v="3"/>
    <x v="33"/>
    <n v="49"/>
    <n v="5000"/>
    <n v="20"/>
    <n v="245000"/>
    <x v="1267"/>
    <x v="1"/>
    <x v="2"/>
    <x v="10"/>
    <x v="1"/>
    <s v="12/2023"/>
    <x v="0"/>
    <s v="Moyenne"/>
  </r>
  <r>
    <n v="1438"/>
    <x v="253"/>
    <x v="4"/>
    <x v="0"/>
    <x v="4"/>
    <x v="17"/>
    <n v="34"/>
    <n v="114700"/>
    <n v="5"/>
    <n v="3899800"/>
    <x v="1301"/>
    <x v="3"/>
    <x v="2"/>
    <x v="3"/>
    <x v="1"/>
    <s v="07/2023"/>
    <x v="1"/>
    <s v="Grande"/>
  </r>
  <r>
    <n v="1439"/>
    <x v="266"/>
    <x v="6"/>
    <x v="2"/>
    <x v="1"/>
    <x v="14"/>
    <n v="36"/>
    <n v="115500"/>
    <n v="15"/>
    <n v="4158000"/>
    <x v="1302"/>
    <x v="1"/>
    <x v="1"/>
    <x v="4"/>
    <x v="1"/>
    <s v="11/2023"/>
    <x v="0"/>
    <s v="Grande"/>
  </r>
  <r>
    <n v="1440"/>
    <x v="182"/>
    <x v="9"/>
    <x v="0"/>
    <x v="1"/>
    <x v="9"/>
    <n v="31"/>
    <n v="8400"/>
    <n v="5"/>
    <n v="260400"/>
    <x v="1303"/>
    <x v="1"/>
    <x v="1"/>
    <x v="5"/>
    <x v="0"/>
    <s v="09/2024"/>
    <x v="1"/>
    <s v="Grande"/>
  </r>
  <r>
    <n v="1441"/>
    <x v="194"/>
    <x v="7"/>
    <x v="1"/>
    <x v="3"/>
    <x v="33"/>
    <n v="23"/>
    <n v="4300"/>
    <n v="0"/>
    <n v="98900"/>
    <x v="1304"/>
    <x v="0"/>
    <x v="3"/>
    <x v="8"/>
    <x v="1"/>
    <s v="06/2023"/>
    <x v="3"/>
    <s v="Moyenne"/>
  </r>
  <r>
    <n v="1442"/>
    <x v="498"/>
    <x v="0"/>
    <x v="3"/>
    <x v="2"/>
    <x v="3"/>
    <n v="44"/>
    <n v="1800"/>
    <n v="0"/>
    <n v="79200"/>
    <x v="1115"/>
    <x v="0"/>
    <x v="3"/>
    <x v="7"/>
    <x v="0"/>
    <s v="02/2024"/>
    <x v="2"/>
    <s v="Moyenne"/>
  </r>
  <r>
    <n v="1443"/>
    <x v="639"/>
    <x v="0"/>
    <x v="3"/>
    <x v="0"/>
    <x v="10"/>
    <n v="39"/>
    <n v="30600"/>
    <n v="0"/>
    <n v="1193400"/>
    <x v="1305"/>
    <x v="0"/>
    <x v="2"/>
    <x v="0"/>
    <x v="0"/>
    <s v="10/2024"/>
    <x v="0"/>
    <s v="Grande"/>
  </r>
  <r>
    <n v="1444"/>
    <x v="171"/>
    <x v="2"/>
    <x v="3"/>
    <x v="4"/>
    <x v="30"/>
    <n v="49"/>
    <n v="25700"/>
    <n v="0"/>
    <n v="1259300"/>
    <x v="1306"/>
    <x v="2"/>
    <x v="3"/>
    <x v="1"/>
    <x v="1"/>
    <s v="08/2023"/>
    <x v="1"/>
    <s v="Grande"/>
  </r>
  <r>
    <n v="1445"/>
    <x v="181"/>
    <x v="7"/>
    <x v="2"/>
    <x v="1"/>
    <x v="31"/>
    <n v="11"/>
    <n v="25200"/>
    <n v="20"/>
    <n v="277200"/>
    <x v="1307"/>
    <x v="2"/>
    <x v="2"/>
    <x v="4"/>
    <x v="1"/>
    <s v="11/2023"/>
    <x v="0"/>
    <s v="Grande"/>
  </r>
  <r>
    <n v="1446"/>
    <x v="369"/>
    <x v="5"/>
    <x v="3"/>
    <x v="1"/>
    <x v="14"/>
    <n v="39"/>
    <n v="137900"/>
    <n v="0"/>
    <n v="5378100"/>
    <x v="1308"/>
    <x v="3"/>
    <x v="3"/>
    <x v="0"/>
    <x v="1"/>
    <s v="10/2023"/>
    <x v="0"/>
    <s v="Grande"/>
  </r>
  <r>
    <n v="1447"/>
    <x v="323"/>
    <x v="8"/>
    <x v="1"/>
    <x v="4"/>
    <x v="35"/>
    <n v="50"/>
    <n v="100700"/>
    <n v="0"/>
    <n v="5035000"/>
    <x v="1309"/>
    <x v="0"/>
    <x v="3"/>
    <x v="4"/>
    <x v="0"/>
    <s v="11/2024"/>
    <x v="0"/>
    <s v="Grande"/>
  </r>
  <r>
    <n v="1448"/>
    <x v="7"/>
    <x v="2"/>
    <x v="2"/>
    <x v="4"/>
    <x v="17"/>
    <n v="6"/>
    <n v="131800"/>
    <n v="0"/>
    <n v="790800"/>
    <x v="1310"/>
    <x v="0"/>
    <x v="2"/>
    <x v="0"/>
    <x v="0"/>
    <s v="10/2024"/>
    <x v="0"/>
    <s v="Grande"/>
  </r>
  <r>
    <n v="1449"/>
    <x v="86"/>
    <x v="8"/>
    <x v="4"/>
    <x v="3"/>
    <x v="25"/>
    <n v="7"/>
    <n v="8000"/>
    <n v="10"/>
    <n v="56000"/>
    <x v="126"/>
    <x v="3"/>
    <x v="2"/>
    <x v="1"/>
    <x v="0"/>
    <s v="08/2024"/>
    <x v="1"/>
    <s v="Moyenne"/>
  </r>
  <r>
    <n v="1450"/>
    <x v="556"/>
    <x v="9"/>
    <x v="1"/>
    <x v="3"/>
    <x v="25"/>
    <n v="7"/>
    <n v="6800"/>
    <n v="10"/>
    <n v="47600"/>
    <x v="832"/>
    <x v="0"/>
    <x v="0"/>
    <x v="5"/>
    <x v="0"/>
    <s v="09/2024"/>
    <x v="1"/>
    <s v="Petite"/>
  </r>
  <r>
    <n v="1451"/>
    <x v="254"/>
    <x v="0"/>
    <x v="4"/>
    <x v="0"/>
    <x v="21"/>
    <n v="46"/>
    <n v="5000"/>
    <n v="15"/>
    <n v="230000"/>
    <x v="1311"/>
    <x v="1"/>
    <x v="3"/>
    <x v="1"/>
    <x v="1"/>
    <s v="08/2023"/>
    <x v="1"/>
    <s v="Moyenne"/>
  </r>
  <r>
    <n v="1452"/>
    <x v="96"/>
    <x v="8"/>
    <x v="3"/>
    <x v="3"/>
    <x v="20"/>
    <n v="41"/>
    <n v="7400"/>
    <n v="15"/>
    <n v="303400"/>
    <x v="1312"/>
    <x v="1"/>
    <x v="2"/>
    <x v="2"/>
    <x v="0"/>
    <s v="03/2024"/>
    <x v="2"/>
    <s v="Grande"/>
  </r>
  <r>
    <n v="1453"/>
    <x v="64"/>
    <x v="5"/>
    <x v="3"/>
    <x v="2"/>
    <x v="38"/>
    <n v="22"/>
    <n v="14800"/>
    <n v="20"/>
    <n v="325600"/>
    <x v="1313"/>
    <x v="0"/>
    <x v="2"/>
    <x v="9"/>
    <x v="1"/>
    <s v="01/2023"/>
    <x v="2"/>
    <s v="Grande"/>
  </r>
  <r>
    <n v="1454"/>
    <x v="90"/>
    <x v="8"/>
    <x v="2"/>
    <x v="0"/>
    <x v="39"/>
    <n v="16"/>
    <n v="7900"/>
    <n v="0"/>
    <n v="126400"/>
    <x v="1314"/>
    <x v="0"/>
    <x v="0"/>
    <x v="9"/>
    <x v="1"/>
    <s v="01/2023"/>
    <x v="2"/>
    <s v="Moyenne"/>
  </r>
  <r>
    <n v="1455"/>
    <x v="290"/>
    <x v="4"/>
    <x v="4"/>
    <x v="2"/>
    <x v="37"/>
    <n v="49"/>
    <n v="3500"/>
    <n v="20"/>
    <n v="171500"/>
    <x v="1315"/>
    <x v="0"/>
    <x v="1"/>
    <x v="6"/>
    <x v="0"/>
    <s v="04/2024"/>
    <x v="3"/>
    <s v="Moyenne"/>
  </r>
  <r>
    <n v="1456"/>
    <x v="476"/>
    <x v="0"/>
    <x v="2"/>
    <x v="0"/>
    <x v="0"/>
    <n v="20"/>
    <n v="21500"/>
    <n v="15"/>
    <n v="430000"/>
    <x v="1316"/>
    <x v="0"/>
    <x v="0"/>
    <x v="11"/>
    <x v="0"/>
    <s v="05/2024"/>
    <x v="3"/>
    <s v="Grande"/>
  </r>
  <r>
    <n v="1457"/>
    <x v="640"/>
    <x v="3"/>
    <x v="3"/>
    <x v="4"/>
    <x v="30"/>
    <n v="13"/>
    <n v="30500"/>
    <n v="0"/>
    <n v="396500"/>
    <x v="1317"/>
    <x v="0"/>
    <x v="2"/>
    <x v="7"/>
    <x v="0"/>
    <s v="02/2024"/>
    <x v="2"/>
    <s v="Grande"/>
  </r>
  <r>
    <n v="1458"/>
    <x v="641"/>
    <x v="8"/>
    <x v="2"/>
    <x v="2"/>
    <x v="13"/>
    <n v="8"/>
    <n v="4100"/>
    <n v="10"/>
    <n v="32800"/>
    <x v="1318"/>
    <x v="0"/>
    <x v="3"/>
    <x v="10"/>
    <x v="1"/>
    <s v="12/2023"/>
    <x v="0"/>
    <s v="Petite"/>
  </r>
  <r>
    <n v="1459"/>
    <x v="642"/>
    <x v="2"/>
    <x v="2"/>
    <x v="3"/>
    <x v="6"/>
    <n v="45"/>
    <n v="9800"/>
    <n v="0"/>
    <n v="441000"/>
    <x v="1319"/>
    <x v="0"/>
    <x v="0"/>
    <x v="10"/>
    <x v="0"/>
    <s v="12/2024"/>
    <x v="0"/>
    <s v="Grande"/>
  </r>
  <r>
    <n v="1460"/>
    <x v="566"/>
    <x v="9"/>
    <x v="1"/>
    <x v="0"/>
    <x v="22"/>
    <n v="35"/>
    <n v="12900"/>
    <n v="5"/>
    <n v="451500"/>
    <x v="1320"/>
    <x v="0"/>
    <x v="1"/>
    <x v="10"/>
    <x v="0"/>
    <s v="12/2024"/>
    <x v="0"/>
    <s v="Grande"/>
  </r>
  <r>
    <n v="1461"/>
    <x v="332"/>
    <x v="4"/>
    <x v="3"/>
    <x v="3"/>
    <x v="19"/>
    <n v="15"/>
    <n v="2200"/>
    <n v="0"/>
    <n v="33000"/>
    <x v="1321"/>
    <x v="0"/>
    <x v="0"/>
    <x v="6"/>
    <x v="1"/>
    <s v="04/2023"/>
    <x v="3"/>
    <s v="Petite"/>
  </r>
  <r>
    <n v="1462"/>
    <x v="52"/>
    <x v="6"/>
    <x v="2"/>
    <x v="1"/>
    <x v="31"/>
    <n v="45"/>
    <n v="23900"/>
    <n v="0"/>
    <n v="1075500"/>
    <x v="1322"/>
    <x v="3"/>
    <x v="1"/>
    <x v="3"/>
    <x v="0"/>
    <s v="07/2024"/>
    <x v="1"/>
    <s v="Grande"/>
  </r>
  <r>
    <n v="1463"/>
    <x v="96"/>
    <x v="5"/>
    <x v="4"/>
    <x v="1"/>
    <x v="32"/>
    <n v="2"/>
    <n v="2400"/>
    <n v="20"/>
    <n v="4800"/>
    <x v="1323"/>
    <x v="2"/>
    <x v="2"/>
    <x v="2"/>
    <x v="0"/>
    <s v="03/2024"/>
    <x v="2"/>
    <s v="Petite"/>
  </r>
  <r>
    <n v="1464"/>
    <x v="379"/>
    <x v="7"/>
    <x v="3"/>
    <x v="3"/>
    <x v="33"/>
    <n v="34"/>
    <n v="4500"/>
    <n v="15"/>
    <n v="153000"/>
    <x v="1324"/>
    <x v="0"/>
    <x v="2"/>
    <x v="2"/>
    <x v="0"/>
    <s v="03/2024"/>
    <x v="2"/>
    <s v="Moyenne"/>
  </r>
  <r>
    <n v="1465"/>
    <x v="41"/>
    <x v="3"/>
    <x v="2"/>
    <x v="4"/>
    <x v="15"/>
    <n v="16"/>
    <n v="7400"/>
    <n v="0"/>
    <n v="118400"/>
    <x v="1083"/>
    <x v="0"/>
    <x v="3"/>
    <x v="5"/>
    <x v="1"/>
    <s v="09/2023"/>
    <x v="1"/>
    <s v="Moyenne"/>
  </r>
  <r>
    <n v="1466"/>
    <x v="231"/>
    <x v="6"/>
    <x v="2"/>
    <x v="2"/>
    <x v="13"/>
    <n v="33"/>
    <n v="3900"/>
    <n v="0"/>
    <n v="128700"/>
    <x v="1325"/>
    <x v="1"/>
    <x v="3"/>
    <x v="0"/>
    <x v="0"/>
    <s v="10/2024"/>
    <x v="0"/>
    <s v="Moyenne"/>
  </r>
  <r>
    <n v="1467"/>
    <x v="317"/>
    <x v="5"/>
    <x v="2"/>
    <x v="3"/>
    <x v="33"/>
    <n v="37"/>
    <n v="4600"/>
    <n v="10"/>
    <n v="170200"/>
    <x v="459"/>
    <x v="1"/>
    <x v="2"/>
    <x v="0"/>
    <x v="0"/>
    <s v="10/2024"/>
    <x v="0"/>
    <s v="Moyenne"/>
  </r>
  <r>
    <n v="1468"/>
    <x v="147"/>
    <x v="8"/>
    <x v="3"/>
    <x v="4"/>
    <x v="8"/>
    <n v="11"/>
    <n v="74000"/>
    <n v="10"/>
    <n v="814000"/>
    <x v="1326"/>
    <x v="0"/>
    <x v="2"/>
    <x v="2"/>
    <x v="0"/>
    <s v="03/2024"/>
    <x v="2"/>
    <s v="Grande"/>
  </r>
  <r>
    <n v="1469"/>
    <x v="2"/>
    <x v="1"/>
    <x v="2"/>
    <x v="4"/>
    <x v="30"/>
    <n v="23"/>
    <n v="25600"/>
    <n v="10"/>
    <n v="588800"/>
    <x v="1327"/>
    <x v="0"/>
    <x v="3"/>
    <x v="0"/>
    <x v="0"/>
    <s v="10/2024"/>
    <x v="0"/>
    <s v="Grande"/>
  </r>
  <r>
    <n v="1470"/>
    <x v="295"/>
    <x v="1"/>
    <x v="3"/>
    <x v="4"/>
    <x v="29"/>
    <n v="9"/>
    <n v="19400"/>
    <n v="15"/>
    <n v="174600"/>
    <x v="1328"/>
    <x v="3"/>
    <x v="1"/>
    <x v="5"/>
    <x v="1"/>
    <s v="09/2023"/>
    <x v="1"/>
    <s v="Moyenne"/>
  </r>
  <r>
    <n v="1471"/>
    <x v="123"/>
    <x v="4"/>
    <x v="3"/>
    <x v="0"/>
    <x v="39"/>
    <n v="33"/>
    <n v="7700"/>
    <n v="0"/>
    <n v="254100"/>
    <x v="1329"/>
    <x v="3"/>
    <x v="1"/>
    <x v="3"/>
    <x v="0"/>
    <s v="07/2024"/>
    <x v="1"/>
    <s v="Grande"/>
  </r>
  <r>
    <n v="1472"/>
    <x v="342"/>
    <x v="9"/>
    <x v="2"/>
    <x v="1"/>
    <x v="18"/>
    <n v="23"/>
    <n v="91600"/>
    <n v="10"/>
    <n v="2106800"/>
    <x v="1330"/>
    <x v="0"/>
    <x v="0"/>
    <x v="8"/>
    <x v="0"/>
    <s v="06/2024"/>
    <x v="3"/>
    <s v="Grande"/>
  </r>
  <r>
    <n v="1473"/>
    <x v="643"/>
    <x v="2"/>
    <x v="1"/>
    <x v="2"/>
    <x v="3"/>
    <n v="39"/>
    <n v="1700"/>
    <n v="20"/>
    <n v="66300"/>
    <x v="1331"/>
    <x v="1"/>
    <x v="1"/>
    <x v="3"/>
    <x v="1"/>
    <s v="07/2023"/>
    <x v="1"/>
    <s v="Moyenne"/>
  </r>
  <r>
    <n v="1474"/>
    <x v="644"/>
    <x v="1"/>
    <x v="1"/>
    <x v="1"/>
    <x v="11"/>
    <n v="26"/>
    <n v="5500"/>
    <n v="20"/>
    <n v="143000"/>
    <x v="1332"/>
    <x v="0"/>
    <x v="2"/>
    <x v="11"/>
    <x v="1"/>
    <s v="05/2023"/>
    <x v="3"/>
    <s v="Moyenne"/>
  </r>
  <r>
    <n v="1475"/>
    <x v="55"/>
    <x v="7"/>
    <x v="1"/>
    <x v="2"/>
    <x v="37"/>
    <n v="20"/>
    <n v="3000"/>
    <n v="0"/>
    <n v="60000"/>
    <x v="1333"/>
    <x v="0"/>
    <x v="2"/>
    <x v="7"/>
    <x v="0"/>
    <s v="02/2024"/>
    <x v="2"/>
    <s v="Moyenne"/>
  </r>
  <r>
    <n v="1476"/>
    <x v="476"/>
    <x v="0"/>
    <x v="4"/>
    <x v="0"/>
    <x v="21"/>
    <n v="23"/>
    <n v="4300"/>
    <n v="0"/>
    <n v="98900"/>
    <x v="1304"/>
    <x v="3"/>
    <x v="0"/>
    <x v="11"/>
    <x v="0"/>
    <s v="05/2024"/>
    <x v="3"/>
    <s v="Moyenne"/>
  </r>
  <r>
    <n v="1477"/>
    <x v="123"/>
    <x v="0"/>
    <x v="3"/>
    <x v="0"/>
    <x v="4"/>
    <n v="4"/>
    <n v="39200"/>
    <n v="15"/>
    <n v="156800"/>
    <x v="1334"/>
    <x v="3"/>
    <x v="0"/>
    <x v="3"/>
    <x v="0"/>
    <s v="07/2024"/>
    <x v="1"/>
    <s v="Moyenne"/>
  </r>
  <r>
    <n v="1478"/>
    <x v="622"/>
    <x v="0"/>
    <x v="4"/>
    <x v="1"/>
    <x v="18"/>
    <n v="25"/>
    <n v="76600"/>
    <n v="20"/>
    <n v="1915000"/>
    <x v="1335"/>
    <x v="0"/>
    <x v="3"/>
    <x v="9"/>
    <x v="0"/>
    <s v="01/2024"/>
    <x v="2"/>
    <s v="Grande"/>
  </r>
  <r>
    <n v="1479"/>
    <x v="40"/>
    <x v="6"/>
    <x v="4"/>
    <x v="3"/>
    <x v="36"/>
    <n v="14"/>
    <n v="3600"/>
    <n v="20"/>
    <n v="50400"/>
    <x v="1336"/>
    <x v="3"/>
    <x v="0"/>
    <x v="2"/>
    <x v="1"/>
    <s v="03/2023"/>
    <x v="2"/>
    <s v="Petite"/>
  </r>
  <r>
    <n v="1480"/>
    <x v="645"/>
    <x v="6"/>
    <x v="3"/>
    <x v="0"/>
    <x v="22"/>
    <n v="46"/>
    <n v="13500"/>
    <n v="0"/>
    <n v="621000"/>
    <x v="1337"/>
    <x v="1"/>
    <x v="1"/>
    <x v="4"/>
    <x v="0"/>
    <s v="11/2024"/>
    <x v="0"/>
    <s v="Grande"/>
  </r>
  <r>
    <n v="1481"/>
    <x v="93"/>
    <x v="8"/>
    <x v="0"/>
    <x v="3"/>
    <x v="20"/>
    <n v="8"/>
    <n v="7400"/>
    <n v="0"/>
    <n v="59200"/>
    <x v="1338"/>
    <x v="1"/>
    <x v="3"/>
    <x v="7"/>
    <x v="1"/>
    <s v="02/2023"/>
    <x v="2"/>
    <s v="Moyenne"/>
  </r>
  <r>
    <n v="1482"/>
    <x v="126"/>
    <x v="3"/>
    <x v="4"/>
    <x v="3"/>
    <x v="6"/>
    <n v="32"/>
    <n v="11000"/>
    <n v="10"/>
    <n v="352000"/>
    <x v="867"/>
    <x v="0"/>
    <x v="1"/>
    <x v="6"/>
    <x v="1"/>
    <s v="04/2023"/>
    <x v="3"/>
    <s v="Grande"/>
  </r>
  <r>
    <n v="1483"/>
    <x v="641"/>
    <x v="8"/>
    <x v="3"/>
    <x v="4"/>
    <x v="28"/>
    <n v="43"/>
    <n v="13600"/>
    <n v="0"/>
    <n v="584800"/>
    <x v="1339"/>
    <x v="0"/>
    <x v="3"/>
    <x v="10"/>
    <x v="1"/>
    <s v="12/2023"/>
    <x v="0"/>
    <s v="Grande"/>
  </r>
  <r>
    <n v="1484"/>
    <x v="179"/>
    <x v="6"/>
    <x v="4"/>
    <x v="4"/>
    <x v="26"/>
    <n v="3"/>
    <n v="46100"/>
    <n v="20"/>
    <n v="138300"/>
    <x v="1340"/>
    <x v="0"/>
    <x v="2"/>
    <x v="0"/>
    <x v="0"/>
    <s v="10/2024"/>
    <x v="0"/>
    <s v="Moyenne"/>
  </r>
  <r>
    <n v="1485"/>
    <x v="347"/>
    <x v="9"/>
    <x v="0"/>
    <x v="3"/>
    <x v="19"/>
    <n v="21"/>
    <n v="2300"/>
    <n v="20"/>
    <n v="48300"/>
    <x v="1341"/>
    <x v="2"/>
    <x v="2"/>
    <x v="8"/>
    <x v="0"/>
    <s v="06/2024"/>
    <x v="3"/>
    <s v="Petite"/>
  </r>
  <r>
    <n v="1486"/>
    <x v="57"/>
    <x v="5"/>
    <x v="2"/>
    <x v="0"/>
    <x v="22"/>
    <n v="13"/>
    <n v="12100"/>
    <n v="5"/>
    <n v="157300"/>
    <x v="1342"/>
    <x v="0"/>
    <x v="2"/>
    <x v="3"/>
    <x v="0"/>
    <s v="07/2024"/>
    <x v="1"/>
    <s v="Moyenne"/>
  </r>
  <r>
    <n v="1487"/>
    <x v="225"/>
    <x v="7"/>
    <x v="0"/>
    <x v="4"/>
    <x v="35"/>
    <n v="21"/>
    <n v="97200"/>
    <n v="0"/>
    <n v="2041200"/>
    <x v="488"/>
    <x v="0"/>
    <x v="2"/>
    <x v="2"/>
    <x v="0"/>
    <s v="03/2024"/>
    <x v="2"/>
    <s v="Grande"/>
  </r>
  <r>
    <n v="1488"/>
    <x v="518"/>
    <x v="4"/>
    <x v="0"/>
    <x v="3"/>
    <x v="20"/>
    <n v="6"/>
    <n v="6200"/>
    <n v="15"/>
    <n v="37200"/>
    <x v="1343"/>
    <x v="0"/>
    <x v="1"/>
    <x v="11"/>
    <x v="0"/>
    <s v="05/2024"/>
    <x v="3"/>
    <s v="Petite"/>
  </r>
  <r>
    <n v="1489"/>
    <x v="314"/>
    <x v="1"/>
    <x v="3"/>
    <x v="1"/>
    <x v="18"/>
    <n v="25"/>
    <n v="97000"/>
    <n v="20"/>
    <n v="2425000"/>
    <x v="1344"/>
    <x v="0"/>
    <x v="0"/>
    <x v="4"/>
    <x v="1"/>
    <s v="11/2023"/>
    <x v="0"/>
    <s v="Grande"/>
  </r>
  <r>
    <n v="1490"/>
    <x v="313"/>
    <x v="7"/>
    <x v="3"/>
    <x v="3"/>
    <x v="6"/>
    <n v="44"/>
    <n v="10100"/>
    <n v="0"/>
    <n v="444400"/>
    <x v="1345"/>
    <x v="1"/>
    <x v="1"/>
    <x v="9"/>
    <x v="0"/>
    <s v="01/2024"/>
    <x v="2"/>
    <s v="Grande"/>
  </r>
  <r>
    <n v="1491"/>
    <x v="447"/>
    <x v="6"/>
    <x v="4"/>
    <x v="0"/>
    <x v="10"/>
    <n v="32"/>
    <n v="30200"/>
    <n v="0"/>
    <n v="966400"/>
    <x v="1346"/>
    <x v="0"/>
    <x v="0"/>
    <x v="6"/>
    <x v="0"/>
    <s v="04/2024"/>
    <x v="3"/>
    <s v="Grande"/>
  </r>
  <r>
    <n v="1492"/>
    <x v="95"/>
    <x v="5"/>
    <x v="0"/>
    <x v="0"/>
    <x v="4"/>
    <n v="43"/>
    <n v="39400"/>
    <n v="0"/>
    <n v="1694200"/>
    <x v="1347"/>
    <x v="1"/>
    <x v="3"/>
    <x v="9"/>
    <x v="0"/>
    <s v="01/2024"/>
    <x v="2"/>
    <s v="Grande"/>
  </r>
  <r>
    <n v="1493"/>
    <x v="591"/>
    <x v="5"/>
    <x v="2"/>
    <x v="4"/>
    <x v="35"/>
    <n v="39"/>
    <n v="89200"/>
    <n v="5"/>
    <n v="3478800"/>
    <x v="1348"/>
    <x v="0"/>
    <x v="3"/>
    <x v="6"/>
    <x v="0"/>
    <s v="04/2024"/>
    <x v="3"/>
    <s v="Grande"/>
  </r>
  <r>
    <n v="1494"/>
    <x v="11"/>
    <x v="9"/>
    <x v="2"/>
    <x v="2"/>
    <x v="16"/>
    <n v="1"/>
    <n v="9600"/>
    <n v="5"/>
    <n v="9600"/>
    <x v="1349"/>
    <x v="0"/>
    <x v="2"/>
    <x v="4"/>
    <x v="0"/>
    <s v="11/2024"/>
    <x v="0"/>
    <s v="Petite"/>
  </r>
  <r>
    <n v="1495"/>
    <x v="453"/>
    <x v="5"/>
    <x v="1"/>
    <x v="0"/>
    <x v="4"/>
    <n v="26"/>
    <n v="37000"/>
    <n v="0"/>
    <n v="962000"/>
    <x v="1350"/>
    <x v="0"/>
    <x v="2"/>
    <x v="10"/>
    <x v="1"/>
    <s v="12/2023"/>
    <x v="0"/>
    <s v="Grande"/>
  </r>
  <r>
    <n v="1496"/>
    <x v="646"/>
    <x v="5"/>
    <x v="0"/>
    <x v="1"/>
    <x v="14"/>
    <n v="32"/>
    <n v="112800"/>
    <n v="0"/>
    <n v="3609600"/>
    <x v="1351"/>
    <x v="0"/>
    <x v="3"/>
    <x v="5"/>
    <x v="0"/>
    <s v="09/2024"/>
    <x v="1"/>
    <s v="Grande"/>
  </r>
  <r>
    <n v="1497"/>
    <x v="285"/>
    <x v="7"/>
    <x v="2"/>
    <x v="3"/>
    <x v="7"/>
    <n v="37"/>
    <n v="21400"/>
    <n v="5"/>
    <n v="791800"/>
    <x v="1352"/>
    <x v="0"/>
    <x v="0"/>
    <x v="5"/>
    <x v="1"/>
    <s v="09/2023"/>
    <x v="1"/>
    <s v="Grande"/>
  </r>
  <r>
    <n v="1498"/>
    <x v="354"/>
    <x v="0"/>
    <x v="3"/>
    <x v="4"/>
    <x v="26"/>
    <n v="3"/>
    <n v="39100"/>
    <n v="0"/>
    <n v="117300"/>
    <x v="1353"/>
    <x v="0"/>
    <x v="0"/>
    <x v="3"/>
    <x v="1"/>
    <s v="07/2023"/>
    <x v="1"/>
    <s v="Moyenne"/>
  </r>
  <r>
    <n v="1499"/>
    <x v="361"/>
    <x v="1"/>
    <x v="1"/>
    <x v="2"/>
    <x v="24"/>
    <n v="5"/>
    <n v="6000"/>
    <n v="0"/>
    <n v="30000"/>
    <x v="1354"/>
    <x v="0"/>
    <x v="3"/>
    <x v="1"/>
    <x v="1"/>
    <s v="08/2023"/>
    <x v="1"/>
    <s v="Petite"/>
  </r>
  <r>
    <n v="1500"/>
    <x v="465"/>
    <x v="8"/>
    <x v="3"/>
    <x v="1"/>
    <x v="1"/>
    <n v="47"/>
    <n v="9300"/>
    <n v="0"/>
    <n v="437100"/>
    <x v="1355"/>
    <x v="0"/>
    <x v="0"/>
    <x v="11"/>
    <x v="1"/>
    <s v="05/2023"/>
    <x v="3"/>
    <s v="Grande"/>
  </r>
  <r>
    <n v="1501"/>
    <x v="647"/>
    <x v="4"/>
    <x v="4"/>
    <x v="0"/>
    <x v="5"/>
    <n v="42"/>
    <n v="3300"/>
    <n v="0"/>
    <n v="138600"/>
    <x v="1356"/>
    <x v="0"/>
    <x v="2"/>
    <x v="10"/>
    <x v="1"/>
    <s v="12/2023"/>
    <x v="0"/>
    <s v="Moyenne"/>
  </r>
  <r>
    <n v="1502"/>
    <x v="369"/>
    <x v="2"/>
    <x v="0"/>
    <x v="2"/>
    <x v="13"/>
    <n v="22"/>
    <n v="4400"/>
    <n v="0"/>
    <n v="96800"/>
    <x v="1357"/>
    <x v="1"/>
    <x v="2"/>
    <x v="0"/>
    <x v="1"/>
    <s v="10/2023"/>
    <x v="0"/>
    <s v="Moyenne"/>
  </r>
  <r>
    <n v="1503"/>
    <x v="76"/>
    <x v="0"/>
    <x v="4"/>
    <x v="3"/>
    <x v="7"/>
    <n v="10"/>
    <n v="22900"/>
    <n v="0"/>
    <n v="229000"/>
    <x v="1358"/>
    <x v="0"/>
    <x v="3"/>
    <x v="2"/>
    <x v="0"/>
    <s v="03/2024"/>
    <x v="2"/>
    <s v="Grande"/>
  </r>
  <r>
    <n v="1504"/>
    <x v="543"/>
    <x v="0"/>
    <x v="1"/>
    <x v="3"/>
    <x v="20"/>
    <n v="11"/>
    <n v="6900"/>
    <n v="0"/>
    <n v="75900"/>
    <x v="1359"/>
    <x v="1"/>
    <x v="3"/>
    <x v="6"/>
    <x v="1"/>
    <s v="04/2023"/>
    <x v="3"/>
    <s v="Moyenne"/>
  </r>
  <r>
    <n v="1505"/>
    <x v="520"/>
    <x v="6"/>
    <x v="0"/>
    <x v="2"/>
    <x v="38"/>
    <n v="37"/>
    <n v="13900"/>
    <n v="20"/>
    <n v="514300"/>
    <x v="1360"/>
    <x v="0"/>
    <x v="2"/>
    <x v="5"/>
    <x v="1"/>
    <s v="09/2023"/>
    <x v="1"/>
    <s v="Grande"/>
  </r>
  <r>
    <n v="1506"/>
    <x v="338"/>
    <x v="0"/>
    <x v="4"/>
    <x v="1"/>
    <x v="14"/>
    <n v="31"/>
    <n v="108600"/>
    <n v="0"/>
    <n v="3366600"/>
    <x v="1361"/>
    <x v="3"/>
    <x v="2"/>
    <x v="2"/>
    <x v="0"/>
    <s v="03/2024"/>
    <x v="2"/>
    <s v="Grande"/>
  </r>
  <r>
    <n v="1507"/>
    <x v="456"/>
    <x v="9"/>
    <x v="1"/>
    <x v="4"/>
    <x v="26"/>
    <n v="40"/>
    <n v="45000"/>
    <n v="5"/>
    <n v="1800000"/>
    <x v="1362"/>
    <x v="0"/>
    <x v="2"/>
    <x v="2"/>
    <x v="0"/>
    <s v="03/2024"/>
    <x v="2"/>
    <s v="Grande"/>
  </r>
  <r>
    <n v="1508"/>
    <x v="68"/>
    <x v="8"/>
    <x v="3"/>
    <x v="0"/>
    <x v="0"/>
    <n v="41"/>
    <n v="20600"/>
    <n v="0"/>
    <n v="844600"/>
    <x v="1363"/>
    <x v="1"/>
    <x v="2"/>
    <x v="8"/>
    <x v="1"/>
    <s v="06/2023"/>
    <x v="3"/>
    <s v="Grande"/>
  </r>
  <r>
    <n v="1509"/>
    <x v="87"/>
    <x v="3"/>
    <x v="0"/>
    <x v="4"/>
    <x v="17"/>
    <n v="30"/>
    <n v="107600"/>
    <n v="5"/>
    <n v="3228000"/>
    <x v="1364"/>
    <x v="0"/>
    <x v="1"/>
    <x v="8"/>
    <x v="1"/>
    <s v="06/2023"/>
    <x v="3"/>
    <s v="Grande"/>
  </r>
  <r>
    <n v="1510"/>
    <x v="461"/>
    <x v="3"/>
    <x v="4"/>
    <x v="4"/>
    <x v="29"/>
    <n v="30"/>
    <n v="20200"/>
    <n v="5"/>
    <n v="606000"/>
    <x v="1365"/>
    <x v="1"/>
    <x v="2"/>
    <x v="5"/>
    <x v="1"/>
    <s v="09/2023"/>
    <x v="1"/>
    <s v="Grande"/>
  </r>
  <r>
    <n v="1511"/>
    <x v="443"/>
    <x v="3"/>
    <x v="2"/>
    <x v="0"/>
    <x v="21"/>
    <n v="34"/>
    <n v="4200"/>
    <n v="15"/>
    <n v="142800"/>
    <x v="1366"/>
    <x v="0"/>
    <x v="1"/>
    <x v="6"/>
    <x v="0"/>
    <s v="04/2024"/>
    <x v="3"/>
    <s v="Moyenne"/>
  </r>
  <r>
    <n v="1512"/>
    <x v="648"/>
    <x v="9"/>
    <x v="4"/>
    <x v="3"/>
    <x v="27"/>
    <n v="36"/>
    <n v="13500"/>
    <n v="0"/>
    <n v="486000"/>
    <x v="1367"/>
    <x v="2"/>
    <x v="2"/>
    <x v="3"/>
    <x v="1"/>
    <s v="07/2023"/>
    <x v="1"/>
    <s v="Grande"/>
  </r>
  <r>
    <n v="1513"/>
    <x v="467"/>
    <x v="4"/>
    <x v="4"/>
    <x v="4"/>
    <x v="30"/>
    <n v="35"/>
    <n v="28500"/>
    <n v="20"/>
    <n v="997500"/>
    <x v="1368"/>
    <x v="1"/>
    <x v="3"/>
    <x v="0"/>
    <x v="0"/>
    <s v="10/2024"/>
    <x v="0"/>
    <s v="Grande"/>
  </r>
  <r>
    <n v="1514"/>
    <x v="649"/>
    <x v="7"/>
    <x v="0"/>
    <x v="2"/>
    <x v="3"/>
    <n v="11"/>
    <n v="1800"/>
    <n v="0"/>
    <n v="19800"/>
    <x v="504"/>
    <x v="1"/>
    <x v="2"/>
    <x v="5"/>
    <x v="0"/>
    <s v="09/2024"/>
    <x v="1"/>
    <s v="Petite"/>
  </r>
  <r>
    <n v="1515"/>
    <x v="130"/>
    <x v="1"/>
    <x v="4"/>
    <x v="4"/>
    <x v="30"/>
    <n v="48"/>
    <n v="27100"/>
    <n v="15"/>
    <n v="1300800"/>
    <x v="1369"/>
    <x v="1"/>
    <x v="1"/>
    <x v="2"/>
    <x v="0"/>
    <s v="03/2024"/>
    <x v="2"/>
    <s v="Grande"/>
  </r>
  <r>
    <n v="1516"/>
    <x v="498"/>
    <x v="9"/>
    <x v="4"/>
    <x v="2"/>
    <x v="23"/>
    <n v="16"/>
    <n v="4700"/>
    <n v="20"/>
    <n v="75200"/>
    <x v="1370"/>
    <x v="2"/>
    <x v="1"/>
    <x v="7"/>
    <x v="0"/>
    <s v="02/2024"/>
    <x v="2"/>
    <s v="Moyenne"/>
  </r>
  <r>
    <n v="1517"/>
    <x v="244"/>
    <x v="3"/>
    <x v="3"/>
    <x v="3"/>
    <x v="20"/>
    <n v="5"/>
    <n v="6900"/>
    <n v="20"/>
    <n v="34500"/>
    <x v="541"/>
    <x v="0"/>
    <x v="0"/>
    <x v="11"/>
    <x v="0"/>
    <s v="05/2024"/>
    <x v="3"/>
    <s v="Petite"/>
  </r>
  <r>
    <n v="1518"/>
    <x v="245"/>
    <x v="3"/>
    <x v="0"/>
    <x v="0"/>
    <x v="39"/>
    <n v="10"/>
    <n v="7600"/>
    <n v="20"/>
    <n v="76000"/>
    <x v="54"/>
    <x v="3"/>
    <x v="3"/>
    <x v="7"/>
    <x v="1"/>
    <s v="02/2023"/>
    <x v="2"/>
    <s v="Moyenne"/>
  </r>
  <r>
    <n v="1519"/>
    <x v="8"/>
    <x v="3"/>
    <x v="3"/>
    <x v="0"/>
    <x v="5"/>
    <n v="46"/>
    <n v="3600"/>
    <n v="0"/>
    <n v="165600"/>
    <x v="1371"/>
    <x v="0"/>
    <x v="3"/>
    <x v="5"/>
    <x v="1"/>
    <s v="09/2023"/>
    <x v="1"/>
    <s v="Moyenne"/>
  </r>
  <r>
    <n v="1520"/>
    <x v="650"/>
    <x v="6"/>
    <x v="4"/>
    <x v="2"/>
    <x v="23"/>
    <n v="40"/>
    <n v="4500"/>
    <n v="15"/>
    <n v="180000"/>
    <x v="818"/>
    <x v="0"/>
    <x v="2"/>
    <x v="3"/>
    <x v="0"/>
    <s v="07/2024"/>
    <x v="1"/>
    <s v="Moyenne"/>
  </r>
  <r>
    <n v="1521"/>
    <x v="292"/>
    <x v="5"/>
    <x v="0"/>
    <x v="2"/>
    <x v="2"/>
    <n v="3"/>
    <n v="5000"/>
    <n v="5"/>
    <n v="15000"/>
    <x v="1372"/>
    <x v="0"/>
    <x v="2"/>
    <x v="0"/>
    <x v="1"/>
    <s v="10/2023"/>
    <x v="0"/>
    <s v="Petite"/>
  </r>
  <r>
    <n v="1522"/>
    <x v="651"/>
    <x v="8"/>
    <x v="4"/>
    <x v="1"/>
    <x v="11"/>
    <n v="38"/>
    <n v="6800"/>
    <n v="0"/>
    <n v="258400"/>
    <x v="1297"/>
    <x v="0"/>
    <x v="2"/>
    <x v="9"/>
    <x v="0"/>
    <s v="01/2024"/>
    <x v="2"/>
    <s v="Grande"/>
  </r>
  <r>
    <n v="1523"/>
    <x v="77"/>
    <x v="9"/>
    <x v="2"/>
    <x v="0"/>
    <x v="10"/>
    <n v="5"/>
    <n v="31400"/>
    <n v="15"/>
    <n v="157000"/>
    <x v="1373"/>
    <x v="0"/>
    <x v="3"/>
    <x v="11"/>
    <x v="0"/>
    <s v="05/2024"/>
    <x v="3"/>
    <s v="Moyenne"/>
  </r>
  <r>
    <n v="1524"/>
    <x v="652"/>
    <x v="6"/>
    <x v="5"/>
    <x v="2"/>
    <x v="37"/>
    <n v="6"/>
    <n v="3100"/>
    <n v="0"/>
    <n v="18600"/>
    <x v="1374"/>
    <x v="0"/>
    <x v="2"/>
    <x v="1"/>
    <x v="0"/>
    <s v="08/2024"/>
    <x v="1"/>
    <s v="Petite"/>
  </r>
  <r>
    <n v="1525"/>
    <x v="653"/>
    <x v="9"/>
    <x v="1"/>
    <x v="2"/>
    <x v="37"/>
    <n v="13"/>
    <n v="3600"/>
    <n v="5"/>
    <n v="46800"/>
    <x v="1375"/>
    <x v="0"/>
    <x v="0"/>
    <x v="5"/>
    <x v="0"/>
    <s v="09/2024"/>
    <x v="1"/>
    <s v="Petite"/>
  </r>
  <r>
    <n v="1526"/>
    <x v="634"/>
    <x v="6"/>
    <x v="0"/>
    <x v="2"/>
    <x v="16"/>
    <n v="28"/>
    <n v="9300"/>
    <n v="15"/>
    <n v="260400"/>
    <x v="1376"/>
    <x v="0"/>
    <x v="3"/>
    <x v="4"/>
    <x v="1"/>
    <s v="11/2023"/>
    <x v="0"/>
    <s v="Grande"/>
  </r>
  <r>
    <n v="1527"/>
    <x v="654"/>
    <x v="8"/>
    <x v="0"/>
    <x v="0"/>
    <x v="4"/>
    <n v="40"/>
    <n v="32600"/>
    <n v="0"/>
    <n v="1304000"/>
    <x v="1377"/>
    <x v="0"/>
    <x v="0"/>
    <x v="2"/>
    <x v="0"/>
    <s v="03/2024"/>
    <x v="2"/>
    <s v="Grande"/>
  </r>
  <r>
    <n v="1528"/>
    <x v="609"/>
    <x v="5"/>
    <x v="1"/>
    <x v="4"/>
    <x v="29"/>
    <n v="44"/>
    <n v="16400"/>
    <n v="0"/>
    <n v="721600"/>
    <x v="1378"/>
    <x v="0"/>
    <x v="2"/>
    <x v="9"/>
    <x v="0"/>
    <s v="01/2024"/>
    <x v="2"/>
    <s v="Grande"/>
  </r>
  <r>
    <n v="1529"/>
    <x v="165"/>
    <x v="2"/>
    <x v="1"/>
    <x v="4"/>
    <x v="15"/>
    <n v="23"/>
    <n v="7000"/>
    <n v="5"/>
    <n v="161000"/>
    <x v="1379"/>
    <x v="1"/>
    <x v="1"/>
    <x v="4"/>
    <x v="0"/>
    <s v="11/2024"/>
    <x v="0"/>
    <s v="Moyenne"/>
  </r>
  <r>
    <n v="1530"/>
    <x v="32"/>
    <x v="4"/>
    <x v="0"/>
    <x v="4"/>
    <x v="8"/>
    <n v="21"/>
    <n v="71600"/>
    <n v="0"/>
    <n v="1503600"/>
    <x v="1380"/>
    <x v="2"/>
    <x v="0"/>
    <x v="0"/>
    <x v="1"/>
    <s v="10/2023"/>
    <x v="0"/>
    <s v="Grande"/>
  </r>
  <r>
    <n v="1531"/>
    <x v="523"/>
    <x v="0"/>
    <x v="4"/>
    <x v="1"/>
    <x v="12"/>
    <n v="10"/>
    <n v="17900"/>
    <n v="20"/>
    <n v="179000"/>
    <x v="1381"/>
    <x v="0"/>
    <x v="1"/>
    <x v="10"/>
    <x v="1"/>
    <s v="12/2023"/>
    <x v="0"/>
    <s v="Moyenne"/>
  </r>
  <r>
    <n v="1532"/>
    <x v="277"/>
    <x v="0"/>
    <x v="0"/>
    <x v="1"/>
    <x v="11"/>
    <n v="40"/>
    <n v="6700"/>
    <n v="15"/>
    <n v="268000"/>
    <x v="1382"/>
    <x v="0"/>
    <x v="2"/>
    <x v="2"/>
    <x v="1"/>
    <s v="03/2023"/>
    <x v="2"/>
    <s v="Grande"/>
  </r>
  <r>
    <n v="1533"/>
    <x v="316"/>
    <x v="0"/>
    <x v="3"/>
    <x v="1"/>
    <x v="18"/>
    <n v="13"/>
    <n v="91500"/>
    <n v="0"/>
    <n v="1189500"/>
    <x v="1383"/>
    <x v="2"/>
    <x v="0"/>
    <x v="11"/>
    <x v="1"/>
    <s v="05/2023"/>
    <x v="3"/>
    <s v="Grande"/>
  </r>
  <r>
    <n v="1534"/>
    <x v="527"/>
    <x v="0"/>
    <x v="0"/>
    <x v="4"/>
    <x v="26"/>
    <n v="46"/>
    <n v="40000"/>
    <n v="15"/>
    <n v="1840000"/>
    <x v="1384"/>
    <x v="0"/>
    <x v="3"/>
    <x v="6"/>
    <x v="1"/>
    <s v="04/2023"/>
    <x v="3"/>
    <s v="Grande"/>
  </r>
  <r>
    <n v="1535"/>
    <x v="217"/>
    <x v="5"/>
    <x v="1"/>
    <x v="2"/>
    <x v="2"/>
    <n v="12"/>
    <n v="5700"/>
    <n v="5"/>
    <n v="68400"/>
    <x v="1385"/>
    <x v="0"/>
    <x v="0"/>
    <x v="8"/>
    <x v="0"/>
    <s v="06/2024"/>
    <x v="3"/>
    <s v="Moyenne"/>
  </r>
  <r>
    <n v="1536"/>
    <x v="238"/>
    <x v="2"/>
    <x v="0"/>
    <x v="1"/>
    <x v="12"/>
    <n v="17"/>
    <n v="20600"/>
    <n v="15"/>
    <n v="350200"/>
    <x v="1386"/>
    <x v="0"/>
    <x v="1"/>
    <x v="3"/>
    <x v="1"/>
    <s v="07/2023"/>
    <x v="1"/>
    <s v="Grande"/>
  </r>
  <r>
    <n v="1537"/>
    <x v="547"/>
    <x v="0"/>
    <x v="4"/>
    <x v="2"/>
    <x v="37"/>
    <n v="15"/>
    <n v="3500"/>
    <n v="10"/>
    <n v="52500"/>
    <x v="1387"/>
    <x v="0"/>
    <x v="3"/>
    <x v="3"/>
    <x v="1"/>
    <s v="07/2023"/>
    <x v="1"/>
    <s v="Petite"/>
  </r>
  <r>
    <n v="1538"/>
    <x v="655"/>
    <x v="2"/>
    <x v="2"/>
    <x v="2"/>
    <x v="23"/>
    <n v="23"/>
    <n v="4600"/>
    <n v="15"/>
    <n v="105800"/>
    <x v="1388"/>
    <x v="1"/>
    <x v="0"/>
    <x v="7"/>
    <x v="0"/>
    <s v="02/2024"/>
    <x v="2"/>
    <s v="Moyenne"/>
  </r>
  <r>
    <n v="1539"/>
    <x v="645"/>
    <x v="4"/>
    <x v="2"/>
    <x v="2"/>
    <x v="24"/>
    <n v="32"/>
    <n v="5000"/>
    <n v="10"/>
    <n v="160000"/>
    <x v="967"/>
    <x v="0"/>
    <x v="0"/>
    <x v="4"/>
    <x v="0"/>
    <s v="11/2024"/>
    <x v="0"/>
    <s v="Moyenne"/>
  </r>
  <r>
    <n v="1540"/>
    <x v="131"/>
    <x v="0"/>
    <x v="1"/>
    <x v="1"/>
    <x v="14"/>
    <n v="50"/>
    <n v="117600"/>
    <n v="15"/>
    <n v="5880000"/>
    <x v="1389"/>
    <x v="2"/>
    <x v="3"/>
    <x v="2"/>
    <x v="0"/>
    <s v="03/2024"/>
    <x v="2"/>
    <s v="Grande"/>
  </r>
  <r>
    <n v="1541"/>
    <x v="619"/>
    <x v="9"/>
    <x v="0"/>
    <x v="3"/>
    <x v="7"/>
    <n v="21"/>
    <n v="23800"/>
    <n v="0"/>
    <n v="499800"/>
    <x v="1390"/>
    <x v="0"/>
    <x v="4"/>
    <x v="4"/>
    <x v="0"/>
    <s v="11/2024"/>
    <x v="0"/>
    <s v="Grande"/>
  </r>
  <r>
    <n v="1542"/>
    <x v="476"/>
    <x v="4"/>
    <x v="1"/>
    <x v="0"/>
    <x v="0"/>
    <n v="11"/>
    <n v="21100"/>
    <n v="5"/>
    <n v="232100"/>
    <x v="1391"/>
    <x v="0"/>
    <x v="3"/>
    <x v="11"/>
    <x v="0"/>
    <s v="05/2024"/>
    <x v="3"/>
    <s v="Grande"/>
  </r>
  <r>
    <n v="1543"/>
    <x v="394"/>
    <x v="8"/>
    <x v="2"/>
    <x v="4"/>
    <x v="28"/>
    <n v="30"/>
    <n v="13400"/>
    <n v="15"/>
    <n v="402000"/>
    <x v="1392"/>
    <x v="0"/>
    <x v="1"/>
    <x v="6"/>
    <x v="0"/>
    <s v="04/2024"/>
    <x v="3"/>
    <s v="Grande"/>
  </r>
  <r>
    <n v="1544"/>
    <x v="311"/>
    <x v="7"/>
    <x v="0"/>
    <x v="2"/>
    <x v="37"/>
    <n v="41"/>
    <n v="3200"/>
    <n v="0"/>
    <n v="131200"/>
    <x v="1393"/>
    <x v="0"/>
    <x v="3"/>
    <x v="9"/>
    <x v="0"/>
    <s v="01/2024"/>
    <x v="2"/>
    <s v="Moyenne"/>
  </r>
  <r>
    <n v="1545"/>
    <x v="388"/>
    <x v="6"/>
    <x v="4"/>
    <x v="3"/>
    <x v="6"/>
    <n v="2"/>
    <n v="9400"/>
    <n v="0"/>
    <n v="18800"/>
    <x v="1394"/>
    <x v="0"/>
    <x v="1"/>
    <x v="2"/>
    <x v="0"/>
    <s v="03/2024"/>
    <x v="2"/>
    <s v="Petite"/>
  </r>
  <r>
    <n v="1546"/>
    <x v="641"/>
    <x v="5"/>
    <x v="0"/>
    <x v="4"/>
    <x v="29"/>
    <n v="36"/>
    <n v="16900"/>
    <n v="5"/>
    <n v="608400"/>
    <x v="1395"/>
    <x v="0"/>
    <x v="1"/>
    <x v="10"/>
    <x v="1"/>
    <s v="12/2023"/>
    <x v="0"/>
    <s v="Grande"/>
  </r>
  <r>
    <n v="1547"/>
    <x v="556"/>
    <x v="8"/>
    <x v="1"/>
    <x v="4"/>
    <x v="30"/>
    <n v="43"/>
    <n v="28600"/>
    <n v="0"/>
    <n v="1229800"/>
    <x v="1396"/>
    <x v="0"/>
    <x v="0"/>
    <x v="5"/>
    <x v="0"/>
    <s v="09/2024"/>
    <x v="1"/>
    <s v="Grande"/>
  </r>
  <r>
    <n v="1548"/>
    <x v="14"/>
    <x v="8"/>
    <x v="3"/>
    <x v="0"/>
    <x v="22"/>
    <n v="32"/>
    <n v="11500"/>
    <n v="5"/>
    <n v="368000"/>
    <x v="1397"/>
    <x v="1"/>
    <x v="2"/>
    <x v="4"/>
    <x v="1"/>
    <s v="11/2023"/>
    <x v="0"/>
    <s v="Grande"/>
  </r>
  <r>
    <n v="1549"/>
    <x v="321"/>
    <x v="4"/>
    <x v="4"/>
    <x v="0"/>
    <x v="34"/>
    <n v="28"/>
    <n v="34300"/>
    <n v="10"/>
    <n v="960400"/>
    <x v="1398"/>
    <x v="0"/>
    <x v="1"/>
    <x v="9"/>
    <x v="1"/>
    <s v="01/2023"/>
    <x v="2"/>
    <s v="Grande"/>
  </r>
  <r>
    <n v="1550"/>
    <x v="32"/>
    <x v="3"/>
    <x v="2"/>
    <x v="2"/>
    <x v="37"/>
    <n v="31"/>
    <n v="3300"/>
    <n v="0"/>
    <n v="102300"/>
    <x v="1399"/>
    <x v="0"/>
    <x v="2"/>
    <x v="0"/>
    <x v="1"/>
    <s v="10/2023"/>
    <x v="0"/>
    <s v="Moyenne"/>
  </r>
  <r>
    <n v="1551"/>
    <x v="656"/>
    <x v="5"/>
    <x v="4"/>
    <x v="0"/>
    <x v="0"/>
    <n v="21"/>
    <n v="24800"/>
    <n v="20"/>
    <n v="520800"/>
    <x v="1400"/>
    <x v="0"/>
    <x v="2"/>
    <x v="2"/>
    <x v="0"/>
    <s v="03/2024"/>
    <x v="2"/>
    <s v="Grande"/>
  </r>
  <r>
    <n v="1552"/>
    <x v="292"/>
    <x v="2"/>
    <x v="2"/>
    <x v="3"/>
    <x v="27"/>
    <n v="9"/>
    <n v="12900"/>
    <n v="15"/>
    <n v="116100"/>
    <x v="1057"/>
    <x v="3"/>
    <x v="1"/>
    <x v="0"/>
    <x v="1"/>
    <s v="10/2023"/>
    <x v="0"/>
    <s v="Moyenne"/>
  </r>
  <r>
    <n v="1553"/>
    <x v="119"/>
    <x v="9"/>
    <x v="4"/>
    <x v="2"/>
    <x v="2"/>
    <n v="2"/>
    <n v="5600"/>
    <n v="5"/>
    <n v="11200"/>
    <x v="1401"/>
    <x v="0"/>
    <x v="0"/>
    <x v="1"/>
    <x v="0"/>
    <s v="08/2024"/>
    <x v="1"/>
    <s v="Petite"/>
  </r>
  <r>
    <n v="1554"/>
    <x v="657"/>
    <x v="9"/>
    <x v="2"/>
    <x v="1"/>
    <x v="31"/>
    <n v="47"/>
    <n v="25400"/>
    <n v="5"/>
    <n v="1193800"/>
    <x v="1402"/>
    <x v="0"/>
    <x v="2"/>
    <x v="9"/>
    <x v="1"/>
    <s v="01/2023"/>
    <x v="2"/>
    <s v="Grande"/>
  </r>
  <r>
    <n v="1555"/>
    <x v="288"/>
    <x v="4"/>
    <x v="4"/>
    <x v="0"/>
    <x v="4"/>
    <n v="15"/>
    <n v="35600"/>
    <n v="0"/>
    <n v="534000"/>
    <x v="1403"/>
    <x v="0"/>
    <x v="3"/>
    <x v="3"/>
    <x v="1"/>
    <s v="07/2023"/>
    <x v="1"/>
    <s v="Grande"/>
  </r>
  <r>
    <n v="1556"/>
    <x v="227"/>
    <x v="8"/>
    <x v="3"/>
    <x v="2"/>
    <x v="16"/>
    <n v="32"/>
    <n v="10900"/>
    <n v="20"/>
    <n v="348800"/>
    <x v="1404"/>
    <x v="3"/>
    <x v="1"/>
    <x v="5"/>
    <x v="0"/>
    <s v="09/2024"/>
    <x v="1"/>
    <s v="Grande"/>
  </r>
  <r>
    <n v="1557"/>
    <x v="340"/>
    <x v="5"/>
    <x v="3"/>
    <x v="3"/>
    <x v="19"/>
    <n v="4"/>
    <n v="2100"/>
    <n v="10"/>
    <n v="8400"/>
    <x v="1405"/>
    <x v="1"/>
    <x v="1"/>
    <x v="0"/>
    <x v="0"/>
    <s v="10/2024"/>
    <x v="0"/>
    <s v="Petite"/>
  </r>
  <r>
    <n v="1558"/>
    <x v="442"/>
    <x v="4"/>
    <x v="4"/>
    <x v="4"/>
    <x v="29"/>
    <n v="1"/>
    <n v="19400"/>
    <n v="0"/>
    <n v="19400"/>
    <x v="1406"/>
    <x v="0"/>
    <x v="1"/>
    <x v="11"/>
    <x v="0"/>
    <s v="05/2024"/>
    <x v="3"/>
    <s v="Petite"/>
  </r>
  <r>
    <n v="1559"/>
    <x v="658"/>
    <x v="1"/>
    <x v="0"/>
    <x v="4"/>
    <x v="8"/>
    <n v="50"/>
    <n v="64500"/>
    <n v="5"/>
    <n v="3225000"/>
    <x v="1407"/>
    <x v="2"/>
    <x v="1"/>
    <x v="0"/>
    <x v="1"/>
    <s v="10/2023"/>
    <x v="0"/>
    <s v="Grande"/>
  </r>
  <r>
    <n v="1560"/>
    <x v="226"/>
    <x v="7"/>
    <x v="3"/>
    <x v="2"/>
    <x v="2"/>
    <n v="7"/>
    <n v="5900"/>
    <n v="0"/>
    <n v="41300"/>
    <x v="1408"/>
    <x v="3"/>
    <x v="2"/>
    <x v="7"/>
    <x v="0"/>
    <s v="02/2024"/>
    <x v="2"/>
    <s v="Petite"/>
  </r>
  <r>
    <n v="1561"/>
    <x v="659"/>
    <x v="9"/>
    <x v="1"/>
    <x v="0"/>
    <x v="22"/>
    <n v="21"/>
    <n v="12600"/>
    <n v="0"/>
    <n v="264600"/>
    <x v="1409"/>
    <x v="3"/>
    <x v="0"/>
    <x v="3"/>
    <x v="1"/>
    <s v="07/2023"/>
    <x v="1"/>
    <s v="Grande"/>
  </r>
  <r>
    <n v="1562"/>
    <x v="271"/>
    <x v="2"/>
    <x v="1"/>
    <x v="0"/>
    <x v="22"/>
    <n v="47"/>
    <n v="11700"/>
    <n v="15"/>
    <n v="549900"/>
    <x v="1410"/>
    <x v="0"/>
    <x v="0"/>
    <x v="9"/>
    <x v="1"/>
    <s v="01/2023"/>
    <x v="2"/>
    <s v="Grande"/>
  </r>
  <r>
    <n v="1563"/>
    <x v="388"/>
    <x v="3"/>
    <x v="1"/>
    <x v="2"/>
    <x v="37"/>
    <n v="49"/>
    <n v="3400"/>
    <n v="0"/>
    <n v="166600"/>
    <x v="1411"/>
    <x v="0"/>
    <x v="3"/>
    <x v="2"/>
    <x v="0"/>
    <s v="03/2024"/>
    <x v="2"/>
    <s v="Moyenne"/>
  </r>
  <r>
    <n v="1564"/>
    <x v="403"/>
    <x v="9"/>
    <x v="0"/>
    <x v="3"/>
    <x v="20"/>
    <n v="46"/>
    <n v="7000"/>
    <n v="0"/>
    <n v="322000"/>
    <x v="1412"/>
    <x v="0"/>
    <x v="0"/>
    <x v="7"/>
    <x v="0"/>
    <s v="02/2024"/>
    <x v="2"/>
    <s v="Grande"/>
  </r>
  <r>
    <n v="1565"/>
    <x v="601"/>
    <x v="6"/>
    <x v="0"/>
    <x v="3"/>
    <x v="6"/>
    <n v="16"/>
    <n v="11100"/>
    <n v="0"/>
    <n v="177600"/>
    <x v="834"/>
    <x v="0"/>
    <x v="3"/>
    <x v="11"/>
    <x v="1"/>
    <s v="05/2023"/>
    <x v="3"/>
    <s v="Moyenne"/>
  </r>
  <r>
    <n v="1566"/>
    <x v="561"/>
    <x v="0"/>
    <x v="1"/>
    <x v="0"/>
    <x v="10"/>
    <n v="35"/>
    <n v="28600"/>
    <n v="15"/>
    <n v="1001000"/>
    <x v="1413"/>
    <x v="0"/>
    <x v="2"/>
    <x v="10"/>
    <x v="1"/>
    <s v="12/2023"/>
    <x v="0"/>
    <s v="Grande"/>
  </r>
  <r>
    <n v="1567"/>
    <x v="291"/>
    <x v="6"/>
    <x v="3"/>
    <x v="1"/>
    <x v="1"/>
    <n v="8"/>
    <n v="8600"/>
    <n v="0"/>
    <n v="68800"/>
    <x v="1414"/>
    <x v="1"/>
    <x v="3"/>
    <x v="0"/>
    <x v="0"/>
    <s v="10/2024"/>
    <x v="0"/>
    <s v="Moyenne"/>
  </r>
  <r>
    <n v="1568"/>
    <x v="570"/>
    <x v="1"/>
    <x v="3"/>
    <x v="1"/>
    <x v="18"/>
    <n v="45"/>
    <n v="90200"/>
    <n v="0"/>
    <n v="4059000"/>
    <x v="1415"/>
    <x v="0"/>
    <x v="0"/>
    <x v="2"/>
    <x v="1"/>
    <s v="03/2023"/>
    <x v="2"/>
    <s v="Grande"/>
  </r>
  <r>
    <n v="1569"/>
    <x v="10"/>
    <x v="5"/>
    <x v="4"/>
    <x v="2"/>
    <x v="37"/>
    <n v="49"/>
    <n v="3100"/>
    <n v="0"/>
    <n v="151900"/>
    <x v="1416"/>
    <x v="0"/>
    <x v="2"/>
    <x v="1"/>
    <x v="1"/>
    <s v="08/2023"/>
    <x v="1"/>
    <s v="Moyenne"/>
  </r>
  <r>
    <n v="1570"/>
    <x v="660"/>
    <x v="4"/>
    <x v="1"/>
    <x v="1"/>
    <x v="9"/>
    <n v="3"/>
    <n v="9300"/>
    <n v="0"/>
    <n v="27900"/>
    <x v="592"/>
    <x v="0"/>
    <x v="0"/>
    <x v="8"/>
    <x v="0"/>
    <s v="06/2024"/>
    <x v="3"/>
    <s v="Petite"/>
  </r>
  <r>
    <n v="1571"/>
    <x v="611"/>
    <x v="9"/>
    <x v="1"/>
    <x v="1"/>
    <x v="11"/>
    <n v="38"/>
    <n v="6500"/>
    <n v="5"/>
    <n v="247000"/>
    <x v="1417"/>
    <x v="2"/>
    <x v="1"/>
    <x v="1"/>
    <x v="1"/>
    <s v="08/2023"/>
    <x v="1"/>
    <s v="Grande"/>
  </r>
  <r>
    <n v="1572"/>
    <x v="486"/>
    <x v="6"/>
    <x v="3"/>
    <x v="1"/>
    <x v="32"/>
    <n v="24"/>
    <n v="2400"/>
    <n v="20"/>
    <n v="57600"/>
    <x v="1418"/>
    <x v="0"/>
    <x v="1"/>
    <x v="8"/>
    <x v="1"/>
    <s v="06/2023"/>
    <x v="3"/>
    <s v="Petite"/>
  </r>
  <r>
    <n v="1573"/>
    <x v="354"/>
    <x v="9"/>
    <x v="2"/>
    <x v="0"/>
    <x v="0"/>
    <n v="17"/>
    <n v="21600"/>
    <n v="5"/>
    <n v="367200"/>
    <x v="1419"/>
    <x v="0"/>
    <x v="3"/>
    <x v="3"/>
    <x v="1"/>
    <s v="07/2023"/>
    <x v="1"/>
    <s v="Grande"/>
  </r>
  <r>
    <n v="1574"/>
    <x v="90"/>
    <x v="8"/>
    <x v="3"/>
    <x v="3"/>
    <x v="25"/>
    <n v="8"/>
    <n v="7100"/>
    <n v="15"/>
    <n v="56800"/>
    <x v="1420"/>
    <x v="0"/>
    <x v="0"/>
    <x v="9"/>
    <x v="1"/>
    <s v="01/2023"/>
    <x v="2"/>
    <s v="Petite"/>
  </r>
  <r>
    <n v="1575"/>
    <x v="419"/>
    <x v="5"/>
    <x v="3"/>
    <x v="0"/>
    <x v="0"/>
    <n v="20"/>
    <n v="24700"/>
    <n v="15"/>
    <n v="494000"/>
    <x v="1421"/>
    <x v="0"/>
    <x v="0"/>
    <x v="3"/>
    <x v="1"/>
    <s v="07/2023"/>
    <x v="1"/>
    <s v="Grande"/>
  </r>
  <r>
    <n v="1576"/>
    <x v="98"/>
    <x v="5"/>
    <x v="5"/>
    <x v="0"/>
    <x v="0"/>
    <n v="20"/>
    <n v="22600"/>
    <n v="20"/>
    <n v="452000"/>
    <x v="1422"/>
    <x v="0"/>
    <x v="1"/>
    <x v="2"/>
    <x v="0"/>
    <s v="03/2024"/>
    <x v="2"/>
    <s v="Grande"/>
  </r>
  <r>
    <n v="1577"/>
    <x v="118"/>
    <x v="5"/>
    <x v="1"/>
    <x v="4"/>
    <x v="15"/>
    <n v="26"/>
    <n v="7600"/>
    <n v="5"/>
    <n v="197600"/>
    <x v="1423"/>
    <x v="0"/>
    <x v="1"/>
    <x v="1"/>
    <x v="1"/>
    <s v="08/2023"/>
    <x v="1"/>
    <s v="Moyenne"/>
  </r>
  <r>
    <n v="1578"/>
    <x v="661"/>
    <x v="2"/>
    <x v="3"/>
    <x v="0"/>
    <x v="0"/>
    <n v="7"/>
    <n v="20200"/>
    <n v="10"/>
    <n v="141400"/>
    <x v="1424"/>
    <x v="2"/>
    <x v="0"/>
    <x v="8"/>
    <x v="0"/>
    <s v="06/2024"/>
    <x v="3"/>
    <s v="Moyenne"/>
  </r>
  <r>
    <n v="1579"/>
    <x v="624"/>
    <x v="1"/>
    <x v="2"/>
    <x v="1"/>
    <x v="32"/>
    <n v="47"/>
    <n v="2500"/>
    <n v="0"/>
    <n v="117500"/>
    <x v="411"/>
    <x v="0"/>
    <x v="1"/>
    <x v="7"/>
    <x v="1"/>
    <s v="02/2023"/>
    <x v="2"/>
    <s v="Moyenne"/>
  </r>
  <r>
    <n v="1580"/>
    <x v="245"/>
    <x v="3"/>
    <x v="4"/>
    <x v="2"/>
    <x v="23"/>
    <n v="24"/>
    <n v="5200"/>
    <n v="15"/>
    <n v="124800"/>
    <x v="1061"/>
    <x v="0"/>
    <x v="2"/>
    <x v="7"/>
    <x v="1"/>
    <s v="02/2023"/>
    <x v="2"/>
    <s v="Moyenne"/>
  </r>
  <r>
    <n v="1581"/>
    <x v="449"/>
    <x v="4"/>
    <x v="0"/>
    <x v="1"/>
    <x v="32"/>
    <n v="30"/>
    <n v="2300"/>
    <n v="0"/>
    <n v="69000"/>
    <x v="1009"/>
    <x v="3"/>
    <x v="1"/>
    <x v="9"/>
    <x v="1"/>
    <s v="01/2023"/>
    <x v="2"/>
    <s v="Moyenne"/>
  </r>
  <r>
    <n v="1582"/>
    <x v="539"/>
    <x v="1"/>
    <x v="1"/>
    <x v="2"/>
    <x v="38"/>
    <n v="47"/>
    <n v="13000"/>
    <n v="0"/>
    <n v="611000"/>
    <x v="1425"/>
    <x v="0"/>
    <x v="3"/>
    <x v="0"/>
    <x v="0"/>
    <s v="10/2024"/>
    <x v="0"/>
    <s v="Grande"/>
  </r>
  <r>
    <n v="1583"/>
    <x v="178"/>
    <x v="9"/>
    <x v="1"/>
    <x v="1"/>
    <x v="12"/>
    <n v="26"/>
    <n v="17200"/>
    <n v="0"/>
    <n v="447200"/>
    <x v="1426"/>
    <x v="1"/>
    <x v="0"/>
    <x v="9"/>
    <x v="1"/>
    <s v="01/2023"/>
    <x v="2"/>
    <s v="Grande"/>
  </r>
  <r>
    <n v="1584"/>
    <x v="518"/>
    <x v="7"/>
    <x v="1"/>
    <x v="4"/>
    <x v="30"/>
    <n v="37"/>
    <n v="32000"/>
    <n v="20"/>
    <n v="1184000"/>
    <x v="1427"/>
    <x v="2"/>
    <x v="0"/>
    <x v="11"/>
    <x v="0"/>
    <s v="05/2024"/>
    <x v="3"/>
    <s v="Grande"/>
  </r>
  <r>
    <n v="1585"/>
    <x v="292"/>
    <x v="4"/>
    <x v="1"/>
    <x v="2"/>
    <x v="16"/>
    <n v="18"/>
    <n v="8700"/>
    <n v="0"/>
    <n v="156600"/>
    <x v="1428"/>
    <x v="3"/>
    <x v="1"/>
    <x v="0"/>
    <x v="1"/>
    <s v="10/2023"/>
    <x v="0"/>
    <s v="Moyenne"/>
  </r>
  <r>
    <n v="1586"/>
    <x v="135"/>
    <x v="8"/>
    <x v="0"/>
    <x v="1"/>
    <x v="9"/>
    <n v="45"/>
    <n v="9400"/>
    <n v="15"/>
    <n v="423000"/>
    <x v="1429"/>
    <x v="0"/>
    <x v="1"/>
    <x v="3"/>
    <x v="0"/>
    <s v="07/2024"/>
    <x v="1"/>
    <s v="Grande"/>
  </r>
  <r>
    <n v="1587"/>
    <x v="160"/>
    <x v="4"/>
    <x v="5"/>
    <x v="1"/>
    <x v="11"/>
    <n v="31"/>
    <n v="6100"/>
    <n v="15"/>
    <n v="189100"/>
    <x v="1430"/>
    <x v="0"/>
    <x v="3"/>
    <x v="7"/>
    <x v="1"/>
    <s v="02/2023"/>
    <x v="2"/>
    <s v="Moyenne"/>
  </r>
  <r>
    <n v="1588"/>
    <x v="262"/>
    <x v="2"/>
    <x v="3"/>
    <x v="2"/>
    <x v="37"/>
    <n v="23"/>
    <n v="3500"/>
    <n v="0"/>
    <n v="80500"/>
    <x v="1431"/>
    <x v="0"/>
    <x v="2"/>
    <x v="9"/>
    <x v="0"/>
    <s v="01/2024"/>
    <x v="2"/>
    <s v="Moyenne"/>
  </r>
  <r>
    <n v="1589"/>
    <x v="662"/>
    <x v="3"/>
    <x v="2"/>
    <x v="2"/>
    <x v="2"/>
    <n v="27"/>
    <n v="5800"/>
    <n v="0"/>
    <n v="156600"/>
    <x v="1428"/>
    <x v="0"/>
    <x v="2"/>
    <x v="6"/>
    <x v="0"/>
    <s v="04/2024"/>
    <x v="3"/>
    <s v="Moyenne"/>
  </r>
  <r>
    <n v="1590"/>
    <x v="283"/>
    <x v="4"/>
    <x v="4"/>
    <x v="0"/>
    <x v="39"/>
    <n v="29"/>
    <n v="8500"/>
    <n v="0"/>
    <n v="246500"/>
    <x v="1432"/>
    <x v="1"/>
    <x v="1"/>
    <x v="1"/>
    <x v="0"/>
    <s v="08/2024"/>
    <x v="1"/>
    <s v="Grande"/>
  </r>
  <r>
    <n v="1591"/>
    <x v="252"/>
    <x v="2"/>
    <x v="4"/>
    <x v="3"/>
    <x v="27"/>
    <n v="48"/>
    <n v="12400"/>
    <n v="20"/>
    <n v="595200"/>
    <x v="1433"/>
    <x v="0"/>
    <x v="1"/>
    <x v="10"/>
    <x v="1"/>
    <s v="12/2023"/>
    <x v="0"/>
    <s v="Grande"/>
  </r>
  <r>
    <n v="1592"/>
    <x v="419"/>
    <x v="7"/>
    <x v="0"/>
    <x v="4"/>
    <x v="8"/>
    <n v="35"/>
    <n v="74600"/>
    <n v="10"/>
    <n v="2611000"/>
    <x v="1434"/>
    <x v="0"/>
    <x v="0"/>
    <x v="3"/>
    <x v="1"/>
    <s v="07/2023"/>
    <x v="1"/>
    <s v="Grande"/>
  </r>
  <r>
    <n v="1593"/>
    <x v="303"/>
    <x v="4"/>
    <x v="3"/>
    <x v="2"/>
    <x v="3"/>
    <n v="22"/>
    <n v="1900"/>
    <n v="0"/>
    <n v="41800"/>
    <x v="1435"/>
    <x v="0"/>
    <x v="3"/>
    <x v="11"/>
    <x v="1"/>
    <s v="05/2023"/>
    <x v="3"/>
    <s v="Petite"/>
  </r>
  <r>
    <n v="1594"/>
    <x v="622"/>
    <x v="2"/>
    <x v="1"/>
    <x v="3"/>
    <x v="25"/>
    <n v="23"/>
    <n v="7200"/>
    <n v="0"/>
    <n v="165600"/>
    <x v="1371"/>
    <x v="1"/>
    <x v="0"/>
    <x v="9"/>
    <x v="0"/>
    <s v="01/2024"/>
    <x v="2"/>
    <s v="Moyenne"/>
  </r>
  <r>
    <n v="1595"/>
    <x v="7"/>
    <x v="8"/>
    <x v="4"/>
    <x v="2"/>
    <x v="38"/>
    <n v="33"/>
    <n v="15700"/>
    <n v="0"/>
    <n v="518100"/>
    <x v="1436"/>
    <x v="1"/>
    <x v="2"/>
    <x v="0"/>
    <x v="0"/>
    <s v="10/2024"/>
    <x v="0"/>
    <s v="Grande"/>
  </r>
  <r>
    <n v="1596"/>
    <x v="392"/>
    <x v="4"/>
    <x v="4"/>
    <x v="4"/>
    <x v="17"/>
    <n v="35"/>
    <n v="127200"/>
    <n v="0"/>
    <n v="4452000"/>
    <x v="1437"/>
    <x v="0"/>
    <x v="1"/>
    <x v="2"/>
    <x v="1"/>
    <s v="03/2023"/>
    <x v="2"/>
    <s v="Grande"/>
  </r>
  <r>
    <n v="1597"/>
    <x v="604"/>
    <x v="1"/>
    <x v="2"/>
    <x v="1"/>
    <x v="1"/>
    <n v="50"/>
    <n v="8000"/>
    <n v="0"/>
    <n v="400000"/>
    <x v="1438"/>
    <x v="1"/>
    <x v="0"/>
    <x v="9"/>
    <x v="1"/>
    <s v="01/2023"/>
    <x v="2"/>
    <s v="Grande"/>
  </r>
  <r>
    <n v="1598"/>
    <x v="322"/>
    <x v="0"/>
    <x v="1"/>
    <x v="0"/>
    <x v="21"/>
    <n v="39"/>
    <n v="4100"/>
    <n v="0"/>
    <n v="159900"/>
    <x v="1439"/>
    <x v="0"/>
    <x v="2"/>
    <x v="1"/>
    <x v="0"/>
    <s v="08/2024"/>
    <x v="1"/>
    <s v="Moyenne"/>
  </r>
  <r>
    <n v="1599"/>
    <x v="210"/>
    <x v="4"/>
    <x v="1"/>
    <x v="3"/>
    <x v="36"/>
    <n v="38"/>
    <n v="4000"/>
    <n v="0"/>
    <n v="152000"/>
    <x v="318"/>
    <x v="0"/>
    <x v="4"/>
    <x v="7"/>
    <x v="1"/>
    <s v="02/2023"/>
    <x v="2"/>
    <s v="Moyenne"/>
  </r>
  <r>
    <n v="1600"/>
    <x v="476"/>
    <x v="3"/>
    <x v="2"/>
    <x v="1"/>
    <x v="32"/>
    <n v="25"/>
    <n v="2700"/>
    <n v="5"/>
    <n v="67500"/>
    <x v="1440"/>
    <x v="1"/>
    <x v="0"/>
    <x v="11"/>
    <x v="0"/>
    <s v="05/2024"/>
    <x v="3"/>
    <s v="Moyenne"/>
  </r>
  <r>
    <n v="1601"/>
    <x v="80"/>
    <x v="9"/>
    <x v="3"/>
    <x v="0"/>
    <x v="5"/>
    <n v="25"/>
    <n v="4000"/>
    <n v="20"/>
    <n v="100000"/>
    <x v="505"/>
    <x v="0"/>
    <x v="2"/>
    <x v="8"/>
    <x v="0"/>
    <s v="06/2024"/>
    <x v="3"/>
    <s v="Moyenne"/>
  </r>
  <r>
    <n v="1602"/>
    <x v="268"/>
    <x v="8"/>
    <x v="5"/>
    <x v="3"/>
    <x v="19"/>
    <n v="47"/>
    <n v="2000"/>
    <n v="5"/>
    <n v="94000"/>
    <x v="1441"/>
    <x v="1"/>
    <x v="0"/>
    <x v="2"/>
    <x v="1"/>
    <s v="03/2023"/>
    <x v="2"/>
    <s v="Moyenne"/>
  </r>
  <r>
    <n v="1603"/>
    <x v="651"/>
    <x v="3"/>
    <x v="4"/>
    <x v="3"/>
    <x v="36"/>
    <n v="20"/>
    <n v="3500"/>
    <n v="0"/>
    <n v="70000"/>
    <x v="371"/>
    <x v="0"/>
    <x v="2"/>
    <x v="9"/>
    <x v="0"/>
    <s v="01/2024"/>
    <x v="2"/>
    <s v="Moyenne"/>
  </r>
  <r>
    <n v="1604"/>
    <x v="221"/>
    <x v="7"/>
    <x v="5"/>
    <x v="1"/>
    <x v="12"/>
    <n v="44"/>
    <n v="18900"/>
    <n v="0"/>
    <n v="831600"/>
    <x v="1442"/>
    <x v="1"/>
    <x v="2"/>
    <x v="5"/>
    <x v="0"/>
    <s v="09/2024"/>
    <x v="1"/>
    <s v="Grande"/>
  </r>
  <r>
    <n v="1605"/>
    <x v="663"/>
    <x v="6"/>
    <x v="1"/>
    <x v="0"/>
    <x v="21"/>
    <n v="35"/>
    <n v="5000"/>
    <n v="0"/>
    <n v="175000"/>
    <x v="1443"/>
    <x v="1"/>
    <x v="0"/>
    <x v="11"/>
    <x v="0"/>
    <s v="05/2024"/>
    <x v="3"/>
    <s v="Moyenne"/>
  </r>
  <r>
    <n v="1606"/>
    <x v="86"/>
    <x v="0"/>
    <x v="3"/>
    <x v="4"/>
    <x v="30"/>
    <n v="19"/>
    <n v="31500"/>
    <n v="0"/>
    <n v="598500"/>
    <x v="1444"/>
    <x v="2"/>
    <x v="0"/>
    <x v="1"/>
    <x v="0"/>
    <s v="08/2024"/>
    <x v="1"/>
    <s v="Grande"/>
  </r>
  <r>
    <n v="1607"/>
    <x v="664"/>
    <x v="3"/>
    <x v="1"/>
    <x v="1"/>
    <x v="12"/>
    <n v="5"/>
    <n v="20600"/>
    <n v="0"/>
    <n v="103000"/>
    <x v="1445"/>
    <x v="0"/>
    <x v="2"/>
    <x v="3"/>
    <x v="0"/>
    <s v="07/2024"/>
    <x v="1"/>
    <s v="Moyenne"/>
  </r>
  <r>
    <n v="1608"/>
    <x v="665"/>
    <x v="7"/>
    <x v="4"/>
    <x v="4"/>
    <x v="35"/>
    <n v="15"/>
    <n v="92700"/>
    <n v="0"/>
    <n v="1390500"/>
    <x v="1446"/>
    <x v="0"/>
    <x v="2"/>
    <x v="8"/>
    <x v="1"/>
    <s v="06/2023"/>
    <x v="3"/>
    <s v="Grande"/>
  </r>
  <r>
    <n v="1609"/>
    <x v="278"/>
    <x v="8"/>
    <x v="5"/>
    <x v="1"/>
    <x v="12"/>
    <n v="48"/>
    <n v="16800"/>
    <n v="5"/>
    <n v="806400"/>
    <x v="669"/>
    <x v="3"/>
    <x v="0"/>
    <x v="10"/>
    <x v="0"/>
    <s v="12/2024"/>
    <x v="0"/>
    <s v="Grande"/>
  </r>
  <r>
    <n v="1610"/>
    <x v="474"/>
    <x v="3"/>
    <x v="1"/>
    <x v="1"/>
    <x v="11"/>
    <n v="7"/>
    <n v="6400"/>
    <n v="0"/>
    <n v="44800"/>
    <x v="1038"/>
    <x v="0"/>
    <x v="0"/>
    <x v="11"/>
    <x v="0"/>
    <s v="05/2024"/>
    <x v="3"/>
    <s v="Petite"/>
  </r>
  <r>
    <n v="1611"/>
    <x v="536"/>
    <x v="2"/>
    <x v="1"/>
    <x v="1"/>
    <x v="14"/>
    <n v="43"/>
    <n v="110600"/>
    <n v="10"/>
    <n v="4755800"/>
    <x v="1447"/>
    <x v="0"/>
    <x v="2"/>
    <x v="2"/>
    <x v="0"/>
    <s v="03/2024"/>
    <x v="2"/>
    <s v="Grande"/>
  </r>
  <r>
    <n v="1612"/>
    <x v="238"/>
    <x v="6"/>
    <x v="0"/>
    <x v="1"/>
    <x v="12"/>
    <n v="12"/>
    <n v="16600"/>
    <n v="15"/>
    <n v="199200"/>
    <x v="1448"/>
    <x v="1"/>
    <x v="2"/>
    <x v="3"/>
    <x v="1"/>
    <s v="07/2023"/>
    <x v="1"/>
    <s v="Moyenne"/>
  </r>
  <r>
    <n v="1613"/>
    <x v="57"/>
    <x v="3"/>
    <x v="3"/>
    <x v="0"/>
    <x v="5"/>
    <n v="43"/>
    <n v="3200"/>
    <n v="0"/>
    <n v="137600"/>
    <x v="1449"/>
    <x v="0"/>
    <x v="2"/>
    <x v="3"/>
    <x v="0"/>
    <s v="07/2024"/>
    <x v="1"/>
    <s v="Moyenne"/>
  </r>
  <r>
    <n v="1614"/>
    <x v="554"/>
    <x v="1"/>
    <x v="4"/>
    <x v="2"/>
    <x v="13"/>
    <n v="48"/>
    <n v="4100"/>
    <n v="0"/>
    <n v="196800"/>
    <x v="375"/>
    <x v="1"/>
    <x v="0"/>
    <x v="3"/>
    <x v="0"/>
    <s v="07/2024"/>
    <x v="1"/>
    <s v="Moyenne"/>
  </r>
  <r>
    <n v="1615"/>
    <x v="216"/>
    <x v="2"/>
    <x v="0"/>
    <x v="1"/>
    <x v="32"/>
    <n v="1"/>
    <n v="2600"/>
    <n v="0"/>
    <n v="2600"/>
    <x v="1450"/>
    <x v="0"/>
    <x v="1"/>
    <x v="2"/>
    <x v="1"/>
    <s v="03/2023"/>
    <x v="2"/>
    <s v="Petite"/>
  </r>
  <r>
    <n v="1616"/>
    <x v="238"/>
    <x v="8"/>
    <x v="4"/>
    <x v="2"/>
    <x v="2"/>
    <n v="14"/>
    <n v="5500"/>
    <n v="10"/>
    <n v="77000"/>
    <x v="324"/>
    <x v="0"/>
    <x v="2"/>
    <x v="3"/>
    <x v="1"/>
    <s v="07/2023"/>
    <x v="1"/>
    <s v="Moyenne"/>
  </r>
  <r>
    <n v="1617"/>
    <x v="541"/>
    <x v="2"/>
    <x v="0"/>
    <x v="2"/>
    <x v="13"/>
    <n v="10"/>
    <n v="4700"/>
    <n v="5"/>
    <n v="47000"/>
    <x v="1451"/>
    <x v="2"/>
    <x v="0"/>
    <x v="0"/>
    <x v="0"/>
    <s v="10/2024"/>
    <x v="0"/>
    <s v="Petite"/>
  </r>
  <r>
    <n v="1618"/>
    <x v="296"/>
    <x v="0"/>
    <x v="3"/>
    <x v="2"/>
    <x v="3"/>
    <n v="27"/>
    <n v="1900"/>
    <n v="0"/>
    <n v="51300"/>
    <x v="1452"/>
    <x v="1"/>
    <x v="3"/>
    <x v="8"/>
    <x v="0"/>
    <s v="06/2024"/>
    <x v="3"/>
    <s v="Moyenne"/>
  </r>
  <r>
    <n v="1619"/>
    <x v="258"/>
    <x v="7"/>
    <x v="0"/>
    <x v="4"/>
    <x v="35"/>
    <n v="50"/>
    <n v="106200"/>
    <n v="15"/>
    <n v="5310000"/>
    <x v="1453"/>
    <x v="0"/>
    <x v="1"/>
    <x v="5"/>
    <x v="1"/>
    <s v="09/2023"/>
    <x v="1"/>
    <s v="Grande"/>
  </r>
  <r>
    <n v="1620"/>
    <x v="622"/>
    <x v="7"/>
    <x v="1"/>
    <x v="3"/>
    <x v="33"/>
    <n v="9"/>
    <n v="4900"/>
    <n v="15"/>
    <n v="44100"/>
    <x v="1454"/>
    <x v="0"/>
    <x v="2"/>
    <x v="9"/>
    <x v="0"/>
    <s v="01/2024"/>
    <x v="2"/>
    <s v="Petite"/>
  </r>
  <r>
    <n v="1621"/>
    <x v="576"/>
    <x v="6"/>
    <x v="4"/>
    <x v="3"/>
    <x v="7"/>
    <n v="5"/>
    <n v="22500"/>
    <n v="5"/>
    <n v="112500"/>
    <x v="1455"/>
    <x v="0"/>
    <x v="0"/>
    <x v="10"/>
    <x v="0"/>
    <s v="12/2024"/>
    <x v="0"/>
    <s v="Moyenne"/>
  </r>
  <r>
    <n v="1622"/>
    <x v="8"/>
    <x v="2"/>
    <x v="0"/>
    <x v="2"/>
    <x v="38"/>
    <n v="26"/>
    <n v="13900"/>
    <n v="0"/>
    <n v="361400"/>
    <x v="1456"/>
    <x v="0"/>
    <x v="3"/>
    <x v="5"/>
    <x v="1"/>
    <s v="09/2023"/>
    <x v="1"/>
    <s v="Grande"/>
  </r>
  <r>
    <n v="1623"/>
    <x v="351"/>
    <x v="9"/>
    <x v="2"/>
    <x v="0"/>
    <x v="5"/>
    <n v="25"/>
    <n v="3600"/>
    <n v="5"/>
    <n v="90000"/>
    <x v="1457"/>
    <x v="1"/>
    <x v="1"/>
    <x v="7"/>
    <x v="0"/>
    <s v="02/2024"/>
    <x v="2"/>
    <s v="Moyenne"/>
  </r>
  <r>
    <n v="1624"/>
    <x v="641"/>
    <x v="0"/>
    <x v="1"/>
    <x v="0"/>
    <x v="10"/>
    <n v="18"/>
    <n v="27000"/>
    <n v="10"/>
    <n v="486000"/>
    <x v="264"/>
    <x v="3"/>
    <x v="3"/>
    <x v="10"/>
    <x v="1"/>
    <s v="12/2023"/>
    <x v="0"/>
    <s v="Grande"/>
  </r>
  <r>
    <n v="1625"/>
    <x v="296"/>
    <x v="5"/>
    <x v="2"/>
    <x v="0"/>
    <x v="0"/>
    <n v="23"/>
    <n v="22900"/>
    <n v="20"/>
    <n v="526700"/>
    <x v="1458"/>
    <x v="3"/>
    <x v="1"/>
    <x v="8"/>
    <x v="0"/>
    <s v="06/2024"/>
    <x v="3"/>
    <s v="Grande"/>
  </r>
  <r>
    <n v="1626"/>
    <x v="596"/>
    <x v="2"/>
    <x v="1"/>
    <x v="0"/>
    <x v="34"/>
    <n v="43"/>
    <n v="33600"/>
    <n v="20"/>
    <n v="1444800"/>
    <x v="1459"/>
    <x v="1"/>
    <x v="1"/>
    <x v="0"/>
    <x v="1"/>
    <s v="10/2023"/>
    <x v="0"/>
    <s v="Grande"/>
  </r>
  <r>
    <n v="1627"/>
    <x v="184"/>
    <x v="4"/>
    <x v="4"/>
    <x v="0"/>
    <x v="39"/>
    <n v="30"/>
    <n v="7600"/>
    <n v="0"/>
    <n v="228000"/>
    <x v="117"/>
    <x v="0"/>
    <x v="1"/>
    <x v="11"/>
    <x v="0"/>
    <s v="05/2024"/>
    <x v="3"/>
    <s v="Grande"/>
  </r>
  <r>
    <n v="1628"/>
    <x v="369"/>
    <x v="5"/>
    <x v="4"/>
    <x v="3"/>
    <x v="27"/>
    <n v="42"/>
    <n v="11300"/>
    <n v="0"/>
    <n v="474600"/>
    <x v="1460"/>
    <x v="1"/>
    <x v="3"/>
    <x v="0"/>
    <x v="1"/>
    <s v="10/2023"/>
    <x v="0"/>
    <s v="Grande"/>
  </r>
  <r>
    <n v="1629"/>
    <x v="666"/>
    <x v="8"/>
    <x v="2"/>
    <x v="3"/>
    <x v="36"/>
    <n v="10"/>
    <n v="3900"/>
    <n v="0"/>
    <n v="39000"/>
    <x v="1461"/>
    <x v="0"/>
    <x v="0"/>
    <x v="8"/>
    <x v="0"/>
    <s v="06/2024"/>
    <x v="3"/>
    <s v="Petite"/>
  </r>
  <r>
    <n v="1630"/>
    <x v="171"/>
    <x v="7"/>
    <x v="3"/>
    <x v="4"/>
    <x v="35"/>
    <n v="17"/>
    <n v="87100"/>
    <n v="10"/>
    <n v="1480700"/>
    <x v="1462"/>
    <x v="2"/>
    <x v="2"/>
    <x v="1"/>
    <x v="1"/>
    <s v="08/2023"/>
    <x v="1"/>
    <s v="Grande"/>
  </r>
  <r>
    <n v="1631"/>
    <x v="197"/>
    <x v="4"/>
    <x v="3"/>
    <x v="3"/>
    <x v="25"/>
    <n v="4"/>
    <n v="7100"/>
    <n v="10"/>
    <n v="28400"/>
    <x v="1463"/>
    <x v="3"/>
    <x v="2"/>
    <x v="1"/>
    <x v="0"/>
    <s v="08/2024"/>
    <x v="1"/>
    <s v="Petite"/>
  </r>
  <r>
    <n v="1632"/>
    <x v="126"/>
    <x v="8"/>
    <x v="1"/>
    <x v="4"/>
    <x v="15"/>
    <n v="12"/>
    <n v="7000"/>
    <n v="0"/>
    <n v="84000"/>
    <x v="380"/>
    <x v="0"/>
    <x v="0"/>
    <x v="6"/>
    <x v="1"/>
    <s v="04/2023"/>
    <x v="3"/>
    <s v="Moyenne"/>
  </r>
  <r>
    <n v="1633"/>
    <x v="40"/>
    <x v="4"/>
    <x v="0"/>
    <x v="3"/>
    <x v="7"/>
    <n v="7"/>
    <n v="20500"/>
    <n v="0"/>
    <n v="143500"/>
    <x v="1464"/>
    <x v="2"/>
    <x v="2"/>
    <x v="2"/>
    <x v="1"/>
    <s v="03/2023"/>
    <x v="2"/>
    <s v="Moyenne"/>
  </r>
  <r>
    <n v="1634"/>
    <x v="310"/>
    <x v="9"/>
    <x v="0"/>
    <x v="1"/>
    <x v="14"/>
    <n v="40"/>
    <n v="118100"/>
    <n v="0"/>
    <n v="4724000"/>
    <x v="1465"/>
    <x v="1"/>
    <x v="3"/>
    <x v="0"/>
    <x v="1"/>
    <s v="10/2023"/>
    <x v="0"/>
    <s v="Grande"/>
  </r>
  <r>
    <n v="1635"/>
    <x v="384"/>
    <x v="5"/>
    <x v="4"/>
    <x v="3"/>
    <x v="7"/>
    <n v="23"/>
    <n v="24900"/>
    <n v="0"/>
    <n v="572700"/>
    <x v="1466"/>
    <x v="1"/>
    <x v="1"/>
    <x v="6"/>
    <x v="1"/>
    <s v="04/2023"/>
    <x v="3"/>
    <s v="Grande"/>
  </r>
  <r>
    <n v="1636"/>
    <x v="214"/>
    <x v="9"/>
    <x v="2"/>
    <x v="2"/>
    <x v="13"/>
    <n v="25"/>
    <n v="4600"/>
    <n v="0"/>
    <n v="115000"/>
    <x v="830"/>
    <x v="0"/>
    <x v="0"/>
    <x v="3"/>
    <x v="0"/>
    <s v="07/2024"/>
    <x v="1"/>
    <s v="Moyenne"/>
  </r>
  <r>
    <n v="1637"/>
    <x v="527"/>
    <x v="9"/>
    <x v="3"/>
    <x v="0"/>
    <x v="5"/>
    <n v="16"/>
    <n v="3300"/>
    <n v="0"/>
    <n v="52800"/>
    <x v="555"/>
    <x v="1"/>
    <x v="1"/>
    <x v="6"/>
    <x v="1"/>
    <s v="04/2023"/>
    <x v="3"/>
    <s v="Moyenne"/>
  </r>
  <r>
    <n v="1638"/>
    <x v="186"/>
    <x v="9"/>
    <x v="4"/>
    <x v="2"/>
    <x v="3"/>
    <n v="1"/>
    <n v="1700"/>
    <n v="5"/>
    <n v="1700"/>
    <x v="1467"/>
    <x v="0"/>
    <x v="3"/>
    <x v="6"/>
    <x v="0"/>
    <s v="04/2024"/>
    <x v="3"/>
    <s v="Petite"/>
  </r>
  <r>
    <n v="1639"/>
    <x v="46"/>
    <x v="9"/>
    <x v="1"/>
    <x v="4"/>
    <x v="26"/>
    <n v="6"/>
    <n v="40200"/>
    <n v="5"/>
    <n v="241200"/>
    <x v="1468"/>
    <x v="0"/>
    <x v="2"/>
    <x v="1"/>
    <x v="0"/>
    <s v="08/2024"/>
    <x v="1"/>
    <s v="Grande"/>
  </r>
  <r>
    <n v="1640"/>
    <x v="667"/>
    <x v="7"/>
    <x v="3"/>
    <x v="4"/>
    <x v="35"/>
    <n v="18"/>
    <n v="98400"/>
    <n v="5"/>
    <n v="1771200"/>
    <x v="1469"/>
    <x v="0"/>
    <x v="2"/>
    <x v="8"/>
    <x v="1"/>
    <s v="06/2023"/>
    <x v="3"/>
    <s v="Grande"/>
  </r>
  <r>
    <n v="1641"/>
    <x v="614"/>
    <x v="3"/>
    <x v="2"/>
    <x v="1"/>
    <x v="31"/>
    <n v="25"/>
    <n v="25700"/>
    <n v="0"/>
    <n v="642500"/>
    <x v="1470"/>
    <x v="1"/>
    <x v="1"/>
    <x v="8"/>
    <x v="0"/>
    <s v="06/2024"/>
    <x v="3"/>
    <s v="Grande"/>
  </r>
  <r>
    <n v="1642"/>
    <x v="155"/>
    <x v="0"/>
    <x v="3"/>
    <x v="4"/>
    <x v="30"/>
    <n v="14"/>
    <n v="30700"/>
    <n v="5"/>
    <n v="429800"/>
    <x v="1471"/>
    <x v="0"/>
    <x v="3"/>
    <x v="11"/>
    <x v="1"/>
    <s v="05/2023"/>
    <x v="3"/>
    <s v="Grande"/>
  </r>
  <r>
    <n v="1643"/>
    <x v="586"/>
    <x v="5"/>
    <x v="2"/>
    <x v="2"/>
    <x v="23"/>
    <n v="31"/>
    <n v="5000"/>
    <n v="15"/>
    <n v="155000"/>
    <x v="1472"/>
    <x v="3"/>
    <x v="1"/>
    <x v="1"/>
    <x v="1"/>
    <s v="08/2023"/>
    <x v="1"/>
    <s v="Moyenne"/>
  </r>
  <r>
    <n v="1644"/>
    <x v="391"/>
    <x v="0"/>
    <x v="1"/>
    <x v="1"/>
    <x v="9"/>
    <n v="24"/>
    <n v="9400"/>
    <n v="5"/>
    <n v="225600"/>
    <x v="1473"/>
    <x v="0"/>
    <x v="2"/>
    <x v="10"/>
    <x v="0"/>
    <s v="12/2024"/>
    <x v="0"/>
    <s v="Grande"/>
  </r>
  <r>
    <n v="1645"/>
    <x v="404"/>
    <x v="7"/>
    <x v="0"/>
    <x v="4"/>
    <x v="17"/>
    <n v="18"/>
    <n v="113500"/>
    <n v="5"/>
    <n v="2043000"/>
    <x v="1474"/>
    <x v="0"/>
    <x v="3"/>
    <x v="9"/>
    <x v="0"/>
    <s v="01/2024"/>
    <x v="2"/>
    <s v="Grande"/>
  </r>
  <r>
    <n v="1646"/>
    <x v="264"/>
    <x v="6"/>
    <x v="4"/>
    <x v="3"/>
    <x v="33"/>
    <n v="25"/>
    <n v="5000"/>
    <n v="0"/>
    <n v="125000"/>
    <x v="269"/>
    <x v="0"/>
    <x v="1"/>
    <x v="4"/>
    <x v="1"/>
    <s v="11/2023"/>
    <x v="0"/>
    <s v="Moyenne"/>
  </r>
  <r>
    <n v="1647"/>
    <x v="207"/>
    <x v="6"/>
    <x v="0"/>
    <x v="3"/>
    <x v="20"/>
    <n v="34"/>
    <n v="6300"/>
    <n v="0"/>
    <n v="214200"/>
    <x v="1475"/>
    <x v="3"/>
    <x v="2"/>
    <x v="10"/>
    <x v="0"/>
    <s v="12/2024"/>
    <x v="0"/>
    <s v="Grande"/>
  </r>
  <r>
    <n v="1648"/>
    <x v="328"/>
    <x v="6"/>
    <x v="1"/>
    <x v="0"/>
    <x v="22"/>
    <n v="20"/>
    <n v="11500"/>
    <n v="0"/>
    <n v="230000"/>
    <x v="1476"/>
    <x v="0"/>
    <x v="0"/>
    <x v="0"/>
    <x v="1"/>
    <s v="10/2023"/>
    <x v="0"/>
    <s v="Grande"/>
  </r>
  <r>
    <n v="1649"/>
    <x v="475"/>
    <x v="9"/>
    <x v="0"/>
    <x v="3"/>
    <x v="6"/>
    <n v="31"/>
    <n v="9500"/>
    <n v="0"/>
    <n v="294500"/>
    <x v="1477"/>
    <x v="3"/>
    <x v="1"/>
    <x v="11"/>
    <x v="1"/>
    <s v="05/2023"/>
    <x v="3"/>
    <s v="Grande"/>
  </r>
  <r>
    <n v="1650"/>
    <x v="567"/>
    <x v="5"/>
    <x v="3"/>
    <x v="1"/>
    <x v="14"/>
    <n v="18"/>
    <n v="131200"/>
    <n v="10"/>
    <n v="2361600"/>
    <x v="1478"/>
    <x v="1"/>
    <x v="1"/>
    <x v="9"/>
    <x v="1"/>
    <s v="01/2023"/>
    <x v="2"/>
    <s v="Grande"/>
  </r>
  <r>
    <n v="1651"/>
    <x v="171"/>
    <x v="8"/>
    <x v="3"/>
    <x v="0"/>
    <x v="22"/>
    <n v="12"/>
    <n v="11300"/>
    <n v="0"/>
    <n v="135600"/>
    <x v="1479"/>
    <x v="0"/>
    <x v="0"/>
    <x v="1"/>
    <x v="1"/>
    <s v="08/2023"/>
    <x v="1"/>
    <s v="Moyenne"/>
  </r>
  <r>
    <n v="1652"/>
    <x v="219"/>
    <x v="4"/>
    <x v="3"/>
    <x v="1"/>
    <x v="18"/>
    <n v="11"/>
    <n v="84900"/>
    <n v="20"/>
    <n v="933900"/>
    <x v="1480"/>
    <x v="0"/>
    <x v="1"/>
    <x v="8"/>
    <x v="1"/>
    <s v="06/2023"/>
    <x v="3"/>
    <s v="Grande"/>
  </r>
  <r>
    <n v="1653"/>
    <x v="424"/>
    <x v="5"/>
    <x v="3"/>
    <x v="0"/>
    <x v="34"/>
    <n v="30"/>
    <n v="32500"/>
    <n v="15"/>
    <n v="975000"/>
    <x v="1481"/>
    <x v="0"/>
    <x v="0"/>
    <x v="11"/>
    <x v="1"/>
    <s v="05/2023"/>
    <x v="3"/>
    <s v="Grande"/>
  </r>
  <r>
    <n v="1654"/>
    <x v="534"/>
    <x v="6"/>
    <x v="3"/>
    <x v="1"/>
    <x v="14"/>
    <n v="9"/>
    <n v="137500"/>
    <n v="10"/>
    <n v="1237500"/>
    <x v="1482"/>
    <x v="0"/>
    <x v="2"/>
    <x v="10"/>
    <x v="1"/>
    <s v="12/2023"/>
    <x v="0"/>
    <s v="Grande"/>
  </r>
  <r>
    <n v="1655"/>
    <x v="382"/>
    <x v="7"/>
    <x v="3"/>
    <x v="3"/>
    <x v="25"/>
    <n v="30"/>
    <n v="8400"/>
    <n v="20"/>
    <n v="252000"/>
    <x v="1483"/>
    <x v="3"/>
    <x v="3"/>
    <x v="11"/>
    <x v="0"/>
    <s v="05/2024"/>
    <x v="3"/>
    <s v="Grande"/>
  </r>
  <r>
    <n v="1656"/>
    <x v="42"/>
    <x v="9"/>
    <x v="1"/>
    <x v="0"/>
    <x v="21"/>
    <n v="32"/>
    <n v="4200"/>
    <n v="0"/>
    <n v="134400"/>
    <x v="1484"/>
    <x v="0"/>
    <x v="0"/>
    <x v="10"/>
    <x v="0"/>
    <s v="12/2024"/>
    <x v="0"/>
    <s v="Moyenne"/>
  </r>
  <r>
    <n v="1657"/>
    <x v="223"/>
    <x v="9"/>
    <x v="2"/>
    <x v="0"/>
    <x v="10"/>
    <n v="27"/>
    <n v="29400"/>
    <n v="0"/>
    <n v="793800"/>
    <x v="1485"/>
    <x v="0"/>
    <x v="3"/>
    <x v="2"/>
    <x v="1"/>
    <s v="03/2023"/>
    <x v="2"/>
    <s v="Grande"/>
  </r>
  <r>
    <n v="1658"/>
    <x v="512"/>
    <x v="3"/>
    <x v="1"/>
    <x v="2"/>
    <x v="38"/>
    <n v="50"/>
    <n v="13400"/>
    <n v="5"/>
    <n v="670000"/>
    <x v="1486"/>
    <x v="0"/>
    <x v="1"/>
    <x v="9"/>
    <x v="1"/>
    <s v="01/2023"/>
    <x v="2"/>
    <s v="Grande"/>
  </r>
  <r>
    <n v="1659"/>
    <x v="668"/>
    <x v="6"/>
    <x v="2"/>
    <x v="4"/>
    <x v="26"/>
    <n v="15"/>
    <n v="39300"/>
    <n v="5"/>
    <n v="589500"/>
    <x v="1487"/>
    <x v="2"/>
    <x v="3"/>
    <x v="1"/>
    <x v="0"/>
    <s v="08/2024"/>
    <x v="1"/>
    <s v="Grande"/>
  </r>
  <r>
    <n v="1660"/>
    <x v="489"/>
    <x v="8"/>
    <x v="1"/>
    <x v="0"/>
    <x v="0"/>
    <n v="27"/>
    <n v="22300"/>
    <n v="0"/>
    <n v="602100"/>
    <x v="1488"/>
    <x v="3"/>
    <x v="1"/>
    <x v="7"/>
    <x v="0"/>
    <s v="02/2024"/>
    <x v="2"/>
    <s v="Grande"/>
  </r>
  <r>
    <n v="1661"/>
    <x v="7"/>
    <x v="0"/>
    <x v="2"/>
    <x v="0"/>
    <x v="4"/>
    <n v="25"/>
    <n v="34600"/>
    <n v="0"/>
    <n v="865000"/>
    <x v="1489"/>
    <x v="2"/>
    <x v="2"/>
    <x v="0"/>
    <x v="0"/>
    <s v="10/2024"/>
    <x v="0"/>
    <s v="Grande"/>
  </r>
  <r>
    <n v="1662"/>
    <x v="350"/>
    <x v="4"/>
    <x v="2"/>
    <x v="3"/>
    <x v="36"/>
    <n v="31"/>
    <n v="3500"/>
    <n v="0"/>
    <n v="108500"/>
    <x v="1490"/>
    <x v="0"/>
    <x v="3"/>
    <x v="6"/>
    <x v="0"/>
    <s v="04/2024"/>
    <x v="3"/>
    <s v="Moyenne"/>
  </r>
  <r>
    <n v="1663"/>
    <x v="136"/>
    <x v="2"/>
    <x v="4"/>
    <x v="1"/>
    <x v="14"/>
    <n v="46"/>
    <n v="112400"/>
    <n v="0"/>
    <n v="5170400"/>
    <x v="1491"/>
    <x v="0"/>
    <x v="0"/>
    <x v="4"/>
    <x v="1"/>
    <s v="11/2023"/>
    <x v="0"/>
    <s v="Grande"/>
  </r>
  <r>
    <n v="1664"/>
    <x v="460"/>
    <x v="5"/>
    <x v="3"/>
    <x v="0"/>
    <x v="4"/>
    <n v="22"/>
    <n v="35400"/>
    <n v="0"/>
    <n v="778800"/>
    <x v="1492"/>
    <x v="1"/>
    <x v="2"/>
    <x v="11"/>
    <x v="0"/>
    <s v="05/2024"/>
    <x v="3"/>
    <s v="Grande"/>
  </r>
  <r>
    <n v="1665"/>
    <x v="653"/>
    <x v="3"/>
    <x v="2"/>
    <x v="0"/>
    <x v="4"/>
    <n v="38"/>
    <n v="38500"/>
    <n v="20"/>
    <n v="1463000"/>
    <x v="1493"/>
    <x v="0"/>
    <x v="2"/>
    <x v="5"/>
    <x v="0"/>
    <s v="09/2024"/>
    <x v="1"/>
    <s v="Grande"/>
  </r>
  <r>
    <n v="1666"/>
    <x v="669"/>
    <x v="7"/>
    <x v="3"/>
    <x v="1"/>
    <x v="14"/>
    <n v="10"/>
    <n v="138000"/>
    <n v="0"/>
    <n v="1380000"/>
    <x v="1494"/>
    <x v="3"/>
    <x v="2"/>
    <x v="11"/>
    <x v="0"/>
    <s v="05/2024"/>
    <x v="3"/>
    <s v="Grande"/>
  </r>
  <r>
    <n v="1667"/>
    <x v="670"/>
    <x v="8"/>
    <x v="2"/>
    <x v="2"/>
    <x v="13"/>
    <n v="13"/>
    <n v="4600"/>
    <n v="0"/>
    <n v="59800"/>
    <x v="1495"/>
    <x v="0"/>
    <x v="2"/>
    <x v="3"/>
    <x v="0"/>
    <s v="07/2024"/>
    <x v="1"/>
    <s v="Moyenne"/>
  </r>
  <r>
    <n v="1668"/>
    <x v="652"/>
    <x v="5"/>
    <x v="0"/>
    <x v="1"/>
    <x v="32"/>
    <n v="9"/>
    <n v="2300"/>
    <n v="5"/>
    <n v="20700"/>
    <x v="1496"/>
    <x v="0"/>
    <x v="1"/>
    <x v="1"/>
    <x v="0"/>
    <s v="08/2024"/>
    <x v="1"/>
    <s v="Petite"/>
  </r>
  <r>
    <n v="1669"/>
    <x v="608"/>
    <x v="7"/>
    <x v="3"/>
    <x v="3"/>
    <x v="7"/>
    <n v="14"/>
    <n v="25200"/>
    <n v="0"/>
    <n v="352800"/>
    <x v="1497"/>
    <x v="0"/>
    <x v="0"/>
    <x v="11"/>
    <x v="1"/>
    <s v="05/2023"/>
    <x v="3"/>
    <s v="Grande"/>
  </r>
  <r>
    <n v="1670"/>
    <x v="671"/>
    <x v="4"/>
    <x v="1"/>
    <x v="1"/>
    <x v="1"/>
    <n v="11"/>
    <n v="8600"/>
    <n v="0"/>
    <n v="94600"/>
    <x v="1498"/>
    <x v="2"/>
    <x v="2"/>
    <x v="1"/>
    <x v="1"/>
    <s v="08/2023"/>
    <x v="1"/>
    <s v="Moyenne"/>
  </r>
  <r>
    <n v="1671"/>
    <x v="423"/>
    <x v="8"/>
    <x v="2"/>
    <x v="3"/>
    <x v="27"/>
    <n v="17"/>
    <n v="13400"/>
    <n v="15"/>
    <n v="227800"/>
    <x v="1499"/>
    <x v="0"/>
    <x v="4"/>
    <x v="2"/>
    <x v="1"/>
    <s v="03/2023"/>
    <x v="2"/>
    <s v="Moyenne"/>
  </r>
  <r>
    <n v="1672"/>
    <x v="323"/>
    <x v="3"/>
    <x v="3"/>
    <x v="2"/>
    <x v="16"/>
    <n v="50"/>
    <n v="10600"/>
    <n v="20"/>
    <n v="530000"/>
    <x v="1500"/>
    <x v="2"/>
    <x v="1"/>
    <x v="4"/>
    <x v="0"/>
    <s v="11/2024"/>
    <x v="0"/>
    <s v="Grande"/>
  </r>
  <r>
    <n v="1673"/>
    <x v="449"/>
    <x v="7"/>
    <x v="1"/>
    <x v="0"/>
    <x v="39"/>
    <n v="20"/>
    <n v="9100"/>
    <n v="0"/>
    <n v="182000"/>
    <x v="1501"/>
    <x v="0"/>
    <x v="2"/>
    <x v="9"/>
    <x v="1"/>
    <s v="01/2023"/>
    <x v="2"/>
    <s v="Moyenne"/>
  </r>
  <r>
    <n v="1674"/>
    <x v="551"/>
    <x v="4"/>
    <x v="2"/>
    <x v="1"/>
    <x v="12"/>
    <n v="15"/>
    <n v="18700"/>
    <n v="5"/>
    <n v="280500"/>
    <x v="1502"/>
    <x v="2"/>
    <x v="1"/>
    <x v="1"/>
    <x v="0"/>
    <s v="08/2024"/>
    <x v="1"/>
    <s v="Grande"/>
  </r>
  <r>
    <n v="1675"/>
    <x v="68"/>
    <x v="0"/>
    <x v="3"/>
    <x v="3"/>
    <x v="27"/>
    <n v="26"/>
    <n v="12000"/>
    <n v="0"/>
    <n v="312000"/>
    <x v="1503"/>
    <x v="0"/>
    <x v="3"/>
    <x v="8"/>
    <x v="1"/>
    <s v="06/2023"/>
    <x v="3"/>
    <s v="Grande"/>
  </r>
  <r>
    <n v="1676"/>
    <x v="143"/>
    <x v="5"/>
    <x v="4"/>
    <x v="3"/>
    <x v="36"/>
    <n v="43"/>
    <n v="4300"/>
    <n v="0"/>
    <n v="184900"/>
    <x v="1504"/>
    <x v="0"/>
    <x v="3"/>
    <x v="2"/>
    <x v="1"/>
    <s v="03/2023"/>
    <x v="2"/>
    <s v="Moyenne"/>
  </r>
  <r>
    <n v="1677"/>
    <x v="536"/>
    <x v="7"/>
    <x v="1"/>
    <x v="2"/>
    <x v="23"/>
    <n v="2"/>
    <n v="4900"/>
    <n v="0"/>
    <n v="9800"/>
    <x v="1505"/>
    <x v="0"/>
    <x v="3"/>
    <x v="2"/>
    <x v="0"/>
    <s v="03/2024"/>
    <x v="2"/>
    <s v="Petite"/>
  </r>
  <r>
    <n v="1678"/>
    <x v="273"/>
    <x v="5"/>
    <x v="1"/>
    <x v="4"/>
    <x v="29"/>
    <n v="26"/>
    <n v="18800"/>
    <n v="0"/>
    <n v="488800"/>
    <x v="1506"/>
    <x v="0"/>
    <x v="1"/>
    <x v="10"/>
    <x v="1"/>
    <s v="12/2023"/>
    <x v="0"/>
    <s v="Grande"/>
  </r>
  <r>
    <n v="1679"/>
    <x v="238"/>
    <x v="9"/>
    <x v="4"/>
    <x v="0"/>
    <x v="22"/>
    <n v="38"/>
    <n v="12600"/>
    <n v="0"/>
    <n v="478800"/>
    <x v="1507"/>
    <x v="0"/>
    <x v="0"/>
    <x v="3"/>
    <x v="1"/>
    <s v="07/2023"/>
    <x v="1"/>
    <s v="Grande"/>
  </r>
  <r>
    <n v="1680"/>
    <x v="519"/>
    <x v="0"/>
    <x v="0"/>
    <x v="2"/>
    <x v="23"/>
    <n v="6"/>
    <n v="4900"/>
    <n v="0"/>
    <n v="29400"/>
    <x v="1508"/>
    <x v="3"/>
    <x v="1"/>
    <x v="2"/>
    <x v="1"/>
    <s v="03/2023"/>
    <x v="2"/>
    <s v="Petite"/>
  </r>
  <r>
    <n v="1681"/>
    <x v="672"/>
    <x v="8"/>
    <x v="4"/>
    <x v="1"/>
    <x v="12"/>
    <n v="24"/>
    <n v="17500"/>
    <n v="15"/>
    <n v="420000"/>
    <x v="1509"/>
    <x v="1"/>
    <x v="3"/>
    <x v="2"/>
    <x v="1"/>
    <s v="03/2023"/>
    <x v="2"/>
    <s v="Grande"/>
  </r>
  <r>
    <n v="1682"/>
    <x v="141"/>
    <x v="0"/>
    <x v="0"/>
    <x v="2"/>
    <x v="16"/>
    <n v="3"/>
    <n v="9400"/>
    <n v="0"/>
    <n v="28200"/>
    <x v="1510"/>
    <x v="3"/>
    <x v="0"/>
    <x v="1"/>
    <x v="0"/>
    <s v="08/2024"/>
    <x v="1"/>
    <s v="Petite"/>
  </r>
  <r>
    <n v="1683"/>
    <x v="407"/>
    <x v="1"/>
    <x v="4"/>
    <x v="2"/>
    <x v="23"/>
    <n v="32"/>
    <n v="5300"/>
    <n v="10"/>
    <n v="169600"/>
    <x v="1511"/>
    <x v="0"/>
    <x v="3"/>
    <x v="5"/>
    <x v="0"/>
    <s v="09/2024"/>
    <x v="1"/>
    <s v="Moyenne"/>
  </r>
  <r>
    <n v="1684"/>
    <x v="485"/>
    <x v="0"/>
    <x v="3"/>
    <x v="0"/>
    <x v="22"/>
    <n v="39"/>
    <n v="11000"/>
    <n v="15"/>
    <n v="429000"/>
    <x v="1512"/>
    <x v="2"/>
    <x v="1"/>
    <x v="8"/>
    <x v="0"/>
    <s v="06/2024"/>
    <x v="3"/>
    <s v="Grande"/>
  </r>
  <r>
    <n v="1685"/>
    <x v="63"/>
    <x v="2"/>
    <x v="0"/>
    <x v="4"/>
    <x v="26"/>
    <n v="3"/>
    <n v="45000"/>
    <n v="15"/>
    <n v="135000"/>
    <x v="1513"/>
    <x v="0"/>
    <x v="3"/>
    <x v="10"/>
    <x v="0"/>
    <s v="12/2024"/>
    <x v="0"/>
    <s v="Moyenne"/>
  </r>
  <r>
    <n v="1686"/>
    <x v="37"/>
    <x v="8"/>
    <x v="1"/>
    <x v="0"/>
    <x v="34"/>
    <n v="46"/>
    <n v="31100"/>
    <n v="20"/>
    <n v="1430600"/>
    <x v="1514"/>
    <x v="1"/>
    <x v="2"/>
    <x v="8"/>
    <x v="1"/>
    <s v="06/2023"/>
    <x v="3"/>
    <s v="Grande"/>
  </r>
  <r>
    <n v="1687"/>
    <x v="673"/>
    <x v="4"/>
    <x v="2"/>
    <x v="2"/>
    <x v="3"/>
    <n v="46"/>
    <n v="1800"/>
    <n v="0"/>
    <n v="82800"/>
    <x v="1515"/>
    <x v="0"/>
    <x v="0"/>
    <x v="1"/>
    <x v="1"/>
    <s v="08/2023"/>
    <x v="1"/>
    <s v="Moyenne"/>
  </r>
  <r>
    <n v="1688"/>
    <x v="370"/>
    <x v="0"/>
    <x v="4"/>
    <x v="1"/>
    <x v="31"/>
    <n v="47"/>
    <n v="23300"/>
    <n v="15"/>
    <n v="1095100"/>
    <x v="1516"/>
    <x v="0"/>
    <x v="3"/>
    <x v="1"/>
    <x v="0"/>
    <s v="08/2024"/>
    <x v="1"/>
    <s v="Grande"/>
  </r>
  <r>
    <n v="1689"/>
    <x v="213"/>
    <x v="9"/>
    <x v="4"/>
    <x v="4"/>
    <x v="29"/>
    <n v="42"/>
    <n v="18000"/>
    <n v="15"/>
    <n v="756000"/>
    <x v="1517"/>
    <x v="1"/>
    <x v="3"/>
    <x v="4"/>
    <x v="1"/>
    <s v="11/2023"/>
    <x v="0"/>
    <s v="Grande"/>
  </r>
  <r>
    <n v="1690"/>
    <x v="406"/>
    <x v="8"/>
    <x v="0"/>
    <x v="0"/>
    <x v="22"/>
    <n v="23"/>
    <n v="12000"/>
    <n v="20"/>
    <n v="276000"/>
    <x v="1518"/>
    <x v="0"/>
    <x v="0"/>
    <x v="2"/>
    <x v="1"/>
    <s v="03/2023"/>
    <x v="2"/>
    <s v="Grande"/>
  </r>
  <r>
    <n v="1691"/>
    <x v="295"/>
    <x v="7"/>
    <x v="4"/>
    <x v="4"/>
    <x v="28"/>
    <n v="26"/>
    <n v="12800"/>
    <n v="5"/>
    <n v="332800"/>
    <x v="1519"/>
    <x v="1"/>
    <x v="3"/>
    <x v="5"/>
    <x v="1"/>
    <s v="09/2023"/>
    <x v="1"/>
    <s v="Grande"/>
  </r>
  <r>
    <n v="1692"/>
    <x v="51"/>
    <x v="3"/>
    <x v="1"/>
    <x v="0"/>
    <x v="22"/>
    <n v="11"/>
    <n v="10800"/>
    <n v="0"/>
    <n v="118800"/>
    <x v="1520"/>
    <x v="3"/>
    <x v="2"/>
    <x v="11"/>
    <x v="1"/>
    <s v="05/2023"/>
    <x v="3"/>
    <s v="Moyenne"/>
  </r>
  <r>
    <n v="1693"/>
    <x v="244"/>
    <x v="3"/>
    <x v="4"/>
    <x v="1"/>
    <x v="12"/>
    <n v="39"/>
    <n v="17300"/>
    <n v="0"/>
    <n v="674700"/>
    <x v="1521"/>
    <x v="0"/>
    <x v="3"/>
    <x v="11"/>
    <x v="0"/>
    <s v="05/2024"/>
    <x v="3"/>
    <s v="Grande"/>
  </r>
  <r>
    <n v="1694"/>
    <x v="128"/>
    <x v="7"/>
    <x v="0"/>
    <x v="1"/>
    <x v="11"/>
    <n v="40"/>
    <n v="6500"/>
    <n v="0"/>
    <n v="260000"/>
    <x v="1522"/>
    <x v="0"/>
    <x v="0"/>
    <x v="6"/>
    <x v="1"/>
    <s v="04/2023"/>
    <x v="3"/>
    <s v="Grande"/>
  </r>
  <r>
    <n v="1695"/>
    <x v="92"/>
    <x v="2"/>
    <x v="4"/>
    <x v="2"/>
    <x v="13"/>
    <n v="43"/>
    <n v="4100"/>
    <n v="10"/>
    <n v="176300"/>
    <x v="1523"/>
    <x v="2"/>
    <x v="3"/>
    <x v="5"/>
    <x v="0"/>
    <s v="09/2024"/>
    <x v="1"/>
    <s v="Moyenne"/>
  </r>
  <r>
    <n v="1696"/>
    <x v="334"/>
    <x v="2"/>
    <x v="3"/>
    <x v="3"/>
    <x v="33"/>
    <n v="47"/>
    <n v="4500"/>
    <n v="0"/>
    <n v="211500"/>
    <x v="1524"/>
    <x v="1"/>
    <x v="2"/>
    <x v="11"/>
    <x v="0"/>
    <s v="05/2024"/>
    <x v="3"/>
    <s v="Grande"/>
  </r>
  <r>
    <n v="1697"/>
    <x v="551"/>
    <x v="2"/>
    <x v="2"/>
    <x v="3"/>
    <x v="36"/>
    <n v="22"/>
    <n v="3500"/>
    <n v="5"/>
    <n v="77000"/>
    <x v="1525"/>
    <x v="0"/>
    <x v="0"/>
    <x v="1"/>
    <x v="0"/>
    <s v="08/2024"/>
    <x v="1"/>
    <s v="Moyenne"/>
  </r>
  <r>
    <n v="1698"/>
    <x v="656"/>
    <x v="8"/>
    <x v="3"/>
    <x v="3"/>
    <x v="33"/>
    <n v="38"/>
    <n v="5100"/>
    <n v="0"/>
    <n v="193800"/>
    <x v="131"/>
    <x v="0"/>
    <x v="3"/>
    <x v="2"/>
    <x v="0"/>
    <s v="03/2024"/>
    <x v="2"/>
    <s v="Moyenne"/>
  </r>
  <r>
    <n v="1699"/>
    <x v="23"/>
    <x v="1"/>
    <x v="4"/>
    <x v="3"/>
    <x v="7"/>
    <n v="1"/>
    <n v="22000"/>
    <n v="0"/>
    <n v="22000"/>
    <x v="1526"/>
    <x v="0"/>
    <x v="0"/>
    <x v="0"/>
    <x v="0"/>
    <s v="10/2024"/>
    <x v="0"/>
    <s v="Petite"/>
  </r>
  <r>
    <n v="1700"/>
    <x v="674"/>
    <x v="5"/>
    <x v="1"/>
    <x v="1"/>
    <x v="9"/>
    <n v="5"/>
    <n v="8200"/>
    <n v="10"/>
    <n v="41000"/>
    <x v="1527"/>
    <x v="1"/>
    <x v="3"/>
    <x v="6"/>
    <x v="0"/>
    <s v="04/2024"/>
    <x v="3"/>
    <s v="Petite"/>
  </r>
  <r>
    <n v="1701"/>
    <x v="57"/>
    <x v="7"/>
    <x v="0"/>
    <x v="3"/>
    <x v="7"/>
    <n v="43"/>
    <n v="24000"/>
    <n v="10"/>
    <n v="1032000"/>
    <x v="1528"/>
    <x v="0"/>
    <x v="1"/>
    <x v="3"/>
    <x v="0"/>
    <s v="07/2024"/>
    <x v="1"/>
    <s v="Grande"/>
  </r>
  <r>
    <n v="1702"/>
    <x v="315"/>
    <x v="2"/>
    <x v="2"/>
    <x v="1"/>
    <x v="1"/>
    <n v="25"/>
    <n v="9600"/>
    <n v="0"/>
    <n v="240000"/>
    <x v="1529"/>
    <x v="0"/>
    <x v="3"/>
    <x v="1"/>
    <x v="0"/>
    <s v="08/2024"/>
    <x v="1"/>
    <s v="Grande"/>
  </r>
  <r>
    <n v="1703"/>
    <x v="230"/>
    <x v="5"/>
    <x v="0"/>
    <x v="4"/>
    <x v="8"/>
    <n v="16"/>
    <n v="63800"/>
    <n v="0"/>
    <n v="1020800"/>
    <x v="1530"/>
    <x v="3"/>
    <x v="0"/>
    <x v="10"/>
    <x v="0"/>
    <s v="12/2024"/>
    <x v="0"/>
    <s v="Grande"/>
  </r>
  <r>
    <n v="1704"/>
    <x v="675"/>
    <x v="4"/>
    <x v="4"/>
    <x v="0"/>
    <x v="34"/>
    <n v="28"/>
    <n v="32100"/>
    <n v="0"/>
    <n v="898800"/>
    <x v="1531"/>
    <x v="0"/>
    <x v="1"/>
    <x v="11"/>
    <x v="1"/>
    <s v="05/2023"/>
    <x v="3"/>
    <s v="Grande"/>
  </r>
  <r>
    <n v="1705"/>
    <x v="108"/>
    <x v="4"/>
    <x v="2"/>
    <x v="3"/>
    <x v="19"/>
    <n v="10"/>
    <n v="2000"/>
    <n v="0"/>
    <n v="20000"/>
    <x v="1532"/>
    <x v="2"/>
    <x v="0"/>
    <x v="0"/>
    <x v="1"/>
    <s v="10/2023"/>
    <x v="0"/>
    <s v="Petite"/>
  </r>
  <r>
    <n v="1706"/>
    <x v="8"/>
    <x v="4"/>
    <x v="4"/>
    <x v="1"/>
    <x v="31"/>
    <n v="33"/>
    <n v="24600"/>
    <n v="10"/>
    <n v="811800"/>
    <x v="1533"/>
    <x v="1"/>
    <x v="2"/>
    <x v="5"/>
    <x v="1"/>
    <s v="09/2023"/>
    <x v="1"/>
    <s v="Grande"/>
  </r>
  <r>
    <n v="1707"/>
    <x v="468"/>
    <x v="8"/>
    <x v="3"/>
    <x v="0"/>
    <x v="10"/>
    <n v="6"/>
    <n v="27700"/>
    <n v="20"/>
    <n v="166200"/>
    <x v="1534"/>
    <x v="0"/>
    <x v="2"/>
    <x v="8"/>
    <x v="1"/>
    <s v="06/2023"/>
    <x v="3"/>
    <s v="Moyenne"/>
  </r>
  <r>
    <n v="1708"/>
    <x v="94"/>
    <x v="2"/>
    <x v="2"/>
    <x v="1"/>
    <x v="14"/>
    <n v="11"/>
    <n v="137800"/>
    <n v="0"/>
    <n v="1515800"/>
    <x v="1176"/>
    <x v="0"/>
    <x v="1"/>
    <x v="3"/>
    <x v="1"/>
    <s v="07/2023"/>
    <x v="1"/>
    <s v="Grande"/>
  </r>
  <r>
    <n v="1709"/>
    <x v="230"/>
    <x v="2"/>
    <x v="4"/>
    <x v="4"/>
    <x v="15"/>
    <n v="25"/>
    <n v="6800"/>
    <n v="0"/>
    <n v="170000"/>
    <x v="1535"/>
    <x v="1"/>
    <x v="2"/>
    <x v="10"/>
    <x v="0"/>
    <s v="12/2024"/>
    <x v="0"/>
    <s v="Moyenne"/>
  </r>
  <r>
    <n v="1710"/>
    <x v="587"/>
    <x v="7"/>
    <x v="4"/>
    <x v="2"/>
    <x v="3"/>
    <n v="31"/>
    <n v="1900"/>
    <n v="15"/>
    <n v="58900"/>
    <x v="1536"/>
    <x v="1"/>
    <x v="0"/>
    <x v="1"/>
    <x v="0"/>
    <s v="08/2024"/>
    <x v="1"/>
    <s v="Moyenne"/>
  </r>
  <r>
    <n v="1711"/>
    <x v="521"/>
    <x v="8"/>
    <x v="5"/>
    <x v="4"/>
    <x v="29"/>
    <n v="24"/>
    <n v="17600"/>
    <n v="0"/>
    <n v="422400"/>
    <x v="1537"/>
    <x v="0"/>
    <x v="0"/>
    <x v="1"/>
    <x v="1"/>
    <s v="08/2023"/>
    <x v="1"/>
    <s v="Grande"/>
  </r>
  <r>
    <n v="1712"/>
    <x v="322"/>
    <x v="5"/>
    <x v="0"/>
    <x v="3"/>
    <x v="27"/>
    <n v="43"/>
    <n v="10900"/>
    <n v="5"/>
    <n v="468700"/>
    <x v="1538"/>
    <x v="3"/>
    <x v="3"/>
    <x v="1"/>
    <x v="0"/>
    <s v="08/2024"/>
    <x v="1"/>
    <s v="Grande"/>
  </r>
  <r>
    <n v="1713"/>
    <x v="133"/>
    <x v="3"/>
    <x v="1"/>
    <x v="1"/>
    <x v="12"/>
    <n v="39"/>
    <n v="20000"/>
    <n v="10"/>
    <n v="780000"/>
    <x v="546"/>
    <x v="0"/>
    <x v="0"/>
    <x v="1"/>
    <x v="1"/>
    <s v="08/2023"/>
    <x v="1"/>
    <s v="Grande"/>
  </r>
  <r>
    <n v="1714"/>
    <x v="441"/>
    <x v="8"/>
    <x v="1"/>
    <x v="3"/>
    <x v="27"/>
    <n v="3"/>
    <n v="11200"/>
    <n v="0"/>
    <n v="33600"/>
    <x v="856"/>
    <x v="1"/>
    <x v="3"/>
    <x v="11"/>
    <x v="1"/>
    <s v="05/2023"/>
    <x v="3"/>
    <s v="Petite"/>
  </r>
  <r>
    <n v="1715"/>
    <x v="236"/>
    <x v="2"/>
    <x v="1"/>
    <x v="0"/>
    <x v="4"/>
    <n v="4"/>
    <n v="39000"/>
    <n v="15"/>
    <n v="156000"/>
    <x v="1539"/>
    <x v="3"/>
    <x v="1"/>
    <x v="4"/>
    <x v="1"/>
    <s v="11/2023"/>
    <x v="0"/>
    <s v="Moyenne"/>
  </r>
  <r>
    <n v="1716"/>
    <x v="71"/>
    <x v="7"/>
    <x v="4"/>
    <x v="0"/>
    <x v="39"/>
    <n v="5"/>
    <n v="8900"/>
    <n v="0"/>
    <n v="44500"/>
    <x v="233"/>
    <x v="3"/>
    <x v="3"/>
    <x v="5"/>
    <x v="1"/>
    <s v="09/2023"/>
    <x v="1"/>
    <s v="Petite"/>
  </r>
  <r>
    <n v="1717"/>
    <x v="532"/>
    <x v="4"/>
    <x v="2"/>
    <x v="4"/>
    <x v="35"/>
    <n v="19"/>
    <n v="86100"/>
    <n v="0"/>
    <n v="1635900"/>
    <x v="1540"/>
    <x v="0"/>
    <x v="0"/>
    <x v="11"/>
    <x v="0"/>
    <s v="05/2024"/>
    <x v="3"/>
    <s v="Grande"/>
  </r>
  <r>
    <n v="1718"/>
    <x v="459"/>
    <x v="2"/>
    <x v="3"/>
    <x v="3"/>
    <x v="19"/>
    <n v="7"/>
    <n v="2200"/>
    <n v="0"/>
    <n v="15400"/>
    <x v="1541"/>
    <x v="3"/>
    <x v="3"/>
    <x v="11"/>
    <x v="1"/>
    <s v="05/2023"/>
    <x v="3"/>
    <s v="Petite"/>
  </r>
  <r>
    <n v="1719"/>
    <x v="547"/>
    <x v="6"/>
    <x v="3"/>
    <x v="2"/>
    <x v="24"/>
    <n v="18"/>
    <n v="5300"/>
    <n v="20"/>
    <n v="95400"/>
    <x v="1542"/>
    <x v="0"/>
    <x v="0"/>
    <x v="3"/>
    <x v="1"/>
    <s v="07/2023"/>
    <x v="1"/>
    <s v="Moyenne"/>
  </r>
  <r>
    <n v="1720"/>
    <x v="263"/>
    <x v="2"/>
    <x v="3"/>
    <x v="3"/>
    <x v="7"/>
    <n v="43"/>
    <n v="24800"/>
    <n v="20"/>
    <n v="1066400"/>
    <x v="1543"/>
    <x v="0"/>
    <x v="2"/>
    <x v="10"/>
    <x v="0"/>
    <s v="12/2024"/>
    <x v="0"/>
    <s v="Grande"/>
  </r>
  <r>
    <n v="1721"/>
    <x v="181"/>
    <x v="4"/>
    <x v="1"/>
    <x v="1"/>
    <x v="11"/>
    <n v="4"/>
    <n v="5800"/>
    <n v="10"/>
    <n v="23200"/>
    <x v="1544"/>
    <x v="0"/>
    <x v="0"/>
    <x v="4"/>
    <x v="1"/>
    <s v="11/2023"/>
    <x v="0"/>
    <s v="Petite"/>
  </r>
  <r>
    <n v="1722"/>
    <x v="303"/>
    <x v="0"/>
    <x v="1"/>
    <x v="1"/>
    <x v="31"/>
    <n v="26"/>
    <n v="27600"/>
    <n v="0"/>
    <n v="717600"/>
    <x v="1545"/>
    <x v="0"/>
    <x v="3"/>
    <x v="11"/>
    <x v="1"/>
    <s v="05/2023"/>
    <x v="3"/>
    <s v="Grande"/>
  </r>
  <r>
    <n v="1723"/>
    <x v="551"/>
    <x v="2"/>
    <x v="4"/>
    <x v="1"/>
    <x v="11"/>
    <n v="42"/>
    <n v="5700"/>
    <n v="0"/>
    <n v="239400"/>
    <x v="361"/>
    <x v="2"/>
    <x v="0"/>
    <x v="1"/>
    <x v="0"/>
    <s v="08/2024"/>
    <x v="1"/>
    <s v="Grande"/>
  </r>
  <r>
    <n v="1724"/>
    <x v="567"/>
    <x v="8"/>
    <x v="4"/>
    <x v="2"/>
    <x v="13"/>
    <n v="44"/>
    <n v="4600"/>
    <n v="0"/>
    <n v="202400"/>
    <x v="992"/>
    <x v="0"/>
    <x v="2"/>
    <x v="9"/>
    <x v="1"/>
    <s v="01/2023"/>
    <x v="2"/>
    <s v="Grande"/>
  </r>
  <r>
    <n v="1725"/>
    <x v="619"/>
    <x v="2"/>
    <x v="2"/>
    <x v="3"/>
    <x v="33"/>
    <n v="16"/>
    <n v="4600"/>
    <n v="10"/>
    <n v="73600"/>
    <x v="1546"/>
    <x v="0"/>
    <x v="1"/>
    <x v="4"/>
    <x v="0"/>
    <s v="11/2024"/>
    <x v="0"/>
    <s v="Moyenne"/>
  </r>
  <r>
    <n v="1726"/>
    <x v="377"/>
    <x v="7"/>
    <x v="4"/>
    <x v="3"/>
    <x v="7"/>
    <n v="26"/>
    <n v="21700"/>
    <n v="10"/>
    <n v="564200"/>
    <x v="1547"/>
    <x v="3"/>
    <x v="2"/>
    <x v="4"/>
    <x v="0"/>
    <s v="11/2024"/>
    <x v="0"/>
    <s v="Grande"/>
  </r>
  <r>
    <n v="1727"/>
    <x v="360"/>
    <x v="4"/>
    <x v="4"/>
    <x v="3"/>
    <x v="19"/>
    <n v="17"/>
    <n v="2400"/>
    <n v="0"/>
    <n v="40800"/>
    <x v="457"/>
    <x v="0"/>
    <x v="2"/>
    <x v="0"/>
    <x v="1"/>
    <s v="10/2023"/>
    <x v="0"/>
    <s v="Petite"/>
  </r>
  <r>
    <n v="1728"/>
    <x v="12"/>
    <x v="7"/>
    <x v="3"/>
    <x v="2"/>
    <x v="16"/>
    <n v="37"/>
    <n v="10300"/>
    <n v="15"/>
    <n v="381100"/>
    <x v="1548"/>
    <x v="0"/>
    <x v="0"/>
    <x v="6"/>
    <x v="1"/>
    <s v="04/2023"/>
    <x v="3"/>
    <s v="Grande"/>
  </r>
  <r>
    <n v="1729"/>
    <x v="534"/>
    <x v="6"/>
    <x v="5"/>
    <x v="2"/>
    <x v="3"/>
    <n v="47"/>
    <n v="2000"/>
    <n v="0"/>
    <n v="94000"/>
    <x v="1549"/>
    <x v="0"/>
    <x v="2"/>
    <x v="10"/>
    <x v="1"/>
    <s v="12/2023"/>
    <x v="0"/>
    <s v="Moyenne"/>
  </r>
  <r>
    <n v="1730"/>
    <x v="198"/>
    <x v="4"/>
    <x v="0"/>
    <x v="3"/>
    <x v="20"/>
    <n v="46"/>
    <n v="6900"/>
    <n v="5"/>
    <n v="317400"/>
    <x v="1550"/>
    <x v="0"/>
    <x v="4"/>
    <x v="10"/>
    <x v="1"/>
    <s v="12/2023"/>
    <x v="0"/>
    <s v="Grande"/>
  </r>
  <r>
    <n v="1731"/>
    <x v="50"/>
    <x v="3"/>
    <x v="5"/>
    <x v="4"/>
    <x v="30"/>
    <n v="42"/>
    <n v="26200"/>
    <n v="0"/>
    <n v="1100400"/>
    <x v="1551"/>
    <x v="1"/>
    <x v="3"/>
    <x v="6"/>
    <x v="1"/>
    <s v="04/2023"/>
    <x v="3"/>
    <s v="Grande"/>
  </r>
  <r>
    <n v="1732"/>
    <x v="598"/>
    <x v="7"/>
    <x v="3"/>
    <x v="0"/>
    <x v="5"/>
    <n v="41"/>
    <n v="3700"/>
    <n v="0"/>
    <n v="151700"/>
    <x v="942"/>
    <x v="0"/>
    <x v="2"/>
    <x v="7"/>
    <x v="0"/>
    <s v="02/2024"/>
    <x v="2"/>
    <s v="Moyenne"/>
  </r>
  <r>
    <n v="1733"/>
    <x v="522"/>
    <x v="5"/>
    <x v="1"/>
    <x v="4"/>
    <x v="17"/>
    <n v="17"/>
    <n v="116100"/>
    <n v="0"/>
    <n v="1973700"/>
    <x v="1552"/>
    <x v="0"/>
    <x v="4"/>
    <x v="10"/>
    <x v="1"/>
    <s v="12/2023"/>
    <x v="0"/>
    <s v="Grande"/>
  </r>
  <r>
    <n v="1734"/>
    <x v="495"/>
    <x v="1"/>
    <x v="1"/>
    <x v="3"/>
    <x v="7"/>
    <n v="8"/>
    <n v="20900"/>
    <n v="0"/>
    <n v="167200"/>
    <x v="558"/>
    <x v="2"/>
    <x v="1"/>
    <x v="6"/>
    <x v="1"/>
    <s v="04/2023"/>
    <x v="3"/>
    <s v="Moyenne"/>
  </r>
  <r>
    <n v="1735"/>
    <x v="676"/>
    <x v="6"/>
    <x v="1"/>
    <x v="1"/>
    <x v="31"/>
    <n v="34"/>
    <n v="27400"/>
    <n v="0"/>
    <n v="931600"/>
    <x v="1553"/>
    <x v="0"/>
    <x v="2"/>
    <x v="0"/>
    <x v="1"/>
    <s v="10/2023"/>
    <x v="0"/>
    <s v="Grande"/>
  </r>
  <r>
    <n v="1736"/>
    <x v="497"/>
    <x v="5"/>
    <x v="1"/>
    <x v="2"/>
    <x v="16"/>
    <n v="25"/>
    <n v="10700"/>
    <n v="0"/>
    <n v="267500"/>
    <x v="1554"/>
    <x v="0"/>
    <x v="2"/>
    <x v="3"/>
    <x v="1"/>
    <s v="07/2023"/>
    <x v="1"/>
    <s v="Grande"/>
  </r>
  <r>
    <n v="1737"/>
    <x v="147"/>
    <x v="6"/>
    <x v="0"/>
    <x v="2"/>
    <x v="2"/>
    <n v="36"/>
    <n v="5400"/>
    <n v="0"/>
    <n v="194400"/>
    <x v="1222"/>
    <x v="0"/>
    <x v="1"/>
    <x v="2"/>
    <x v="0"/>
    <s v="03/2024"/>
    <x v="2"/>
    <s v="Moyenne"/>
  </r>
  <r>
    <n v="1738"/>
    <x v="209"/>
    <x v="3"/>
    <x v="3"/>
    <x v="0"/>
    <x v="10"/>
    <n v="43"/>
    <n v="27100"/>
    <n v="15"/>
    <n v="1165300"/>
    <x v="1555"/>
    <x v="0"/>
    <x v="3"/>
    <x v="7"/>
    <x v="1"/>
    <s v="02/2023"/>
    <x v="2"/>
    <s v="Grande"/>
  </r>
  <r>
    <n v="1739"/>
    <x v="357"/>
    <x v="1"/>
    <x v="0"/>
    <x v="3"/>
    <x v="19"/>
    <n v="19"/>
    <n v="2100"/>
    <n v="20"/>
    <n v="39900"/>
    <x v="758"/>
    <x v="0"/>
    <x v="1"/>
    <x v="7"/>
    <x v="0"/>
    <s v="02/2024"/>
    <x v="2"/>
    <s v="Petite"/>
  </r>
  <r>
    <n v="1740"/>
    <x v="329"/>
    <x v="2"/>
    <x v="3"/>
    <x v="3"/>
    <x v="6"/>
    <n v="34"/>
    <n v="10400"/>
    <n v="0"/>
    <n v="353600"/>
    <x v="1556"/>
    <x v="0"/>
    <x v="0"/>
    <x v="4"/>
    <x v="0"/>
    <s v="11/2024"/>
    <x v="0"/>
    <s v="Grande"/>
  </r>
  <r>
    <n v="1741"/>
    <x v="135"/>
    <x v="2"/>
    <x v="1"/>
    <x v="3"/>
    <x v="27"/>
    <n v="13"/>
    <n v="10800"/>
    <n v="15"/>
    <n v="140400"/>
    <x v="349"/>
    <x v="0"/>
    <x v="3"/>
    <x v="3"/>
    <x v="0"/>
    <s v="07/2024"/>
    <x v="1"/>
    <s v="Moyenne"/>
  </r>
  <r>
    <n v="1742"/>
    <x v="613"/>
    <x v="4"/>
    <x v="2"/>
    <x v="3"/>
    <x v="33"/>
    <n v="43"/>
    <n v="4800"/>
    <n v="0"/>
    <n v="206400"/>
    <x v="775"/>
    <x v="1"/>
    <x v="3"/>
    <x v="4"/>
    <x v="0"/>
    <s v="11/2024"/>
    <x v="0"/>
    <s v="Grande"/>
  </r>
  <r>
    <n v="1743"/>
    <x v="609"/>
    <x v="8"/>
    <x v="3"/>
    <x v="2"/>
    <x v="3"/>
    <n v="22"/>
    <n v="1800"/>
    <n v="10"/>
    <n v="39600"/>
    <x v="1557"/>
    <x v="0"/>
    <x v="1"/>
    <x v="9"/>
    <x v="0"/>
    <s v="01/2024"/>
    <x v="2"/>
    <s v="Petite"/>
  </r>
  <r>
    <n v="1744"/>
    <x v="118"/>
    <x v="8"/>
    <x v="4"/>
    <x v="4"/>
    <x v="35"/>
    <n v="7"/>
    <n v="101900"/>
    <n v="0"/>
    <n v="713300"/>
    <x v="1558"/>
    <x v="0"/>
    <x v="1"/>
    <x v="1"/>
    <x v="1"/>
    <s v="08/2023"/>
    <x v="1"/>
    <s v="Grande"/>
  </r>
  <r>
    <n v="1745"/>
    <x v="598"/>
    <x v="1"/>
    <x v="4"/>
    <x v="4"/>
    <x v="29"/>
    <n v="48"/>
    <n v="18600"/>
    <n v="15"/>
    <n v="892800"/>
    <x v="1559"/>
    <x v="0"/>
    <x v="2"/>
    <x v="7"/>
    <x v="0"/>
    <s v="02/2024"/>
    <x v="2"/>
    <s v="Grande"/>
  </r>
  <r>
    <n v="1746"/>
    <x v="677"/>
    <x v="5"/>
    <x v="4"/>
    <x v="2"/>
    <x v="37"/>
    <n v="17"/>
    <n v="3000"/>
    <n v="0"/>
    <n v="51000"/>
    <x v="1560"/>
    <x v="0"/>
    <x v="2"/>
    <x v="11"/>
    <x v="1"/>
    <s v="05/2023"/>
    <x v="3"/>
    <s v="Moyenne"/>
  </r>
  <r>
    <n v="1747"/>
    <x v="292"/>
    <x v="9"/>
    <x v="1"/>
    <x v="2"/>
    <x v="24"/>
    <n v="16"/>
    <n v="5400"/>
    <n v="20"/>
    <n v="86400"/>
    <x v="668"/>
    <x v="0"/>
    <x v="0"/>
    <x v="0"/>
    <x v="1"/>
    <s v="10/2023"/>
    <x v="0"/>
    <s v="Moyenne"/>
  </r>
  <r>
    <n v="1748"/>
    <x v="149"/>
    <x v="9"/>
    <x v="3"/>
    <x v="2"/>
    <x v="38"/>
    <n v="18"/>
    <n v="14300"/>
    <n v="20"/>
    <n v="257400"/>
    <x v="1561"/>
    <x v="0"/>
    <x v="4"/>
    <x v="5"/>
    <x v="1"/>
    <s v="09/2023"/>
    <x v="1"/>
    <s v="Grande"/>
  </r>
  <r>
    <n v="1749"/>
    <x v="382"/>
    <x v="5"/>
    <x v="1"/>
    <x v="0"/>
    <x v="10"/>
    <n v="38"/>
    <n v="25800"/>
    <n v="0"/>
    <n v="980400"/>
    <x v="1562"/>
    <x v="0"/>
    <x v="3"/>
    <x v="11"/>
    <x v="0"/>
    <s v="05/2024"/>
    <x v="3"/>
    <s v="Grande"/>
  </r>
  <r>
    <n v="1750"/>
    <x v="430"/>
    <x v="3"/>
    <x v="2"/>
    <x v="4"/>
    <x v="30"/>
    <n v="7"/>
    <n v="25400"/>
    <n v="15"/>
    <n v="177800"/>
    <x v="1563"/>
    <x v="3"/>
    <x v="0"/>
    <x v="2"/>
    <x v="0"/>
    <s v="03/2024"/>
    <x v="2"/>
    <s v="Moyenne"/>
  </r>
  <r>
    <n v="1751"/>
    <x v="363"/>
    <x v="5"/>
    <x v="4"/>
    <x v="2"/>
    <x v="3"/>
    <n v="47"/>
    <n v="2000"/>
    <n v="0"/>
    <n v="94000"/>
    <x v="1549"/>
    <x v="0"/>
    <x v="1"/>
    <x v="5"/>
    <x v="1"/>
    <s v="09/2023"/>
    <x v="1"/>
    <s v="Moyenne"/>
  </r>
  <r>
    <n v="1752"/>
    <x v="424"/>
    <x v="4"/>
    <x v="1"/>
    <x v="1"/>
    <x v="31"/>
    <n v="9"/>
    <n v="23900"/>
    <n v="0"/>
    <n v="215100"/>
    <x v="1564"/>
    <x v="0"/>
    <x v="1"/>
    <x v="11"/>
    <x v="1"/>
    <s v="05/2023"/>
    <x v="3"/>
    <s v="Grande"/>
  </r>
  <r>
    <n v="1753"/>
    <x v="139"/>
    <x v="4"/>
    <x v="1"/>
    <x v="2"/>
    <x v="24"/>
    <n v="11"/>
    <n v="6100"/>
    <n v="0"/>
    <n v="67100"/>
    <x v="315"/>
    <x v="0"/>
    <x v="0"/>
    <x v="6"/>
    <x v="0"/>
    <s v="04/2024"/>
    <x v="3"/>
    <s v="Moyenne"/>
  </r>
  <r>
    <n v="1754"/>
    <x v="517"/>
    <x v="1"/>
    <x v="3"/>
    <x v="2"/>
    <x v="23"/>
    <n v="49"/>
    <n v="4500"/>
    <n v="0"/>
    <n v="220500"/>
    <x v="1565"/>
    <x v="0"/>
    <x v="0"/>
    <x v="9"/>
    <x v="0"/>
    <s v="01/2024"/>
    <x v="2"/>
    <s v="Grande"/>
  </r>
  <r>
    <n v="1755"/>
    <x v="109"/>
    <x v="0"/>
    <x v="1"/>
    <x v="2"/>
    <x v="13"/>
    <n v="34"/>
    <n v="4100"/>
    <n v="5"/>
    <n v="139400"/>
    <x v="1566"/>
    <x v="1"/>
    <x v="3"/>
    <x v="9"/>
    <x v="0"/>
    <s v="01/2024"/>
    <x v="2"/>
    <s v="Moyenne"/>
  </r>
  <r>
    <n v="1756"/>
    <x v="264"/>
    <x v="9"/>
    <x v="3"/>
    <x v="3"/>
    <x v="33"/>
    <n v="28"/>
    <n v="5100"/>
    <n v="0"/>
    <n v="142800"/>
    <x v="106"/>
    <x v="0"/>
    <x v="2"/>
    <x v="4"/>
    <x v="1"/>
    <s v="11/2023"/>
    <x v="0"/>
    <s v="Moyenne"/>
  </r>
  <r>
    <n v="1757"/>
    <x v="620"/>
    <x v="4"/>
    <x v="3"/>
    <x v="2"/>
    <x v="38"/>
    <n v="19"/>
    <n v="13300"/>
    <n v="0"/>
    <n v="252700"/>
    <x v="1567"/>
    <x v="0"/>
    <x v="2"/>
    <x v="4"/>
    <x v="1"/>
    <s v="11/2023"/>
    <x v="0"/>
    <s v="Grande"/>
  </r>
  <r>
    <n v="1758"/>
    <x v="251"/>
    <x v="0"/>
    <x v="4"/>
    <x v="1"/>
    <x v="1"/>
    <n v="35"/>
    <n v="9200"/>
    <n v="10"/>
    <n v="322000"/>
    <x v="1568"/>
    <x v="3"/>
    <x v="0"/>
    <x v="1"/>
    <x v="0"/>
    <s v="08/2024"/>
    <x v="1"/>
    <s v="Grande"/>
  </r>
  <r>
    <n v="1759"/>
    <x v="170"/>
    <x v="7"/>
    <x v="3"/>
    <x v="2"/>
    <x v="38"/>
    <n v="35"/>
    <n v="14400"/>
    <n v="0"/>
    <n v="504000"/>
    <x v="1569"/>
    <x v="2"/>
    <x v="1"/>
    <x v="11"/>
    <x v="0"/>
    <s v="05/2024"/>
    <x v="3"/>
    <s v="Grande"/>
  </r>
  <r>
    <n v="1760"/>
    <x v="624"/>
    <x v="2"/>
    <x v="3"/>
    <x v="3"/>
    <x v="19"/>
    <n v="36"/>
    <n v="2100"/>
    <n v="0"/>
    <n v="75600"/>
    <x v="393"/>
    <x v="0"/>
    <x v="0"/>
    <x v="7"/>
    <x v="1"/>
    <s v="02/2023"/>
    <x v="2"/>
    <s v="Moyenne"/>
  </r>
  <r>
    <n v="1761"/>
    <x v="41"/>
    <x v="3"/>
    <x v="3"/>
    <x v="2"/>
    <x v="13"/>
    <n v="32"/>
    <n v="3800"/>
    <n v="0"/>
    <n v="121600"/>
    <x v="1570"/>
    <x v="2"/>
    <x v="1"/>
    <x v="5"/>
    <x v="1"/>
    <s v="09/2023"/>
    <x v="1"/>
    <s v="Moyenne"/>
  </r>
  <r>
    <n v="1762"/>
    <x v="18"/>
    <x v="0"/>
    <x v="3"/>
    <x v="2"/>
    <x v="2"/>
    <n v="47"/>
    <n v="5000"/>
    <n v="15"/>
    <n v="235000"/>
    <x v="1571"/>
    <x v="0"/>
    <x v="0"/>
    <x v="1"/>
    <x v="1"/>
    <s v="08/2023"/>
    <x v="1"/>
    <s v="Moyenne"/>
  </r>
  <r>
    <n v="1763"/>
    <x v="266"/>
    <x v="8"/>
    <x v="4"/>
    <x v="0"/>
    <x v="39"/>
    <n v="49"/>
    <n v="7300"/>
    <n v="20"/>
    <n v="357700"/>
    <x v="1572"/>
    <x v="0"/>
    <x v="0"/>
    <x v="4"/>
    <x v="1"/>
    <s v="11/2023"/>
    <x v="0"/>
    <s v="Grande"/>
  </r>
  <r>
    <n v="1764"/>
    <x v="323"/>
    <x v="1"/>
    <x v="0"/>
    <x v="1"/>
    <x v="11"/>
    <n v="48"/>
    <n v="5600"/>
    <n v="0"/>
    <n v="268800"/>
    <x v="1573"/>
    <x v="1"/>
    <x v="0"/>
    <x v="4"/>
    <x v="0"/>
    <s v="11/2024"/>
    <x v="0"/>
    <s v="Grande"/>
  </r>
  <r>
    <n v="1765"/>
    <x v="184"/>
    <x v="5"/>
    <x v="1"/>
    <x v="1"/>
    <x v="31"/>
    <n v="35"/>
    <n v="27400"/>
    <n v="20"/>
    <n v="959000"/>
    <x v="1574"/>
    <x v="0"/>
    <x v="0"/>
    <x v="11"/>
    <x v="0"/>
    <s v="05/2024"/>
    <x v="3"/>
    <s v="Grande"/>
  </r>
  <r>
    <n v="1766"/>
    <x v="368"/>
    <x v="9"/>
    <x v="0"/>
    <x v="2"/>
    <x v="37"/>
    <n v="44"/>
    <n v="3100"/>
    <n v="20"/>
    <n v="136400"/>
    <x v="1575"/>
    <x v="0"/>
    <x v="3"/>
    <x v="3"/>
    <x v="0"/>
    <s v="07/2024"/>
    <x v="1"/>
    <s v="Moyenne"/>
  </r>
  <r>
    <n v="1767"/>
    <x v="374"/>
    <x v="4"/>
    <x v="4"/>
    <x v="1"/>
    <x v="12"/>
    <n v="37"/>
    <n v="18900"/>
    <n v="5"/>
    <n v="699300"/>
    <x v="1576"/>
    <x v="0"/>
    <x v="3"/>
    <x v="0"/>
    <x v="1"/>
    <s v="10/2023"/>
    <x v="0"/>
    <s v="Grande"/>
  </r>
  <r>
    <n v="1768"/>
    <x v="505"/>
    <x v="0"/>
    <x v="4"/>
    <x v="2"/>
    <x v="16"/>
    <n v="3"/>
    <n v="9800"/>
    <n v="0"/>
    <n v="29400"/>
    <x v="1508"/>
    <x v="0"/>
    <x v="2"/>
    <x v="8"/>
    <x v="0"/>
    <s v="06/2024"/>
    <x v="3"/>
    <s v="Petite"/>
  </r>
  <r>
    <n v="1769"/>
    <x v="533"/>
    <x v="7"/>
    <x v="1"/>
    <x v="1"/>
    <x v="18"/>
    <n v="1"/>
    <n v="89200"/>
    <n v="5"/>
    <n v="89200"/>
    <x v="1577"/>
    <x v="1"/>
    <x v="1"/>
    <x v="2"/>
    <x v="0"/>
    <s v="03/2024"/>
    <x v="2"/>
    <s v="Moyenne"/>
  </r>
  <r>
    <n v="1770"/>
    <x v="103"/>
    <x v="3"/>
    <x v="0"/>
    <x v="0"/>
    <x v="34"/>
    <n v="26"/>
    <n v="33000"/>
    <n v="0"/>
    <n v="858000"/>
    <x v="1578"/>
    <x v="0"/>
    <x v="0"/>
    <x v="10"/>
    <x v="1"/>
    <s v="12/2023"/>
    <x v="0"/>
    <s v="Grande"/>
  </r>
  <r>
    <n v="1771"/>
    <x v="655"/>
    <x v="6"/>
    <x v="2"/>
    <x v="3"/>
    <x v="33"/>
    <n v="24"/>
    <n v="5200"/>
    <n v="0"/>
    <n v="124800"/>
    <x v="493"/>
    <x v="1"/>
    <x v="3"/>
    <x v="7"/>
    <x v="0"/>
    <s v="02/2024"/>
    <x v="2"/>
    <s v="Moyenne"/>
  </r>
  <r>
    <n v="1772"/>
    <x v="678"/>
    <x v="9"/>
    <x v="1"/>
    <x v="1"/>
    <x v="18"/>
    <n v="4"/>
    <n v="89800"/>
    <n v="5"/>
    <n v="359200"/>
    <x v="1579"/>
    <x v="0"/>
    <x v="1"/>
    <x v="8"/>
    <x v="1"/>
    <s v="06/2023"/>
    <x v="3"/>
    <s v="Grande"/>
  </r>
  <r>
    <n v="1773"/>
    <x v="283"/>
    <x v="9"/>
    <x v="3"/>
    <x v="4"/>
    <x v="15"/>
    <n v="2"/>
    <n v="8200"/>
    <n v="0"/>
    <n v="16400"/>
    <x v="1580"/>
    <x v="1"/>
    <x v="1"/>
    <x v="1"/>
    <x v="0"/>
    <s v="08/2024"/>
    <x v="1"/>
    <s v="Petite"/>
  </r>
  <r>
    <n v="1774"/>
    <x v="304"/>
    <x v="1"/>
    <x v="2"/>
    <x v="1"/>
    <x v="14"/>
    <n v="17"/>
    <n v="134000"/>
    <n v="10"/>
    <n v="2278000"/>
    <x v="1581"/>
    <x v="1"/>
    <x v="0"/>
    <x v="1"/>
    <x v="1"/>
    <s v="08/2023"/>
    <x v="1"/>
    <s v="Grande"/>
  </r>
  <r>
    <n v="1775"/>
    <x v="679"/>
    <x v="1"/>
    <x v="2"/>
    <x v="0"/>
    <x v="22"/>
    <n v="31"/>
    <n v="12400"/>
    <n v="10"/>
    <n v="384400"/>
    <x v="1582"/>
    <x v="0"/>
    <x v="1"/>
    <x v="8"/>
    <x v="0"/>
    <s v="06/2024"/>
    <x v="3"/>
    <s v="Grande"/>
  </r>
  <r>
    <n v="1776"/>
    <x v="75"/>
    <x v="7"/>
    <x v="4"/>
    <x v="3"/>
    <x v="19"/>
    <n v="16"/>
    <n v="2200"/>
    <n v="0"/>
    <n v="35200"/>
    <x v="1583"/>
    <x v="0"/>
    <x v="0"/>
    <x v="3"/>
    <x v="1"/>
    <s v="07/2023"/>
    <x v="1"/>
    <s v="Petite"/>
  </r>
  <r>
    <n v="1777"/>
    <x v="66"/>
    <x v="7"/>
    <x v="3"/>
    <x v="0"/>
    <x v="22"/>
    <n v="42"/>
    <n v="12400"/>
    <n v="5"/>
    <n v="520800"/>
    <x v="1584"/>
    <x v="1"/>
    <x v="3"/>
    <x v="10"/>
    <x v="0"/>
    <s v="12/2024"/>
    <x v="0"/>
    <s v="Grande"/>
  </r>
  <r>
    <n v="1778"/>
    <x v="578"/>
    <x v="6"/>
    <x v="0"/>
    <x v="2"/>
    <x v="23"/>
    <n v="9"/>
    <n v="5200"/>
    <n v="0"/>
    <n v="46800"/>
    <x v="280"/>
    <x v="0"/>
    <x v="2"/>
    <x v="9"/>
    <x v="1"/>
    <s v="01/2023"/>
    <x v="2"/>
    <s v="Petite"/>
  </r>
  <r>
    <n v="1779"/>
    <x v="332"/>
    <x v="4"/>
    <x v="2"/>
    <x v="1"/>
    <x v="31"/>
    <n v="25"/>
    <n v="28000"/>
    <n v="0"/>
    <n v="700000"/>
    <x v="1585"/>
    <x v="0"/>
    <x v="2"/>
    <x v="6"/>
    <x v="1"/>
    <s v="04/2023"/>
    <x v="3"/>
    <s v="Grande"/>
  </r>
  <r>
    <n v="1780"/>
    <x v="422"/>
    <x v="3"/>
    <x v="2"/>
    <x v="1"/>
    <x v="12"/>
    <n v="15"/>
    <n v="18000"/>
    <n v="0"/>
    <n v="270000"/>
    <x v="1205"/>
    <x v="1"/>
    <x v="3"/>
    <x v="10"/>
    <x v="1"/>
    <s v="12/2023"/>
    <x v="0"/>
    <s v="Grande"/>
  </r>
  <r>
    <n v="1781"/>
    <x v="327"/>
    <x v="6"/>
    <x v="2"/>
    <x v="2"/>
    <x v="38"/>
    <n v="31"/>
    <n v="14900"/>
    <n v="20"/>
    <n v="461900"/>
    <x v="1586"/>
    <x v="0"/>
    <x v="2"/>
    <x v="0"/>
    <x v="0"/>
    <s v="10/2024"/>
    <x v="0"/>
    <s v="Grande"/>
  </r>
  <r>
    <n v="1782"/>
    <x v="676"/>
    <x v="4"/>
    <x v="3"/>
    <x v="3"/>
    <x v="20"/>
    <n v="47"/>
    <n v="7100"/>
    <n v="10"/>
    <n v="333700"/>
    <x v="1587"/>
    <x v="0"/>
    <x v="1"/>
    <x v="0"/>
    <x v="1"/>
    <s v="10/2023"/>
    <x v="0"/>
    <s v="Grande"/>
  </r>
  <r>
    <n v="1783"/>
    <x v="391"/>
    <x v="2"/>
    <x v="3"/>
    <x v="2"/>
    <x v="16"/>
    <n v="9"/>
    <n v="9400"/>
    <n v="15"/>
    <n v="84600"/>
    <x v="1588"/>
    <x v="0"/>
    <x v="0"/>
    <x v="10"/>
    <x v="0"/>
    <s v="12/2024"/>
    <x v="0"/>
    <s v="Moyenne"/>
  </r>
  <r>
    <n v="1784"/>
    <x v="145"/>
    <x v="3"/>
    <x v="0"/>
    <x v="0"/>
    <x v="4"/>
    <n v="19"/>
    <n v="40200"/>
    <n v="0"/>
    <n v="763800"/>
    <x v="1589"/>
    <x v="0"/>
    <x v="1"/>
    <x v="10"/>
    <x v="0"/>
    <s v="12/2024"/>
    <x v="0"/>
    <s v="Grande"/>
  </r>
  <r>
    <n v="1785"/>
    <x v="422"/>
    <x v="5"/>
    <x v="3"/>
    <x v="0"/>
    <x v="39"/>
    <n v="8"/>
    <n v="9000"/>
    <n v="20"/>
    <n v="72000"/>
    <x v="1590"/>
    <x v="0"/>
    <x v="1"/>
    <x v="10"/>
    <x v="1"/>
    <s v="12/2023"/>
    <x v="0"/>
    <s v="Moyenne"/>
  </r>
  <r>
    <n v="1786"/>
    <x v="176"/>
    <x v="0"/>
    <x v="0"/>
    <x v="1"/>
    <x v="31"/>
    <n v="47"/>
    <n v="25800"/>
    <n v="10"/>
    <n v="1212600"/>
    <x v="1591"/>
    <x v="2"/>
    <x v="0"/>
    <x v="11"/>
    <x v="1"/>
    <s v="05/2023"/>
    <x v="3"/>
    <s v="Grande"/>
  </r>
  <r>
    <n v="1787"/>
    <x v="572"/>
    <x v="9"/>
    <x v="4"/>
    <x v="2"/>
    <x v="24"/>
    <n v="13"/>
    <n v="5800"/>
    <n v="5"/>
    <n v="75400"/>
    <x v="1592"/>
    <x v="0"/>
    <x v="1"/>
    <x v="7"/>
    <x v="1"/>
    <s v="02/2023"/>
    <x v="2"/>
    <s v="Moyenne"/>
  </r>
  <r>
    <n v="1788"/>
    <x v="467"/>
    <x v="3"/>
    <x v="4"/>
    <x v="1"/>
    <x v="9"/>
    <n v="47"/>
    <n v="10000"/>
    <n v="20"/>
    <n v="470000"/>
    <x v="1593"/>
    <x v="0"/>
    <x v="0"/>
    <x v="0"/>
    <x v="0"/>
    <s v="10/2024"/>
    <x v="0"/>
    <s v="Grande"/>
  </r>
  <r>
    <n v="1789"/>
    <x v="399"/>
    <x v="2"/>
    <x v="1"/>
    <x v="0"/>
    <x v="21"/>
    <n v="33"/>
    <n v="4200"/>
    <n v="0"/>
    <n v="138600"/>
    <x v="1356"/>
    <x v="2"/>
    <x v="0"/>
    <x v="5"/>
    <x v="0"/>
    <s v="09/2024"/>
    <x v="1"/>
    <s v="Moyenne"/>
  </r>
  <r>
    <n v="1790"/>
    <x v="405"/>
    <x v="5"/>
    <x v="0"/>
    <x v="1"/>
    <x v="14"/>
    <n v="27"/>
    <n v="118000"/>
    <n v="20"/>
    <n v="3186000"/>
    <x v="1594"/>
    <x v="0"/>
    <x v="1"/>
    <x v="5"/>
    <x v="1"/>
    <s v="09/2023"/>
    <x v="1"/>
    <s v="Grande"/>
  </r>
  <r>
    <n v="1791"/>
    <x v="372"/>
    <x v="2"/>
    <x v="0"/>
    <x v="2"/>
    <x v="23"/>
    <n v="41"/>
    <n v="4700"/>
    <n v="15"/>
    <n v="192700"/>
    <x v="1595"/>
    <x v="1"/>
    <x v="3"/>
    <x v="2"/>
    <x v="0"/>
    <s v="03/2024"/>
    <x v="2"/>
    <s v="Moyenne"/>
  </r>
  <r>
    <n v="1792"/>
    <x v="428"/>
    <x v="9"/>
    <x v="0"/>
    <x v="4"/>
    <x v="35"/>
    <n v="44"/>
    <n v="106500"/>
    <n v="10"/>
    <n v="4686000"/>
    <x v="1596"/>
    <x v="0"/>
    <x v="3"/>
    <x v="0"/>
    <x v="1"/>
    <s v="10/2023"/>
    <x v="0"/>
    <s v="Grande"/>
  </r>
  <r>
    <n v="1793"/>
    <x v="590"/>
    <x v="6"/>
    <x v="0"/>
    <x v="1"/>
    <x v="32"/>
    <n v="8"/>
    <n v="2600"/>
    <n v="0"/>
    <n v="20800"/>
    <x v="997"/>
    <x v="2"/>
    <x v="3"/>
    <x v="10"/>
    <x v="1"/>
    <s v="12/2023"/>
    <x v="0"/>
    <s v="Petite"/>
  </r>
  <r>
    <n v="1794"/>
    <x v="342"/>
    <x v="4"/>
    <x v="4"/>
    <x v="2"/>
    <x v="23"/>
    <n v="22"/>
    <n v="5000"/>
    <n v="20"/>
    <n v="110000"/>
    <x v="1597"/>
    <x v="1"/>
    <x v="1"/>
    <x v="8"/>
    <x v="0"/>
    <s v="06/2024"/>
    <x v="3"/>
    <s v="Moyenne"/>
  </r>
  <r>
    <n v="1795"/>
    <x v="55"/>
    <x v="5"/>
    <x v="4"/>
    <x v="2"/>
    <x v="3"/>
    <n v="33"/>
    <n v="1900"/>
    <n v="5"/>
    <n v="62700"/>
    <x v="1598"/>
    <x v="0"/>
    <x v="1"/>
    <x v="7"/>
    <x v="0"/>
    <s v="02/2024"/>
    <x v="2"/>
    <s v="Moyenne"/>
  </r>
  <r>
    <n v="1796"/>
    <x v="363"/>
    <x v="3"/>
    <x v="2"/>
    <x v="4"/>
    <x v="8"/>
    <n v="3"/>
    <n v="60000"/>
    <n v="0"/>
    <n v="180000"/>
    <x v="1599"/>
    <x v="1"/>
    <x v="3"/>
    <x v="5"/>
    <x v="1"/>
    <s v="09/2023"/>
    <x v="1"/>
    <s v="Moyenne"/>
  </r>
  <r>
    <n v="1797"/>
    <x v="270"/>
    <x v="2"/>
    <x v="1"/>
    <x v="1"/>
    <x v="11"/>
    <n v="50"/>
    <n v="6300"/>
    <n v="5"/>
    <n v="315000"/>
    <x v="1600"/>
    <x v="1"/>
    <x v="1"/>
    <x v="8"/>
    <x v="0"/>
    <s v="06/2024"/>
    <x v="3"/>
    <s v="Grande"/>
  </r>
  <r>
    <n v="1798"/>
    <x v="680"/>
    <x v="7"/>
    <x v="1"/>
    <x v="1"/>
    <x v="14"/>
    <n v="9"/>
    <n v="111500"/>
    <n v="0"/>
    <n v="1003500"/>
    <x v="1601"/>
    <x v="0"/>
    <x v="0"/>
    <x v="5"/>
    <x v="0"/>
    <s v="09/2024"/>
    <x v="1"/>
    <s v="Grande"/>
  </r>
  <r>
    <n v="1799"/>
    <x v="288"/>
    <x v="1"/>
    <x v="3"/>
    <x v="2"/>
    <x v="37"/>
    <n v="39"/>
    <n v="3200"/>
    <n v="5"/>
    <n v="124800"/>
    <x v="1161"/>
    <x v="0"/>
    <x v="0"/>
    <x v="3"/>
    <x v="1"/>
    <s v="07/2023"/>
    <x v="1"/>
    <s v="Moyenne"/>
  </r>
  <r>
    <n v="1800"/>
    <x v="546"/>
    <x v="8"/>
    <x v="0"/>
    <x v="0"/>
    <x v="0"/>
    <n v="12"/>
    <n v="20300"/>
    <n v="0"/>
    <n v="243600"/>
    <x v="1602"/>
    <x v="1"/>
    <x v="3"/>
    <x v="3"/>
    <x v="1"/>
    <s v="07/2023"/>
    <x v="1"/>
    <s v="Grande"/>
  </r>
  <r>
    <n v="1801"/>
    <x v="417"/>
    <x v="1"/>
    <x v="1"/>
    <x v="3"/>
    <x v="6"/>
    <n v="7"/>
    <n v="9900"/>
    <n v="5"/>
    <n v="69300"/>
    <x v="1603"/>
    <x v="0"/>
    <x v="2"/>
    <x v="10"/>
    <x v="1"/>
    <s v="12/2023"/>
    <x v="0"/>
    <s v="Moyenne"/>
  </r>
  <r>
    <n v="1802"/>
    <x v="127"/>
    <x v="6"/>
    <x v="3"/>
    <x v="2"/>
    <x v="16"/>
    <n v="3"/>
    <n v="9300"/>
    <n v="10"/>
    <n v="27900"/>
    <x v="1604"/>
    <x v="0"/>
    <x v="3"/>
    <x v="3"/>
    <x v="0"/>
    <s v="07/2024"/>
    <x v="1"/>
    <s v="Petite"/>
  </r>
  <r>
    <n v="1803"/>
    <x v="665"/>
    <x v="2"/>
    <x v="1"/>
    <x v="2"/>
    <x v="37"/>
    <n v="31"/>
    <n v="3100"/>
    <n v="5"/>
    <n v="96100"/>
    <x v="1605"/>
    <x v="2"/>
    <x v="1"/>
    <x v="8"/>
    <x v="1"/>
    <s v="06/2023"/>
    <x v="3"/>
    <s v="Moyenne"/>
  </r>
  <r>
    <n v="1804"/>
    <x v="265"/>
    <x v="5"/>
    <x v="4"/>
    <x v="0"/>
    <x v="10"/>
    <n v="43"/>
    <n v="25600"/>
    <n v="10"/>
    <n v="1100800"/>
    <x v="1606"/>
    <x v="0"/>
    <x v="0"/>
    <x v="7"/>
    <x v="1"/>
    <s v="02/2023"/>
    <x v="2"/>
    <s v="Grande"/>
  </r>
  <r>
    <n v="1805"/>
    <x v="160"/>
    <x v="2"/>
    <x v="2"/>
    <x v="3"/>
    <x v="19"/>
    <n v="19"/>
    <n v="2400"/>
    <n v="15"/>
    <n v="45600"/>
    <x v="1607"/>
    <x v="0"/>
    <x v="0"/>
    <x v="7"/>
    <x v="1"/>
    <s v="02/2023"/>
    <x v="2"/>
    <s v="Petite"/>
  </r>
  <r>
    <n v="1806"/>
    <x v="322"/>
    <x v="4"/>
    <x v="3"/>
    <x v="2"/>
    <x v="23"/>
    <n v="46"/>
    <n v="5200"/>
    <n v="20"/>
    <n v="239200"/>
    <x v="1608"/>
    <x v="0"/>
    <x v="2"/>
    <x v="1"/>
    <x v="0"/>
    <s v="08/2024"/>
    <x v="1"/>
    <s v="Moyenne"/>
  </r>
  <r>
    <n v="1807"/>
    <x v="320"/>
    <x v="9"/>
    <x v="1"/>
    <x v="0"/>
    <x v="5"/>
    <n v="34"/>
    <n v="3200"/>
    <n v="10"/>
    <n v="108800"/>
    <x v="1130"/>
    <x v="0"/>
    <x v="3"/>
    <x v="9"/>
    <x v="0"/>
    <s v="01/2024"/>
    <x v="2"/>
    <s v="Moyenne"/>
  </r>
  <r>
    <n v="1808"/>
    <x v="631"/>
    <x v="9"/>
    <x v="4"/>
    <x v="2"/>
    <x v="37"/>
    <n v="19"/>
    <n v="3300"/>
    <n v="10"/>
    <n v="62700"/>
    <x v="1609"/>
    <x v="0"/>
    <x v="3"/>
    <x v="9"/>
    <x v="0"/>
    <s v="01/2024"/>
    <x v="2"/>
    <s v="Moyenne"/>
  </r>
  <r>
    <n v="1809"/>
    <x v="333"/>
    <x v="5"/>
    <x v="4"/>
    <x v="2"/>
    <x v="24"/>
    <n v="50"/>
    <n v="5200"/>
    <n v="0"/>
    <n v="260000"/>
    <x v="1522"/>
    <x v="1"/>
    <x v="1"/>
    <x v="5"/>
    <x v="0"/>
    <s v="09/2024"/>
    <x v="1"/>
    <s v="Grande"/>
  </r>
  <r>
    <n v="1810"/>
    <x v="176"/>
    <x v="7"/>
    <x v="1"/>
    <x v="3"/>
    <x v="20"/>
    <n v="45"/>
    <n v="6500"/>
    <n v="0"/>
    <n v="292500"/>
    <x v="1610"/>
    <x v="0"/>
    <x v="2"/>
    <x v="11"/>
    <x v="1"/>
    <s v="05/2023"/>
    <x v="3"/>
    <s v="Grande"/>
  </r>
  <r>
    <n v="1811"/>
    <x v="246"/>
    <x v="0"/>
    <x v="1"/>
    <x v="4"/>
    <x v="35"/>
    <n v="12"/>
    <n v="100700"/>
    <n v="10"/>
    <n v="1208400"/>
    <x v="1611"/>
    <x v="1"/>
    <x v="4"/>
    <x v="7"/>
    <x v="0"/>
    <s v="02/2024"/>
    <x v="2"/>
    <s v="Grande"/>
  </r>
  <r>
    <n v="1812"/>
    <x v="681"/>
    <x v="2"/>
    <x v="3"/>
    <x v="2"/>
    <x v="37"/>
    <n v="39"/>
    <n v="3400"/>
    <n v="10"/>
    <n v="132600"/>
    <x v="349"/>
    <x v="2"/>
    <x v="1"/>
    <x v="1"/>
    <x v="1"/>
    <s v="08/2023"/>
    <x v="1"/>
    <s v="Moyenne"/>
  </r>
  <r>
    <n v="1813"/>
    <x v="353"/>
    <x v="2"/>
    <x v="0"/>
    <x v="0"/>
    <x v="4"/>
    <n v="27"/>
    <n v="39400"/>
    <n v="0"/>
    <n v="1063800"/>
    <x v="1612"/>
    <x v="2"/>
    <x v="0"/>
    <x v="11"/>
    <x v="1"/>
    <s v="05/2023"/>
    <x v="3"/>
    <s v="Grande"/>
  </r>
  <r>
    <n v="1814"/>
    <x v="229"/>
    <x v="9"/>
    <x v="3"/>
    <x v="4"/>
    <x v="15"/>
    <n v="10"/>
    <n v="6800"/>
    <n v="10"/>
    <n v="68000"/>
    <x v="876"/>
    <x v="0"/>
    <x v="3"/>
    <x v="10"/>
    <x v="0"/>
    <s v="12/2024"/>
    <x v="0"/>
    <s v="Moyenne"/>
  </r>
  <r>
    <n v="1815"/>
    <x v="111"/>
    <x v="6"/>
    <x v="1"/>
    <x v="0"/>
    <x v="10"/>
    <n v="25"/>
    <n v="30700"/>
    <n v="5"/>
    <n v="767500"/>
    <x v="1613"/>
    <x v="0"/>
    <x v="3"/>
    <x v="4"/>
    <x v="0"/>
    <s v="11/2024"/>
    <x v="0"/>
    <s v="Grande"/>
  </r>
  <r>
    <n v="1816"/>
    <x v="368"/>
    <x v="0"/>
    <x v="4"/>
    <x v="1"/>
    <x v="31"/>
    <n v="7"/>
    <n v="27600"/>
    <n v="20"/>
    <n v="193200"/>
    <x v="1614"/>
    <x v="1"/>
    <x v="1"/>
    <x v="3"/>
    <x v="0"/>
    <s v="07/2024"/>
    <x v="1"/>
    <s v="Moyenne"/>
  </r>
  <r>
    <n v="1817"/>
    <x v="25"/>
    <x v="2"/>
    <x v="2"/>
    <x v="3"/>
    <x v="27"/>
    <n v="49"/>
    <n v="13700"/>
    <n v="20"/>
    <n v="671300"/>
    <x v="1615"/>
    <x v="0"/>
    <x v="1"/>
    <x v="3"/>
    <x v="1"/>
    <s v="07/2023"/>
    <x v="1"/>
    <s v="Grande"/>
  </r>
  <r>
    <n v="1818"/>
    <x v="592"/>
    <x v="7"/>
    <x v="3"/>
    <x v="2"/>
    <x v="3"/>
    <n v="50"/>
    <n v="1900"/>
    <n v="15"/>
    <n v="95000"/>
    <x v="1616"/>
    <x v="0"/>
    <x v="3"/>
    <x v="9"/>
    <x v="1"/>
    <s v="01/2023"/>
    <x v="2"/>
    <s v="Moyenne"/>
  </r>
  <r>
    <n v="1819"/>
    <x v="181"/>
    <x v="1"/>
    <x v="4"/>
    <x v="4"/>
    <x v="26"/>
    <n v="43"/>
    <n v="37800"/>
    <n v="10"/>
    <n v="1625400"/>
    <x v="1617"/>
    <x v="2"/>
    <x v="2"/>
    <x v="4"/>
    <x v="1"/>
    <s v="11/2023"/>
    <x v="0"/>
    <s v="Grande"/>
  </r>
  <r>
    <n v="1820"/>
    <x v="334"/>
    <x v="7"/>
    <x v="0"/>
    <x v="1"/>
    <x v="14"/>
    <n v="49"/>
    <n v="133000"/>
    <n v="0"/>
    <n v="6517000"/>
    <x v="1618"/>
    <x v="0"/>
    <x v="1"/>
    <x v="11"/>
    <x v="0"/>
    <s v="05/2024"/>
    <x v="3"/>
    <s v="Grande"/>
  </r>
  <r>
    <n v="1821"/>
    <x v="143"/>
    <x v="5"/>
    <x v="3"/>
    <x v="0"/>
    <x v="4"/>
    <n v="5"/>
    <n v="31900"/>
    <n v="10"/>
    <n v="159500"/>
    <x v="1619"/>
    <x v="0"/>
    <x v="0"/>
    <x v="2"/>
    <x v="1"/>
    <s v="03/2023"/>
    <x v="2"/>
    <s v="Moyenne"/>
  </r>
  <r>
    <n v="1822"/>
    <x v="67"/>
    <x v="4"/>
    <x v="0"/>
    <x v="0"/>
    <x v="10"/>
    <n v="21"/>
    <n v="31200"/>
    <n v="20"/>
    <n v="655200"/>
    <x v="1620"/>
    <x v="0"/>
    <x v="2"/>
    <x v="0"/>
    <x v="0"/>
    <s v="10/2024"/>
    <x v="0"/>
    <s v="Grande"/>
  </r>
  <r>
    <n v="1823"/>
    <x v="629"/>
    <x v="2"/>
    <x v="4"/>
    <x v="3"/>
    <x v="36"/>
    <n v="41"/>
    <n v="4000"/>
    <n v="0"/>
    <n v="164000"/>
    <x v="740"/>
    <x v="0"/>
    <x v="3"/>
    <x v="9"/>
    <x v="1"/>
    <s v="01/2023"/>
    <x v="2"/>
    <s v="Moyenne"/>
  </r>
  <r>
    <n v="1824"/>
    <x v="639"/>
    <x v="4"/>
    <x v="2"/>
    <x v="1"/>
    <x v="31"/>
    <n v="39"/>
    <n v="25300"/>
    <n v="0"/>
    <n v="986700"/>
    <x v="1621"/>
    <x v="0"/>
    <x v="1"/>
    <x v="0"/>
    <x v="0"/>
    <s v="10/2024"/>
    <x v="0"/>
    <s v="Grande"/>
  </r>
  <r>
    <n v="1825"/>
    <x v="22"/>
    <x v="6"/>
    <x v="1"/>
    <x v="4"/>
    <x v="30"/>
    <n v="23"/>
    <n v="29400"/>
    <n v="15"/>
    <n v="676200"/>
    <x v="655"/>
    <x v="0"/>
    <x v="0"/>
    <x v="6"/>
    <x v="0"/>
    <s v="04/2024"/>
    <x v="3"/>
    <s v="Grande"/>
  </r>
  <r>
    <n v="1826"/>
    <x v="77"/>
    <x v="8"/>
    <x v="1"/>
    <x v="1"/>
    <x v="12"/>
    <n v="39"/>
    <n v="18700"/>
    <n v="0"/>
    <n v="729300"/>
    <x v="1622"/>
    <x v="0"/>
    <x v="3"/>
    <x v="11"/>
    <x v="0"/>
    <s v="05/2024"/>
    <x v="3"/>
    <s v="Grande"/>
  </r>
  <r>
    <n v="1827"/>
    <x v="134"/>
    <x v="2"/>
    <x v="3"/>
    <x v="0"/>
    <x v="10"/>
    <n v="13"/>
    <n v="32000"/>
    <n v="0"/>
    <n v="416000"/>
    <x v="1623"/>
    <x v="0"/>
    <x v="1"/>
    <x v="4"/>
    <x v="0"/>
    <s v="11/2024"/>
    <x v="0"/>
    <s v="Grande"/>
  </r>
  <r>
    <n v="1828"/>
    <x v="424"/>
    <x v="3"/>
    <x v="2"/>
    <x v="2"/>
    <x v="3"/>
    <n v="26"/>
    <n v="1800"/>
    <n v="5"/>
    <n v="46800"/>
    <x v="1375"/>
    <x v="0"/>
    <x v="0"/>
    <x v="11"/>
    <x v="1"/>
    <s v="05/2023"/>
    <x v="3"/>
    <s v="Petite"/>
  </r>
  <r>
    <n v="1829"/>
    <x v="234"/>
    <x v="5"/>
    <x v="4"/>
    <x v="1"/>
    <x v="14"/>
    <n v="1"/>
    <n v="126100"/>
    <n v="20"/>
    <n v="126100"/>
    <x v="1624"/>
    <x v="0"/>
    <x v="1"/>
    <x v="4"/>
    <x v="1"/>
    <s v="11/2023"/>
    <x v="0"/>
    <s v="Moyenne"/>
  </r>
  <r>
    <n v="1830"/>
    <x v="1"/>
    <x v="5"/>
    <x v="3"/>
    <x v="0"/>
    <x v="22"/>
    <n v="35"/>
    <n v="12200"/>
    <n v="5"/>
    <n v="427000"/>
    <x v="1625"/>
    <x v="0"/>
    <x v="3"/>
    <x v="1"/>
    <x v="0"/>
    <s v="08/2024"/>
    <x v="1"/>
    <s v="Grande"/>
  </r>
  <r>
    <n v="1831"/>
    <x v="605"/>
    <x v="5"/>
    <x v="4"/>
    <x v="4"/>
    <x v="8"/>
    <n v="35"/>
    <n v="73000"/>
    <n v="0"/>
    <n v="2555000"/>
    <x v="1626"/>
    <x v="0"/>
    <x v="3"/>
    <x v="11"/>
    <x v="1"/>
    <s v="05/2023"/>
    <x v="3"/>
    <s v="Grande"/>
  </r>
  <r>
    <n v="1832"/>
    <x v="593"/>
    <x v="6"/>
    <x v="3"/>
    <x v="0"/>
    <x v="4"/>
    <n v="26"/>
    <n v="32700"/>
    <n v="20"/>
    <n v="850200"/>
    <x v="1627"/>
    <x v="0"/>
    <x v="0"/>
    <x v="7"/>
    <x v="1"/>
    <s v="02/2023"/>
    <x v="2"/>
    <s v="Grande"/>
  </r>
  <r>
    <n v="1833"/>
    <x v="682"/>
    <x v="7"/>
    <x v="2"/>
    <x v="0"/>
    <x v="4"/>
    <n v="14"/>
    <n v="33600"/>
    <n v="5"/>
    <n v="470400"/>
    <x v="1628"/>
    <x v="1"/>
    <x v="0"/>
    <x v="3"/>
    <x v="1"/>
    <s v="07/2023"/>
    <x v="1"/>
    <s v="Grande"/>
  </r>
  <r>
    <n v="1834"/>
    <x v="487"/>
    <x v="2"/>
    <x v="0"/>
    <x v="2"/>
    <x v="2"/>
    <n v="32"/>
    <n v="5900"/>
    <n v="0"/>
    <n v="188800"/>
    <x v="1629"/>
    <x v="1"/>
    <x v="1"/>
    <x v="6"/>
    <x v="0"/>
    <s v="04/2024"/>
    <x v="3"/>
    <s v="Moyenne"/>
  </r>
  <r>
    <n v="1835"/>
    <x v="683"/>
    <x v="1"/>
    <x v="4"/>
    <x v="1"/>
    <x v="31"/>
    <n v="38"/>
    <n v="28100"/>
    <n v="0"/>
    <n v="1067800"/>
    <x v="1630"/>
    <x v="0"/>
    <x v="1"/>
    <x v="2"/>
    <x v="1"/>
    <s v="03/2023"/>
    <x v="2"/>
    <s v="Grande"/>
  </r>
  <r>
    <n v="1836"/>
    <x v="528"/>
    <x v="5"/>
    <x v="2"/>
    <x v="3"/>
    <x v="25"/>
    <n v="35"/>
    <n v="7100"/>
    <n v="20"/>
    <n v="248500"/>
    <x v="1631"/>
    <x v="0"/>
    <x v="4"/>
    <x v="11"/>
    <x v="0"/>
    <s v="05/2024"/>
    <x v="3"/>
    <s v="Moyenne"/>
  </r>
  <r>
    <n v="1837"/>
    <x v="81"/>
    <x v="9"/>
    <x v="1"/>
    <x v="2"/>
    <x v="23"/>
    <n v="15"/>
    <n v="5400"/>
    <n v="0"/>
    <n v="81000"/>
    <x v="291"/>
    <x v="2"/>
    <x v="1"/>
    <x v="6"/>
    <x v="0"/>
    <s v="04/2024"/>
    <x v="3"/>
    <s v="Moyenne"/>
  </r>
  <r>
    <n v="1838"/>
    <x v="439"/>
    <x v="6"/>
    <x v="3"/>
    <x v="0"/>
    <x v="21"/>
    <n v="15"/>
    <n v="4100"/>
    <n v="15"/>
    <n v="61500"/>
    <x v="1632"/>
    <x v="0"/>
    <x v="2"/>
    <x v="4"/>
    <x v="0"/>
    <s v="11/2024"/>
    <x v="0"/>
    <s v="Moyenne"/>
  </r>
  <r>
    <n v="1839"/>
    <x v="178"/>
    <x v="8"/>
    <x v="3"/>
    <x v="3"/>
    <x v="25"/>
    <n v="8"/>
    <n v="7500"/>
    <n v="5"/>
    <n v="60000"/>
    <x v="1633"/>
    <x v="0"/>
    <x v="0"/>
    <x v="9"/>
    <x v="1"/>
    <s v="01/2023"/>
    <x v="2"/>
    <s v="Moyenne"/>
  </r>
  <r>
    <n v="1840"/>
    <x v="474"/>
    <x v="5"/>
    <x v="1"/>
    <x v="3"/>
    <x v="6"/>
    <n v="1"/>
    <n v="10900"/>
    <n v="5"/>
    <n v="10900"/>
    <x v="1634"/>
    <x v="0"/>
    <x v="0"/>
    <x v="11"/>
    <x v="0"/>
    <s v="05/2024"/>
    <x v="3"/>
    <s v="Petite"/>
  </r>
  <r>
    <n v="1841"/>
    <x v="54"/>
    <x v="6"/>
    <x v="0"/>
    <x v="2"/>
    <x v="13"/>
    <n v="23"/>
    <n v="4000"/>
    <n v="0"/>
    <n v="92000"/>
    <x v="1635"/>
    <x v="0"/>
    <x v="1"/>
    <x v="3"/>
    <x v="0"/>
    <s v="07/2024"/>
    <x v="1"/>
    <s v="Moyenne"/>
  </r>
  <r>
    <n v="1842"/>
    <x v="390"/>
    <x v="3"/>
    <x v="0"/>
    <x v="0"/>
    <x v="5"/>
    <n v="44"/>
    <n v="4000"/>
    <n v="15"/>
    <n v="176000"/>
    <x v="160"/>
    <x v="0"/>
    <x v="1"/>
    <x v="3"/>
    <x v="0"/>
    <s v="07/2024"/>
    <x v="1"/>
    <s v="Moyenne"/>
  </r>
  <r>
    <n v="1843"/>
    <x v="29"/>
    <x v="2"/>
    <x v="4"/>
    <x v="1"/>
    <x v="12"/>
    <n v="26"/>
    <n v="17700"/>
    <n v="10"/>
    <n v="460200"/>
    <x v="1636"/>
    <x v="3"/>
    <x v="0"/>
    <x v="2"/>
    <x v="1"/>
    <s v="03/2023"/>
    <x v="2"/>
    <s v="Grande"/>
  </r>
  <r>
    <n v="1844"/>
    <x v="668"/>
    <x v="2"/>
    <x v="2"/>
    <x v="2"/>
    <x v="23"/>
    <n v="35"/>
    <n v="5100"/>
    <n v="0"/>
    <n v="178500"/>
    <x v="1637"/>
    <x v="0"/>
    <x v="0"/>
    <x v="1"/>
    <x v="0"/>
    <s v="08/2024"/>
    <x v="1"/>
    <s v="Moyenne"/>
  </r>
  <r>
    <n v="1845"/>
    <x v="516"/>
    <x v="1"/>
    <x v="2"/>
    <x v="1"/>
    <x v="1"/>
    <n v="35"/>
    <n v="9100"/>
    <n v="10"/>
    <n v="318500"/>
    <x v="1638"/>
    <x v="0"/>
    <x v="3"/>
    <x v="0"/>
    <x v="1"/>
    <s v="10/2023"/>
    <x v="0"/>
    <s v="Grande"/>
  </r>
  <r>
    <n v="1846"/>
    <x v="369"/>
    <x v="6"/>
    <x v="2"/>
    <x v="3"/>
    <x v="27"/>
    <n v="40"/>
    <n v="13300"/>
    <n v="15"/>
    <n v="532000"/>
    <x v="1639"/>
    <x v="0"/>
    <x v="0"/>
    <x v="0"/>
    <x v="1"/>
    <s v="10/2023"/>
    <x v="0"/>
    <s v="Grande"/>
  </r>
  <r>
    <n v="1847"/>
    <x v="47"/>
    <x v="4"/>
    <x v="2"/>
    <x v="4"/>
    <x v="28"/>
    <n v="49"/>
    <n v="13700"/>
    <n v="0"/>
    <n v="671300"/>
    <x v="1640"/>
    <x v="2"/>
    <x v="2"/>
    <x v="2"/>
    <x v="1"/>
    <s v="03/2023"/>
    <x v="2"/>
    <s v="Grande"/>
  </r>
  <r>
    <n v="1848"/>
    <x v="684"/>
    <x v="6"/>
    <x v="4"/>
    <x v="3"/>
    <x v="25"/>
    <n v="31"/>
    <n v="7600"/>
    <n v="0"/>
    <n v="235600"/>
    <x v="1641"/>
    <x v="0"/>
    <x v="1"/>
    <x v="9"/>
    <x v="0"/>
    <s v="01/2024"/>
    <x v="2"/>
    <s v="Grande"/>
  </r>
  <r>
    <n v="1849"/>
    <x v="256"/>
    <x v="8"/>
    <x v="2"/>
    <x v="4"/>
    <x v="8"/>
    <n v="5"/>
    <n v="74200"/>
    <n v="5"/>
    <n v="371000"/>
    <x v="1642"/>
    <x v="1"/>
    <x v="2"/>
    <x v="5"/>
    <x v="0"/>
    <s v="09/2024"/>
    <x v="1"/>
    <s v="Grande"/>
  </r>
  <r>
    <n v="1850"/>
    <x v="192"/>
    <x v="2"/>
    <x v="1"/>
    <x v="4"/>
    <x v="30"/>
    <n v="37"/>
    <n v="31200"/>
    <n v="15"/>
    <n v="1154400"/>
    <x v="1643"/>
    <x v="2"/>
    <x v="2"/>
    <x v="5"/>
    <x v="0"/>
    <s v="09/2024"/>
    <x v="1"/>
    <s v="Grande"/>
  </r>
  <r>
    <n v="1851"/>
    <x v="546"/>
    <x v="6"/>
    <x v="2"/>
    <x v="3"/>
    <x v="33"/>
    <n v="48"/>
    <n v="4600"/>
    <n v="15"/>
    <n v="220800"/>
    <x v="1644"/>
    <x v="0"/>
    <x v="3"/>
    <x v="3"/>
    <x v="1"/>
    <s v="07/2023"/>
    <x v="1"/>
    <s v="Moyenne"/>
  </r>
  <r>
    <n v="1852"/>
    <x v="614"/>
    <x v="1"/>
    <x v="1"/>
    <x v="2"/>
    <x v="3"/>
    <n v="45"/>
    <n v="1800"/>
    <n v="15"/>
    <n v="81000"/>
    <x v="1645"/>
    <x v="0"/>
    <x v="0"/>
    <x v="8"/>
    <x v="0"/>
    <s v="06/2024"/>
    <x v="3"/>
    <s v="Moyenne"/>
  </r>
  <r>
    <n v="1853"/>
    <x v="156"/>
    <x v="7"/>
    <x v="1"/>
    <x v="3"/>
    <x v="27"/>
    <n v="37"/>
    <n v="12900"/>
    <n v="0"/>
    <n v="477300"/>
    <x v="1646"/>
    <x v="0"/>
    <x v="0"/>
    <x v="11"/>
    <x v="0"/>
    <s v="05/2024"/>
    <x v="3"/>
    <s v="Grande"/>
  </r>
  <r>
    <n v="1854"/>
    <x v="676"/>
    <x v="2"/>
    <x v="4"/>
    <x v="0"/>
    <x v="39"/>
    <n v="12"/>
    <n v="7700"/>
    <n v="5"/>
    <n v="92400"/>
    <x v="1647"/>
    <x v="3"/>
    <x v="2"/>
    <x v="0"/>
    <x v="1"/>
    <s v="10/2023"/>
    <x v="0"/>
    <s v="Moyenne"/>
  </r>
  <r>
    <n v="1855"/>
    <x v="119"/>
    <x v="7"/>
    <x v="4"/>
    <x v="2"/>
    <x v="37"/>
    <n v="40"/>
    <n v="3500"/>
    <n v="15"/>
    <n v="140000"/>
    <x v="209"/>
    <x v="0"/>
    <x v="1"/>
    <x v="1"/>
    <x v="0"/>
    <s v="08/2024"/>
    <x v="1"/>
    <s v="Moyenne"/>
  </r>
  <r>
    <n v="1856"/>
    <x v="51"/>
    <x v="2"/>
    <x v="3"/>
    <x v="0"/>
    <x v="21"/>
    <n v="15"/>
    <n v="5000"/>
    <n v="10"/>
    <n v="75000"/>
    <x v="290"/>
    <x v="2"/>
    <x v="1"/>
    <x v="11"/>
    <x v="1"/>
    <s v="05/2023"/>
    <x v="3"/>
    <s v="Moyenne"/>
  </r>
  <r>
    <n v="1857"/>
    <x v="326"/>
    <x v="0"/>
    <x v="2"/>
    <x v="4"/>
    <x v="30"/>
    <n v="44"/>
    <n v="27000"/>
    <n v="0"/>
    <n v="1188000"/>
    <x v="1648"/>
    <x v="1"/>
    <x v="3"/>
    <x v="5"/>
    <x v="0"/>
    <s v="09/2024"/>
    <x v="1"/>
    <s v="Grande"/>
  </r>
  <r>
    <n v="1858"/>
    <x v="427"/>
    <x v="3"/>
    <x v="1"/>
    <x v="2"/>
    <x v="37"/>
    <n v="37"/>
    <n v="3200"/>
    <n v="20"/>
    <n v="118400"/>
    <x v="1649"/>
    <x v="0"/>
    <x v="1"/>
    <x v="8"/>
    <x v="0"/>
    <s v="06/2024"/>
    <x v="3"/>
    <s v="Moyenne"/>
  </r>
  <r>
    <n v="1859"/>
    <x v="229"/>
    <x v="5"/>
    <x v="2"/>
    <x v="3"/>
    <x v="27"/>
    <n v="33"/>
    <n v="11100"/>
    <n v="0"/>
    <n v="366300"/>
    <x v="1086"/>
    <x v="0"/>
    <x v="2"/>
    <x v="10"/>
    <x v="0"/>
    <s v="12/2024"/>
    <x v="0"/>
    <s v="Grande"/>
  </r>
  <r>
    <n v="1860"/>
    <x v="179"/>
    <x v="1"/>
    <x v="1"/>
    <x v="3"/>
    <x v="7"/>
    <n v="36"/>
    <n v="25100"/>
    <n v="20"/>
    <n v="903600"/>
    <x v="1650"/>
    <x v="0"/>
    <x v="3"/>
    <x v="0"/>
    <x v="0"/>
    <s v="10/2024"/>
    <x v="0"/>
    <s v="Grande"/>
  </r>
  <r>
    <n v="1861"/>
    <x v="669"/>
    <x v="4"/>
    <x v="2"/>
    <x v="2"/>
    <x v="38"/>
    <n v="41"/>
    <n v="13300"/>
    <n v="20"/>
    <n v="545300"/>
    <x v="301"/>
    <x v="0"/>
    <x v="0"/>
    <x v="11"/>
    <x v="0"/>
    <s v="05/2024"/>
    <x v="3"/>
    <s v="Grande"/>
  </r>
  <r>
    <n v="1862"/>
    <x v="636"/>
    <x v="8"/>
    <x v="3"/>
    <x v="4"/>
    <x v="30"/>
    <n v="34"/>
    <n v="25500"/>
    <n v="10"/>
    <n v="867000"/>
    <x v="1651"/>
    <x v="1"/>
    <x v="3"/>
    <x v="6"/>
    <x v="1"/>
    <s v="04/2023"/>
    <x v="3"/>
    <s v="Grande"/>
  </r>
  <r>
    <n v="1863"/>
    <x v="623"/>
    <x v="4"/>
    <x v="0"/>
    <x v="1"/>
    <x v="11"/>
    <n v="20"/>
    <n v="5700"/>
    <n v="5"/>
    <n v="114000"/>
    <x v="1652"/>
    <x v="0"/>
    <x v="3"/>
    <x v="1"/>
    <x v="1"/>
    <s v="08/2023"/>
    <x v="1"/>
    <s v="Moyenne"/>
  </r>
  <r>
    <n v="1864"/>
    <x v="126"/>
    <x v="3"/>
    <x v="2"/>
    <x v="2"/>
    <x v="24"/>
    <n v="12"/>
    <n v="5200"/>
    <n v="20"/>
    <n v="62400"/>
    <x v="1653"/>
    <x v="0"/>
    <x v="1"/>
    <x v="6"/>
    <x v="1"/>
    <s v="04/2023"/>
    <x v="3"/>
    <s v="Petite"/>
  </r>
  <r>
    <n v="1865"/>
    <x v="577"/>
    <x v="8"/>
    <x v="3"/>
    <x v="1"/>
    <x v="1"/>
    <n v="29"/>
    <n v="9300"/>
    <n v="0"/>
    <n v="269700"/>
    <x v="1654"/>
    <x v="2"/>
    <x v="0"/>
    <x v="11"/>
    <x v="0"/>
    <s v="05/2024"/>
    <x v="3"/>
    <s v="Grande"/>
  </r>
  <r>
    <n v="1866"/>
    <x v="227"/>
    <x v="4"/>
    <x v="4"/>
    <x v="1"/>
    <x v="32"/>
    <n v="6"/>
    <n v="2800"/>
    <n v="0"/>
    <n v="16800"/>
    <x v="724"/>
    <x v="0"/>
    <x v="3"/>
    <x v="5"/>
    <x v="0"/>
    <s v="09/2024"/>
    <x v="1"/>
    <s v="Petite"/>
  </r>
  <r>
    <n v="1867"/>
    <x v="685"/>
    <x v="7"/>
    <x v="3"/>
    <x v="3"/>
    <x v="19"/>
    <n v="34"/>
    <n v="2400"/>
    <n v="10"/>
    <n v="81600"/>
    <x v="735"/>
    <x v="0"/>
    <x v="0"/>
    <x v="10"/>
    <x v="0"/>
    <s v="12/2024"/>
    <x v="0"/>
    <s v="Moyenne"/>
  </r>
  <r>
    <n v="1868"/>
    <x v="306"/>
    <x v="8"/>
    <x v="0"/>
    <x v="0"/>
    <x v="39"/>
    <n v="33"/>
    <n v="7500"/>
    <n v="5"/>
    <n v="247500"/>
    <x v="1655"/>
    <x v="0"/>
    <x v="3"/>
    <x v="11"/>
    <x v="1"/>
    <s v="05/2023"/>
    <x v="3"/>
    <s v="Grande"/>
  </r>
  <r>
    <n v="1869"/>
    <x v="37"/>
    <x v="6"/>
    <x v="2"/>
    <x v="3"/>
    <x v="25"/>
    <n v="21"/>
    <n v="7500"/>
    <n v="20"/>
    <n v="157500"/>
    <x v="448"/>
    <x v="2"/>
    <x v="2"/>
    <x v="8"/>
    <x v="1"/>
    <s v="06/2023"/>
    <x v="3"/>
    <s v="Moyenne"/>
  </r>
  <r>
    <n v="1870"/>
    <x v="627"/>
    <x v="2"/>
    <x v="1"/>
    <x v="0"/>
    <x v="34"/>
    <n v="9"/>
    <n v="35700"/>
    <n v="10"/>
    <n v="321300"/>
    <x v="1656"/>
    <x v="0"/>
    <x v="3"/>
    <x v="11"/>
    <x v="0"/>
    <s v="05/2024"/>
    <x v="3"/>
    <s v="Grande"/>
  </r>
  <r>
    <n v="1871"/>
    <x v="641"/>
    <x v="4"/>
    <x v="3"/>
    <x v="0"/>
    <x v="21"/>
    <n v="21"/>
    <n v="5100"/>
    <n v="0"/>
    <n v="107100"/>
    <x v="1657"/>
    <x v="1"/>
    <x v="3"/>
    <x v="10"/>
    <x v="1"/>
    <s v="12/2023"/>
    <x v="0"/>
    <s v="Moyenne"/>
  </r>
  <r>
    <n v="1872"/>
    <x v="663"/>
    <x v="6"/>
    <x v="2"/>
    <x v="3"/>
    <x v="19"/>
    <n v="45"/>
    <n v="2500"/>
    <n v="0"/>
    <n v="112500"/>
    <x v="839"/>
    <x v="0"/>
    <x v="3"/>
    <x v="11"/>
    <x v="0"/>
    <s v="05/2024"/>
    <x v="3"/>
    <s v="Moyenne"/>
  </r>
  <r>
    <n v="1873"/>
    <x v="441"/>
    <x v="1"/>
    <x v="0"/>
    <x v="1"/>
    <x v="12"/>
    <n v="24"/>
    <n v="19800"/>
    <n v="0"/>
    <n v="475200"/>
    <x v="1658"/>
    <x v="0"/>
    <x v="1"/>
    <x v="11"/>
    <x v="1"/>
    <s v="05/2023"/>
    <x v="3"/>
    <s v="Grande"/>
  </r>
  <r>
    <n v="1874"/>
    <x v="686"/>
    <x v="6"/>
    <x v="0"/>
    <x v="0"/>
    <x v="39"/>
    <n v="1"/>
    <n v="7300"/>
    <n v="0"/>
    <n v="7300"/>
    <x v="1659"/>
    <x v="0"/>
    <x v="2"/>
    <x v="1"/>
    <x v="1"/>
    <s v="08/2023"/>
    <x v="1"/>
    <s v="Petite"/>
  </r>
  <r>
    <n v="1875"/>
    <x v="505"/>
    <x v="5"/>
    <x v="1"/>
    <x v="3"/>
    <x v="6"/>
    <n v="19"/>
    <n v="10500"/>
    <n v="5"/>
    <n v="199500"/>
    <x v="1660"/>
    <x v="0"/>
    <x v="2"/>
    <x v="8"/>
    <x v="0"/>
    <s v="06/2024"/>
    <x v="3"/>
    <s v="Moyenne"/>
  </r>
  <r>
    <n v="1876"/>
    <x v="274"/>
    <x v="9"/>
    <x v="1"/>
    <x v="2"/>
    <x v="2"/>
    <n v="45"/>
    <n v="6200"/>
    <n v="5"/>
    <n v="279000"/>
    <x v="1661"/>
    <x v="3"/>
    <x v="1"/>
    <x v="1"/>
    <x v="0"/>
    <s v="08/2024"/>
    <x v="1"/>
    <s v="Grande"/>
  </r>
  <r>
    <n v="1877"/>
    <x v="22"/>
    <x v="8"/>
    <x v="2"/>
    <x v="4"/>
    <x v="30"/>
    <n v="9"/>
    <n v="30400"/>
    <n v="0"/>
    <n v="273600"/>
    <x v="662"/>
    <x v="0"/>
    <x v="1"/>
    <x v="6"/>
    <x v="0"/>
    <s v="04/2024"/>
    <x v="3"/>
    <s v="Grande"/>
  </r>
  <r>
    <n v="1878"/>
    <x v="360"/>
    <x v="5"/>
    <x v="0"/>
    <x v="3"/>
    <x v="33"/>
    <n v="12"/>
    <n v="5000"/>
    <n v="15"/>
    <n v="60000"/>
    <x v="1560"/>
    <x v="1"/>
    <x v="0"/>
    <x v="0"/>
    <x v="1"/>
    <s v="10/2023"/>
    <x v="0"/>
    <s v="Moyenne"/>
  </r>
  <r>
    <n v="1879"/>
    <x v="51"/>
    <x v="5"/>
    <x v="0"/>
    <x v="2"/>
    <x v="3"/>
    <n v="42"/>
    <n v="1900"/>
    <n v="10"/>
    <n v="79800"/>
    <x v="111"/>
    <x v="0"/>
    <x v="3"/>
    <x v="11"/>
    <x v="1"/>
    <s v="05/2023"/>
    <x v="3"/>
    <s v="Moyenne"/>
  </r>
  <r>
    <n v="1880"/>
    <x v="475"/>
    <x v="1"/>
    <x v="1"/>
    <x v="1"/>
    <x v="14"/>
    <n v="27"/>
    <n v="123600"/>
    <n v="0"/>
    <n v="3337200"/>
    <x v="1662"/>
    <x v="0"/>
    <x v="1"/>
    <x v="11"/>
    <x v="1"/>
    <s v="05/2023"/>
    <x v="3"/>
    <s v="Grande"/>
  </r>
  <r>
    <n v="1881"/>
    <x v="214"/>
    <x v="8"/>
    <x v="2"/>
    <x v="1"/>
    <x v="12"/>
    <n v="26"/>
    <n v="19700"/>
    <n v="15"/>
    <n v="512200"/>
    <x v="1663"/>
    <x v="0"/>
    <x v="0"/>
    <x v="3"/>
    <x v="0"/>
    <s v="07/2024"/>
    <x v="1"/>
    <s v="Grande"/>
  </r>
  <r>
    <n v="1882"/>
    <x v="375"/>
    <x v="6"/>
    <x v="4"/>
    <x v="0"/>
    <x v="5"/>
    <n v="17"/>
    <n v="3600"/>
    <n v="10"/>
    <n v="61200"/>
    <x v="686"/>
    <x v="1"/>
    <x v="3"/>
    <x v="4"/>
    <x v="0"/>
    <s v="11/2024"/>
    <x v="0"/>
    <s v="Moyenne"/>
  </r>
  <r>
    <n v="1883"/>
    <x v="139"/>
    <x v="4"/>
    <x v="1"/>
    <x v="2"/>
    <x v="23"/>
    <n v="37"/>
    <n v="4500"/>
    <n v="0"/>
    <n v="166500"/>
    <x v="1664"/>
    <x v="3"/>
    <x v="3"/>
    <x v="6"/>
    <x v="0"/>
    <s v="04/2024"/>
    <x v="3"/>
    <s v="Moyenne"/>
  </r>
  <r>
    <n v="1884"/>
    <x v="333"/>
    <x v="0"/>
    <x v="5"/>
    <x v="4"/>
    <x v="29"/>
    <n v="36"/>
    <n v="20200"/>
    <n v="5"/>
    <n v="727200"/>
    <x v="1665"/>
    <x v="0"/>
    <x v="0"/>
    <x v="5"/>
    <x v="0"/>
    <s v="09/2024"/>
    <x v="1"/>
    <s v="Grande"/>
  </r>
  <r>
    <n v="1885"/>
    <x v="245"/>
    <x v="2"/>
    <x v="4"/>
    <x v="4"/>
    <x v="8"/>
    <n v="12"/>
    <n v="69000"/>
    <n v="0"/>
    <n v="828000"/>
    <x v="1666"/>
    <x v="0"/>
    <x v="1"/>
    <x v="7"/>
    <x v="1"/>
    <s v="02/2023"/>
    <x v="2"/>
    <s v="Grande"/>
  </r>
  <r>
    <n v="1886"/>
    <x v="130"/>
    <x v="5"/>
    <x v="3"/>
    <x v="3"/>
    <x v="6"/>
    <n v="2"/>
    <n v="11200"/>
    <n v="0"/>
    <n v="22400"/>
    <x v="1667"/>
    <x v="0"/>
    <x v="1"/>
    <x v="2"/>
    <x v="0"/>
    <s v="03/2024"/>
    <x v="2"/>
    <s v="Petite"/>
  </r>
  <r>
    <n v="1887"/>
    <x v="581"/>
    <x v="9"/>
    <x v="3"/>
    <x v="2"/>
    <x v="23"/>
    <n v="7"/>
    <n v="5400"/>
    <n v="15"/>
    <n v="37800"/>
    <x v="1021"/>
    <x v="1"/>
    <x v="3"/>
    <x v="1"/>
    <x v="0"/>
    <s v="08/2024"/>
    <x v="1"/>
    <s v="Petite"/>
  </r>
  <r>
    <n v="1888"/>
    <x v="86"/>
    <x v="0"/>
    <x v="2"/>
    <x v="2"/>
    <x v="13"/>
    <n v="11"/>
    <n v="4000"/>
    <n v="15"/>
    <n v="44000"/>
    <x v="979"/>
    <x v="0"/>
    <x v="3"/>
    <x v="1"/>
    <x v="0"/>
    <s v="08/2024"/>
    <x v="1"/>
    <s v="Petite"/>
  </r>
  <r>
    <n v="1889"/>
    <x v="173"/>
    <x v="9"/>
    <x v="3"/>
    <x v="2"/>
    <x v="37"/>
    <n v="20"/>
    <n v="3300"/>
    <n v="5"/>
    <n v="66000"/>
    <x v="1668"/>
    <x v="0"/>
    <x v="0"/>
    <x v="1"/>
    <x v="1"/>
    <s v="08/2023"/>
    <x v="1"/>
    <s v="Moyenne"/>
  </r>
  <r>
    <n v="1890"/>
    <x v="140"/>
    <x v="8"/>
    <x v="1"/>
    <x v="2"/>
    <x v="13"/>
    <n v="19"/>
    <n v="4600"/>
    <n v="10"/>
    <n v="87400"/>
    <x v="1194"/>
    <x v="0"/>
    <x v="0"/>
    <x v="0"/>
    <x v="0"/>
    <s v="10/2024"/>
    <x v="0"/>
    <s v="Moyenne"/>
  </r>
  <r>
    <n v="1891"/>
    <x v="687"/>
    <x v="4"/>
    <x v="2"/>
    <x v="3"/>
    <x v="36"/>
    <n v="47"/>
    <n v="4000"/>
    <n v="10"/>
    <n v="188000"/>
    <x v="1669"/>
    <x v="0"/>
    <x v="2"/>
    <x v="3"/>
    <x v="1"/>
    <s v="07/2023"/>
    <x v="1"/>
    <s v="Moyenne"/>
  </r>
  <r>
    <n v="1892"/>
    <x v="193"/>
    <x v="8"/>
    <x v="0"/>
    <x v="2"/>
    <x v="13"/>
    <n v="11"/>
    <n v="4200"/>
    <n v="15"/>
    <n v="46200"/>
    <x v="1670"/>
    <x v="0"/>
    <x v="1"/>
    <x v="1"/>
    <x v="0"/>
    <s v="08/2024"/>
    <x v="1"/>
    <s v="Petite"/>
  </r>
  <r>
    <n v="1893"/>
    <x v="588"/>
    <x v="8"/>
    <x v="3"/>
    <x v="4"/>
    <x v="8"/>
    <n v="46"/>
    <n v="62000"/>
    <n v="0"/>
    <n v="2852000"/>
    <x v="1671"/>
    <x v="2"/>
    <x v="3"/>
    <x v="7"/>
    <x v="0"/>
    <s v="02/2024"/>
    <x v="2"/>
    <s v="Grande"/>
  </r>
  <r>
    <n v="1894"/>
    <x v="46"/>
    <x v="2"/>
    <x v="3"/>
    <x v="2"/>
    <x v="13"/>
    <n v="44"/>
    <n v="3900"/>
    <n v="0"/>
    <n v="171600"/>
    <x v="1672"/>
    <x v="1"/>
    <x v="0"/>
    <x v="1"/>
    <x v="0"/>
    <s v="08/2024"/>
    <x v="1"/>
    <s v="Moyenne"/>
  </r>
  <r>
    <n v="1895"/>
    <x v="585"/>
    <x v="7"/>
    <x v="0"/>
    <x v="3"/>
    <x v="33"/>
    <n v="3"/>
    <n v="4200"/>
    <n v="10"/>
    <n v="12600"/>
    <x v="971"/>
    <x v="0"/>
    <x v="2"/>
    <x v="5"/>
    <x v="0"/>
    <s v="09/2024"/>
    <x v="1"/>
    <s v="Petite"/>
  </r>
  <r>
    <n v="1896"/>
    <x v="456"/>
    <x v="8"/>
    <x v="3"/>
    <x v="3"/>
    <x v="36"/>
    <n v="14"/>
    <n v="3800"/>
    <n v="15"/>
    <n v="53200"/>
    <x v="1673"/>
    <x v="1"/>
    <x v="3"/>
    <x v="2"/>
    <x v="0"/>
    <s v="03/2024"/>
    <x v="2"/>
    <s v="Petite"/>
  </r>
  <r>
    <n v="1897"/>
    <x v="249"/>
    <x v="3"/>
    <x v="4"/>
    <x v="2"/>
    <x v="23"/>
    <n v="49"/>
    <n v="5400"/>
    <n v="0"/>
    <n v="264600"/>
    <x v="1409"/>
    <x v="1"/>
    <x v="0"/>
    <x v="0"/>
    <x v="0"/>
    <s v="10/2024"/>
    <x v="0"/>
    <s v="Grande"/>
  </r>
  <r>
    <n v="1898"/>
    <x v="567"/>
    <x v="4"/>
    <x v="2"/>
    <x v="2"/>
    <x v="23"/>
    <n v="37"/>
    <n v="5100"/>
    <n v="0"/>
    <n v="188700"/>
    <x v="1674"/>
    <x v="2"/>
    <x v="3"/>
    <x v="9"/>
    <x v="1"/>
    <s v="01/2023"/>
    <x v="2"/>
    <s v="Moyenne"/>
  </r>
  <r>
    <n v="1899"/>
    <x v="39"/>
    <x v="0"/>
    <x v="2"/>
    <x v="2"/>
    <x v="3"/>
    <n v="37"/>
    <n v="2000"/>
    <n v="0"/>
    <n v="74000"/>
    <x v="1072"/>
    <x v="2"/>
    <x v="0"/>
    <x v="6"/>
    <x v="0"/>
    <s v="04/2024"/>
    <x v="3"/>
    <s v="Moyenne"/>
  </r>
  <r>
    <n v="1900"/>
    <x v="93"/>
    <x v="9"/>
    <x v="4"/>
    <x v="3"/>
    <x v="27"/>
    <n v="6"/>
    <n v="12800"/>
    <n v="0"/>
    <n v="76800"/>
    <x v="1675"/>
    <x v="0"/>
    <x v="2"/>
    <x v="7"/>
    <x v="1"/>
    <s v="02/2023"/>
    <x v="2"/>
    <s v="Moyenne"/>
  </r>
  <r>
    <n v="1901"/>
    <x v="65"/>
    <x v="2"/>
    <x v="4"/>
    <x v="1"/>
    <x v="1"/>
    <n v="37"/>
    <n v="9600"/>
    <n v="0"/>
    <n v="355200"/>
    <x v="1676"/>
    <x v="0"/>
    <x v="2"/>
    <x v="0"/>
    <x v="0"/>
    <s v="10/2024"/>
    <x v="0"/>
    <s v="Grande"/>
  </r>
  <r>
    <n v="1902"/>
    <x v="36"/>
    <x v="9"/>
    <x v="1"/>
    <x v="1"/>
    <x v="14"/>
    <n v="4"/>
    <n v="112400"/>
    <n v="0"/>
    <n v="449600"/>
    <x v="1677"/>
    <x v="0"/>
    <x v="1"/>
    <x v="6"/>
    <x v="1"/>
    <s v="04/2023"/>
    <x v="3"/>
    <s v="Grande"/>
  </r>
  <r>
    <n v="1903"/>
    <x v="688"/>
    <x v="6"/>
    <x v="0"/>
    <x v="4"/>
    <x v="29"/>
    <n v="43"/>
    <n v="18300"/>
    <n v="10"/>
    <n v="786900"/>
    <x v="1678"/>
    <x v="0"/>
    <x v="0"/>
    <x v="9"/>
    <x v="1"/>
    <s v="01/2023"/>
    <x v="2"/>
    <s v="Grande"/>
  </r>
  <r>
    <n v="1904"/>
    <x v="510"/>
    <x v="0"/>
    <x v="0"/>
    <x v="1"/>
    <x v="9"/>
    <n v="9"/>
    <n v="9000"/>
    <n v="0"/>
    <n v="81000"/>
    <x v="291"/>
    <x v="2"/>
    <x v="0"/>
    <x v="4"/>
    <x v="0"/>
    <s v="11/2024"/>
    <x v="0"/>
    <s v="Moyenne"/>
  </r>
  <r>
    <n v="1905"/>
    <x v="602"/>
    <x v="1"/>
    <x v="1"/>
    <x v="2"/>
    <x v="37"/>
    <n v="34"/>
    <n v="3400"/>
    <n v="0"/>
    <n v="115600"/>
    <x v="757"/>
    <x v="1"/>
    <x v="1"/>
    <x v="5"/>
    <x v="0"/>
    <s v="09/2024"/>
    <x v="1"/>
    <s v="Moyenne"/>
  </r>
  <r>
    <n v="1906"/>
    <x v="154"/>
    <x v="5"/>
    <x v="0"/>
    <x v="0"/>
    <x v="0"/>
    <n v="22"/>
    <n v="22200"/>
    <n v="15"/>
    <n v="488400"/>
    <x v="1679"/>
    <x v="0"/>
    <x v="0"/>
    <x v="5"/>
    <x v="0"/>
    <s v="09/2024"/>
    <x v="1"/>
    <s v="Grande"/>
  </r>
  <r>
    <n v="1907"/>
    <x v="689"/>
    <x v="8"/>
    <x v="2"/>
    <x v="3"/>
    <x v="19"/>
    <n v="19"/>
    <n v="2100"/>
    <n v="0"/>
    <n v="39900"/>
    <x v="543"/>
    <x v="0"/>
    <x v="0"/>
    <x v="2"/>
    <x v="1"/>
    <s v="03/2023"/>
    <x v="2"/>
    <s v="Petite"/>
  </r>
  <r>
    <n v="1908"/>
    <x v="178"/>
    <x v="2"/>
    <x v="1"/>
    <x v="3"/>
    <x v="6"/>
    <n v="1"/>
    <n v="11100"/>
    <n v="0"/>
    <n v="11100"/>
    <x v="1680"/>
    <x v="0"/>
    <x v="3"/>
    <x v="9"/>
    <x v="1"/>
    <s v="01/2023"/>
    <x v="2"/>
    <s v="Petite"/>
  </r>
  <r>
    <n v="1909"/>
    <x v="478"/>
    <x v="9"/>
    <x v="2"/>
    <x v="4"/>
    <x v="30"/>
    <n v="38"/>
    <n v="25300"/>
    <n v="0"/>
    <n v="961400"/>
    <x v="1681"/>
    <x v="0"/>
    <x v="3"/>
    <x v="2"/>
    <x v="1"/>
    <s v="03/2023"/>
    <x v="2"/>
    <s v="Grande"/>
  </r>
  <r>
    <n v="1910"/>
    <x v="609"/>
    <x v="0"/>
    <x v="0"/>
    <x v="2"/>
    <x v="37"/>
    <n v="45"/>
    <n v="3000"/>
    <n v="20"/>
    <n v="135000"/>
    <x v="202"/>
    <x v="0"/>
    <x v="0"/>
    <x v="9"/>
    <x v="0"/>
    <s v="01/2024"/>
    <x v="2"/>
    <s v="Moyenne"/>
  </r>
  <r>
    <n v="1911"/>
    <x v="108"/>
    <x v="5"/>
    <x v="1"/>
    <x v="1"/>
    <x v="12"/>
    <n v="28"/>
    <n v="17400"/>
    <n v="10"/>
    <n v="487200"/>
    <x v="1682"/>
    <x v="3"/>
    <x v="3"/>
    <x v="0"/>
    <x v="1"/>
    <s v="10/2023"/>
    <x v="0"/>
    <s v="Grande"/>
  </r>
  <r>
    <n v="1912"/>
    <x v="385"/>
    <x v="7"/>
    <x v="2"/>
    <x v="2"/>
    <x v="3"/>
    <n v="17"/>
    <n v="2000"/>
    <n v="0"/>
    <n v="34000"/>
    <x v="1683"/>
    <x v="3"/>
    <x v="1"/>
    <x v="9"/>
    <x v="0"/>
    <s v="01/2024"/>
    <x v="2"/>
    <s v="Petite"/>
  </r>
  <r>
    <n v="1913"/>
    <x v="176"/>
    <x v="8"/>
    <x v="0"/>
    <x v="4"/>
    <x v="8"/>
    <n v="11"/>
    <n v="64400"/>
    <n v="0"/>
    <n v="708400"/>
    <x v="1684"/>
    <x v="0"/>
    <x v="2"/>
    <x v="11"/>
    <x v="1"/>
    <s v="05/2023"/>
    <x v="3"/>
    <s v="Grande"/>
  </r>
  <r>
    <n v="1914"/>
    <x v="216"/>
    <x v="6"/>
    <x v="3"/>
    <x v="3"/>
    <x v="20"/>
    <n v="47"/>
    <n v="6600"/>
    <n v="5"/>
    <n v="310200"/>
    <x v="1685"/>
    <x v="3"/>
    <x v="2"/>
    <x v="2"/>
    <x v="1"/>
    <s v="03/2023"/>
    <x v="2"/>
    <s v="Grande"/>
  </r>
  <r>
    <n v="1915"/>
    <x v="668"/>
    <x v="1"/>
    <x v="1"/>
    <x v="2"/>
    <x v="13"/>
    <n v="19"/>
    <n v="3900"/>
    <n v="0"/>
    <n v="74100"/>
    <x v="1686"/>
    <x v="0"/>
    <x v="0"/>
    <x v="1"/>
    <x v="0"/>
    <s v="08/2024"/>
    <x v="1"/>
    <s v="Moyenne"/>
  </r>
  <r>
    <n v="1916"/>
    <x v="213"/>
    <x v="4"/>
    <x v="4"/>
    <x v="1"/>
    <x v="1"/>
    <n v="19"/>
    <n v="9100"/>
    <n v="0"/>
    <n v="172900"/>
    <x v="1687"/>
    <x v="0"/>
    <x v="0"/>
    <x v="4"/>
    <x v="1"/>
    <s v="11/2023"/>
    <x v="0"/>
    <s v="Moyenne"/>
  </r>
  <r>
    <n v="1917"/>
    <x v="567"/>
    <x v="9"/>
    <x v="2"/>
    <x v="4"/>
    <x v="28"/>
    <n v="50"/>
    <n v="12500"/>
    <n v="5"/>
    <n v="625000"/>
    <x v="1688"/>
    <x v="0"/>
    <x v="3"/>
    <x v="9"/>
    <x v="1"/>
    <s v="01/2023"/>
    <x v="2"/>
    <s v="Grande"/>
  </r>
  <r>
    <n v="1918"/>
    <x v="146"/>
    <x v="9"/>
    <x v="0"/>
    <x v="0"/>
    <x v="5"/>
    <n v="50"/>
    <n v="3700"/>
    <n v="0"/>
    <n v="185000"/>
    <x v="1689"/>
    <x v="3"/>
    <x v="3"/>
    <x v="4"/>
    <x v="1"/>
    <s v="11/2023"/>
    <x v="0"/>
    <s v="Moyenne"/>
  </r>
  <r>
    <n v="1919"/>
    <x v="613"/>
    <x v="6"/>
    <x v="4"/>
    <x v="0"/>
    <x v="5"/>
    <n v="9"/>
    <n v="3900"/>
    <n v="5"/>
    <n v="35100"/>
    <x v="963"/>
    <x v="1"/>
    <x v="3"/>
    <x v="4"/>
    <x v="0"/>
    <s v="11/2024"/>
    <x v="0"/>
    <s v="Petite"/>
  </r>
  <r>
    <n v="1920"/>
    <x v="388"/>
    <x v="1"/>
    <x v="0"/>
    <x v="1"/>
    <x v="18"/>
    <n v="33"/>
    <n v="92800"/>
    <n v="0"/>
    <n v="3062400"/>
    <x v="1690"/>
    <x v="0"/>
    <x v="1"/>
    <x v="2"/>
    <x v="0"/>
    <s v="03/2024"/>
    <x v="2"/>
    <s v="Grande"/>
  </r>
  <r>
    <n v="1921"/>
    <x v="655"/>
    <x v="2"/>
    <x v="4"/>
    <x v="1"/>
    <x v="31"/>
    <n v="49"/>
    <n v="25000"/>
    <n v="0"/>
    <n v="1225000"/>
    <x v="1691"/>
    <x v="3"/>
    <x v="2"/>
    <x v="7"/>
    <x v="0"/>
    <s v="02/2024"/>
    <x v="2"/>
    <s v="Grande"/>
  </r>
  <r>
    <n v="1922"/>
    <x v="122"/>
    <x v="2"/>
    <x v="0"/>
    <x v="3"/>
    <x v="20"/>
    <n v="47"/>
    <n v="6700"/>
    <n v="0"/>
    <n v="314900"/>
    <x v="1692"/>
    <x v="1"/>
    <x v="2"/>
    <x v="5"/>
    <x v="0"/>
    <s v="09/2024"/>
    <x v="1"/>
    <s v="Grande"/>
  </r>
  <r>
    <n v="1923"/>
    <x v="657"/>
    <x v="9"/>
    <x v="0"/>
    <x v="1"/>
    <x v="11"/>
    <n v="30"/>
    <n v="6500"/>
    <n v="5"/>
    <n v="195000"/>
    <x v="1693"/>
    <x v="0"/>
    <x v="0"/>
    <x v="9"/>
    <x v="1"/>
    <s v="01/2023"/>
    <x v="2"/>
    <s v="Moyenne"/>
  </r>
  <r>
    <n v="1924"/>
    <x v="322"/>
    <x v="0"/>
    <x v="4"/>
    <x v="1"/>
    <x v="31"/>
    <n v="22"/>
    <n v="27000"/>
    <n v="20"/>
    <n v="594000"/>
    <x v="1658"/>
    <x v="0"/>
    <x v="0"/>
    <x v="1"/>
    <x v="0"/>
    <s v="08/2024"/>
    <x v="1"/>
    <s v="Grande"/>
  </r>
  <r>
    <n v="1925"/>
    <x v="360"/>
    <x v="3"/>
    <x v="3"/>
    <x v="0"/>
    <x v="5"/>
    <n v="26"/>
    <n v="3400"/>
    <n v="0"/>
    <n v="88400"/>
    <x v="1694"/>
    <x v="0"/>
    <x v="1"/>
    <x v="0"/>
    <x v="1"/>
    <s v="10/2023"/>
    <x v="0"/>
    <s v="Moyenne"/>
  </r>
  <r>
    <n v="1926"/>
    <x v="567"/>
    <x v="9"/>
    <x v="1"/>
    <x v="2"/>
    <x v="37"/>
    <n v="34"/>
    <n v="3300"/>
    <n v="5"/>
    <n v="112200"/>
    <x v="1695"/>
    <x v="1"/>
    <x v="2"/>
    <x v="9"/>
    <x v="1"/>
    <s v="01/2023"/>
    <x v="2"/>
    <s v="Moyenne"/>
  </r>
  <r>
    <n v="1927"/>
    <x v="344"/>
    <x v="7"/>
    <x v="3"/>
    <x v="0"/>
    <x v="5"/>
    <n v="8"/>
    <n v="3200"/>
    <n v="0"/>
    <n v="25600"/>
    <x v="1696"/>
    <x v="0"/>
    <x v="3"/>
    <x v="10"/>
    <x v="0"/>
    <s v="12/2024"/>
    <x v="0"/>
    <s v="Petite"/>
  </r>
  <r>
    <n v="1928"/>
    <x v="479"/>
    <x v="5"/>
    <x v="3"/>
    <x v="4"/>
    <x v="30"/>
    <n v="29"/>
    <n v="31000"/>
    <n v="5"/>
    <n v="899000"/>
    <x v="1697"/>
    <x v="2"/>
    <x v="2"/>
    <x v="4"/>
    <x v="0"/>
    <s v="11/2024"/>
    <x v="0"/>
    <s v="Grande"/>
  </r>
  <r>
    <n v="1929"/>
    <x v="579"/>
    <x v="6"/>
    <x v="0"/>
    <x v="0"/>
    <x v="10"/>
    <n v="9"/>
    <n v="28900"/>
    <n v="0"/>
    <n v="260100"/>
    <x v="1698"/>
    <x v="1"/>
    <x v="4"/>
    <x v="2"/>
    <x v="0"/>
    <s v="03/2024"/>
    <x v="2"/>
    <s v="Grande"/>
  </r>
  <r>
    <n v="1930"/>
    <x v="381"/>
    <x v="1"/>
    <x v="2"/>
    <x v="4"/>
    <x v="29"/>
    <n v="20"/>
    <n v="18100"/>
    <n v="20"/>
    <n v="362000"/>
    <x v="1699"/>
    <x v="3"/>
    <x v="0"/>
    <x v="7"/>
    <x v="1"/>
    <s v="02/2023"/>
    <x v="2"/>
    <s v="Grande"/>
  </r>
  <r>
    <n v="1931"/>
    <x v="397"/>
    <x v="0"/>
    <x v="0"/>
    <x v="4"/>
    <x v="28"/>
    <n v="8"/>
    <n v="12800"/>
    <n v="0"/>
    <n v="102400"/>
    <x v="1700"/>
    <x v="2"/>
    <x v="0"/>
    <x v="4"/>
    <x v="1"/>
    <s v="11/2023"/>
    <x v="0"/>
    <s v="Moyenne"/>
  </r>
  <r>
    <n v="1932"/>
    <x v="385"/>
    <x v="4"/>
    <x v="3"/>
    <x v="2"/>
    <x v="24"/>
    <n v="37"/>
    <n v="6100"/>
    <n v="10"/>
    <n v="225700"/>
    <x v="1701"/>
    <x v="1"/>
    <x v="3"/>
    <x v="9"/>
    <x v="0"/>
    <s v="01/2024"/>
    <x v="2"/>
    <s v="Grande"/>
  </r>
  <r>
    <n v="1933"/>
    <x v="690"/>
    <x v="3"/>
    <x v="4"/>
    <x v="1"/>
    <x v="11"/>
    <n v="3"/>
    <n v="6600"/>
    <n v="20"/>
    <n v="19800"/>
    <x v="1702"/>
    <x v="0"/>
    <x v="0"/>
    <x v="6"/>
    <x v="1"/>
    <s v="04/2023"/>
    <x v="3"/>
    <s v="Petite"/>
  </r>
  <r>
    <n v="1934"/>
    <x v="349"/>
    <x v="4"/>
    <x v="3"/>
    <x v="4"/>
    <x v="29"/>
    <n v="34"/>
    <n v="19700"/>
    <n v="15"/>
    <n v="669800"/>
    <x v="1703"/>
    <x v="3"/>
    <x v="1"/>
    <x v="1"/>
    <x v="0"/>
    <s v="08/2024"/>
    <x v="1"/>
    <s v="Grande"/>
  </r>
  <r>
    <n v="1935"/>
    <x v="304"/>
    <x v="5"/>
    <x v="1"/>
    <x v="3"/>
    <x v="36"/>
    <n v="27"/>
    <n v="4100"/>
    <n v="0"/>
    <n v="110700"/>
    <x v="1704"/>
    <x v="0"/>
    <x v="3"/>
    <x v="1"/>
    <x v="1"/>
    <s v="08/2023"/>
    <x v="1"/>
    <s v="Moyenne"/>
  </r>
  <r>
    <n v="1936"/>
    <x v="598"/>
    <x v="7"/>
    <x v="0"/>
    <x v="2"/>
    <x v="3"/>
    <n v="4"/>
    <n v="1800"/>
    <n v="0"/>
    <n v="7200"/>
    <x v="1705"/>
    <x v="0"/>
    <x v="3"/>
    <x v="7"/>
    <x v="0"/>
    <s v="02/2024"/>
    <x v="2"/>
    <s v="Petite"/>
  </r>
  <r>
    <n v="1937"/>
    <x v="5"/>
    <x v="6"/>
    <x v="2"/>
    <x v="4"/>
    <x v="30"/>
    <n v="45"/>
    <n v="26700"/>
    <n v="10"/>
    <n v="1201500"/>
    <x v="1706"/>
    <x v="3"/>
    <x v="3"/>
    <x v="1"/>
    <x v="1"/>
    <s v="08/2023"/>
    <x v="1"/>
    <s v="Grande"/>
  </r>
  <r>
    <n v="1938"/>
    <x v="488"/>
    <x v="0"/>
    <x v="3"/>
    <x v="4"/>
    <x v="35"/>
    <n v="17"/>
    <n v="87100"/>
    <n v="20"/>
    <n v="1480700"/>
    <x v="1707"/>
    <x v="0"/>
    <x v="2"/>
    <x v="11"/>
    <x v="0"/>
    <s v="05/2024"/>
    <x v="3"/>
    <s v="Grande"/>
  </r>
  <r>
    <n v="1939"/>
    <x v="670"/>
    <x v="6"/>
    <x v="0"/>
    <x v="2"/>
    <x v="2"/>
    <n v="30"/>
    <n v="4900"/>
    <n v="0"/>
    <n v="147000"/>
    <x v="1708"/>
    <x v="1"/>
    <x v="1"/>
    <x v="3"/>
    <x v="0"/>
    <s v="07/2024"/>
    <x v="1"/>
    <s v="Moyenne"/>
  </r>
  <r>
    <n v="1940"/>
    <x v="506"/>
    <x v="7"/>
    <x v="0"/>
    <x v="2"/>
    <x v="38"/>
    <n v="43"/>
    <n v="14800"/>
    <n v="20"/>
    <n v="636400"/>
    <x v="1709"/>
    <x v="0"/>
    <x v="0"/>
    <x v="7"/>
    <x v="1"/>
    <s v="02/2023"/>
    <x v="2"/>
    <s v="Grande"/>
  </r>
  <r>
    <n v="1941"/>
    <x v="230"/>
    <x v="0"/>
    <x v="4"/>
    <x v="0"/>
    <x v="5"/>
    <n v="8"/>
    <n v="3900"/>
    <n v="0"/>
    <n v="31200"/>
    <x v="1710"/>
    <x v="0"/>
    <x v="2"/>
    <x v="10"/>
    <x v="0"/>
    <s v="12/2024"/>
    <x v="0"/>
    <s v="Petite"/>
  </r>
  <r>
    <n v="1942"/>
    <x v="535"/>
    <x v="2"/>
    <x v="3"/>
    <x v="0"/>
    <x v="4"/>
    <n v="5"/>
    <n v="38600"/>
    <n v="0"/>
    <n v="193000"/>
    <x v="1711"/>
    <x v="3"/>
    <x v="2"/>
    <x v="6"/>
    <x v="0"/>
    <s v="04/2024"/>
    <x v="3"/>
    <s v="Moyenne"/>
  </r>
  <r>
    <n v="1943"/>
    <x v="500"/>
    <x v="2"/>
    <x v="4"/>
    <x v="2"/>
    <x v="24"/>
    <n v="23"/>
    <n v="5600"/>
    <n v="10"/>
    <n v="128800"/>
    <x v="936"/>
    <x v="0"/>
    <x v="1"/>
    <x v="1"/>
    <x v="1"/>
    <s v="08/2023"/>
    <x v="1"/>
    <s v="Moyenne"/>
  </r>
  <r>
    <n v="1944"/>
    <x v="96"/>
    <x v="2"/>
    <x v="2"/>
    <x v="4"/>
    <x v="35"/>
    <n v="4"/>
    <n v="98300"/>
    <n v="10"/>
    <n v="393200"/>
    <x v="1712"/>
    <x v="1"/>
    <x v="3"/>
    <x v="2"/>
    <x v="0"/>
    <s v="03/2024"/>
    <x v="2"/>
    <s v="Grande"/>
  </r>
  <r>
    <n v="1945"/>
    <x v="265"/>
    <x v="7"/>
    <x v="1"/>
    <x v="0"/>
    <x v="5"/>
    <n v="12"/>
    <n v="3700"/>
    <n v="10"/>
    <n v="44400"/>
    <x v="1713"/>
    <x v="1"/>
    <x v="2"/>
    <x v="7"/>
    <x v="1"/>
    <s v="02/2023"/>
    <x v="2"/>
    <s v="Petite"/>
  </r>
  <r>
    <n v="1946"/>
    <x v="575"/>
    <x v="4"/>
    <x v="3"/>
    <x v="4"/>
    <x v="8"/>
    <n v="43"/>
    <n v="70900"/>
    <n v="10"/>
    <n v="3048700"/>
    <x v="1714"/>
    <x v="0"/>
    <x v="1"/>
    <x v="2"/>
    <x v="1"/>
    <s v="03/2023"/>
    <x v="2"/>
    <s v="Grande"/>
  </r>
  <r>
    <n v="1947"/>
    <x v="476"/>
    <x v="9"/>
    <x v="2"/>
    <x v="2"/>
    <x v="23"/>
    <n v="33"/>
    <n v="5000"/>
    <n v="10"/>
    <n v="165000"/>
    <x v="1715"/>
    <x v="0"/>
    <x v="2"/>
    <x v="11"/>
    <x v="0"/>
    <s v="05/2024"/>
    <x v="3"/>
    <s v="Moyenne"/>
  </r>
  <r>
    <n v="1948"/>
    <x v="6"/>
    <x v="8"/>
    <x v="0"/>
    <x v="0"/>
    <x v="4"/>
    <n v="15"/>
    <n v="36700"/>
    <n v="20"/>
    <n v="550500"/>
    <x v="1716"/>
    <x v="1"/>
    <x v="3"/>
    <x v="4"/>
    <x v="0"/>
    <s v="11/2024"/>
    <x v="0"/>
    <s v="Grande"/>
  </r>
  <r>
    <n v="1949"/>
    <x v="88"/>
    <x v="9"/>
    <x v="1"/>
    <x v="1"/>
    <x v="11"/>
    <n v="32"/>
    <n v="6000"/>
    <n v="0"/>
    <n v="192000"/>
    <x v="1162"/>
    <x v="2"/>
    <x v="1"/>
    <x v="9"/>
    <x v="1"/>
    <s v="01/2023"/>
    <x v="2"/>
    <s v="Moyenne"/>
  </r>
  <r>
    <n v="1950"/>
    <x v="669"/>
    <x v="4"/>
    <x v="3"/>
    <x v="3"/>
    <x v="33"/>
    <n v="25"/>
    <n v="4400"/>
    <n v="10"/>
    <n v="110000"/>
    <x v="1717"/>
    <x v="0"/>
    <x v="2"/>
    <x v="11"/>
    <x v="0"/>
    <s v="05/2024"/>
    <x v="3"/>
    <s v="Moyenne"/>
  </r>
  <r>
    <n v="1951"/>
    <x v="318"/>
    <x v="7"/>
    <x v="4"/>
    <x v="0"/>
    <x v="4"/>
    <n v="27"/>
    <n v="39200"/>
    <n v="20"/>
    <n v="1058400"/>
    <x v="1718"/>
    <x v="1"/>
    <x v="3"/>
    <x v="11"/>
    <x v="0"/>
    <s v="05/2024"/>
    <x v="3"/>
    <s v="Grande"/>
  </r>
  <r>
    <n v="1952"/>
    <x v="70"/>
    <x v="7"/>
    <x v="1"/>
    <x v="3"/>
    <x v="33"/>
    <n v="40"/>
    <n v="4900"/>
    <n v="5"/>
    <n v="196000"/>
    <x v="1719"/>
    <x v="0"/>
    <x v="3"/>
    <x v="5"/>
    <x v="0"/>
    <s v="09/2024"/>
    <x v="1"/>
    <s v="Moyenne"/>
  </r>
  <r>
    <n v="1953"/>
    <x v="247"/>
    <x v="4"/>
    <x v="4"/>
    <x v="1"/>
    <x v="31"/>
    <n v="36"/>
    <n v="22600"/>
    <n v="0"/>
    <n v="813600"/>
    <x v="1720"/>
    <x v="0"/>
    <x v="2"/>
    <x v="3"/>
    <x v="0"/>
    <s v="07/2024"/>
    <x v="1"/>
    <s v="Grande"/>
  </r>
  <r>
    <n v="1954"/>
    <x v="194"/>
    <x v="3"/>
    <x v="3"/>
    <x v="2"/>
    <x v="23"/>
    <n v="35"/>
    <n v="4700"/>
    <n v="0"/>
    <n v="164500"/>
    <x v="133"/>
    <x v="0"/>
    <x v="1"/>
    <x v="8"/>
    <x v="1"/>
    <s v="06/2023"/>
    <x v="3"/>
    <s v="Moyenne"/>
  </r>
  <r>
    <n v="1955"/>
    <x v="493"/>
    <x v="7"/>
    <x v="3"/>
    <x v="3"/>
    <x v="33"/>
    <n v="28"/>
    <n v="4700"/>
    <n v="5"/>
    <n v="131600"/>
    <x v="1721"/>
    <x v="0"/>
    <x v="3"/>
    <x v="9"/>
    <x v="0"/>
    <s v="01/2024"/>
    <x v="2"/>
    <s v="Moyenne"/>
  </r>
  <r>
    <n v="1956"/>
    <x v="661"/>
    <x v="6"/>
    <x v="3"/>
    <x v="4"/>
    <x v="8"/>
    <n v="40"/>
    <n v="65400"/>
    <n v="0"/>
    <n v="2616000"/>
    <x v="1722"/>
    <x v="1"/>
    <x v="0"/>
    <x v="8"/>
    <x v="0"/>
    <s v="06/2024"/>
    <x v="3"/>
    <s v="Grande"/>
  </r>
  <r>
    <n v="1957"/>
    <x v="223"/>
    <x v="5"/>
    <x v="0"/>
    <x v="3"/>
    <x v="33"/>
    <n v="49"/>
    <n v="4500"/>
    <n v="20"/>
    <n v="220500"/>
    <x v="1723"/>
    <x v="3"/>
    <x v="1"/>
    <x v="2"/>
    <x v="1"/>
    <s v="03/2023"/>
    <x v="2"/>
    <s v="Moyenne"/>
  </r>
  <r>
    <n v="1958"/>
    <x v="28"/>
    <x v="7"/>
    <x v="0"/>
    <x v="2"/>
    <x v="3"/>
    <n v="27"/>
    <n v="1800"/>
    <n v="0"/>
    <n v="48600"/>
    <x v="1724"/>
    <x v="2"/>
    <x v="3"/>
    <x v="3"/>
    <x v="1"/>
    <s v="07/2023"/>
    <x v="1"/>
    <s v="Petite"/>
  </r>
  <r>
    <n v="1959"/>
    <x v="534"/>
    <x v="1"/>
    <x v="2"/>
    <x v="0"/>
    <x v="10"/>
    <n v="50"/>
    <n v="28000"/>
    <n v="0"/>
    <n v="1400000"/>
    <x v="1725"/>
    <x v="1"/>
    <x v="0"/>
    <x v="10"/>
    <x v="1"/>
    <s v="12/2023"/>
    <x v="0"/>
    <s v="Grande"/>
  </r>
  <r>
    <n v="1960"/>
    <x v="339"/>
    <x v="4"/>
    <x v="2"/>
    <x v="4"/>
    <x v="30"/>
    <n v="40"/>
    <n v="27000"/>
    <n v="15"/>
    <n v="1080000"/>
    <x v="1726"/>
    <x v="0"/>
    <x v="3"/>
    <x v="6"/>
    <x v="0"/>
    <s v="04/2024"/>
    <x v="3"/>
    <s v="Grande"/>
  </r>
  <r>
    <n v="1961"/>
    <x v="381"/>
    <x v="5"/>
    <x v="2"/>
    <x v="0"/>
    <x v="4"/>
    <n v="27"/>
    <n v="38400"/>
    <n v="5"/>
    <n v="1036800"/>
    <x v="1727"/>
    <x v="0"/>
    <x v="0"/>
    <x v="7"/>
    <x v="1"/>
    <s v="02/2023"/>
    <x v="2"/>
    <s v="Grande"/>
  </r>
  <r>
    <n v="1962"/>
    <x v="187"/>
    <x v="0"/>
    <x v="3"/>
    <x v="2"/>
    <x v="16"/>
    <n v="37"/>
    <n v="10100"/>
    <n v="10"/>
    <n v="373700"/>
    <x v="1728"/>
    <x v="1"/>
    <x v="0"/>
    <x v="0"/>
    <x v="0"/>
    <s v="10/2024"/>
    <x v="0"/>
    <s v="Grande"/>
  </r>
  <r>
    <n v="1963"/>
    <x v="448"/>
    <x v="1"/>
    <x v="1"/>
    <x v="4"/>
    <x v="30"/>
    <n v="6"/>
    <n v="25900"/>
    <n v="10"/>
    <n v="155400"/>
    <x v="1729"/>
    <x v="0"/>
    <x v="2"/>
    <x v="1"/>
    <x v="0"/>
    <s v="08/2024"/>
    <x v="1"/>
    <s v="Moyenne"/>
  </r>
  <r>
    <n v="1964"/>
    <x v="307"/>
    <x v="5"/>
    <x v="2"/>
    <x v="3"/>
    <x v="6"/>
    <n v="41"/>
    <n v="11100"/>
    <n v="10"/>
    <n v="455100"/>
    <x v="1730"/>
    <x v="0"/>
    <x v="3"/>
    <x v="6"/>
    <x v="1"/>
    <s v="04/2023"/>
    <x v="3"/>
    <s v="Grande"/>
  </r>
  <r>
    <n v="1965"/>
    <x v="1"/>
    <x v="9"/>
    <x v="3"/>
    <x v="3"/>
    <x v="33"/>
    <n v="38"/>
    <n v="4800"/>
    <n v="0"/>
    <n v="182400"/>
    <x v="73"/>
    <x v="0"/>
    <x v="2"/>
    <x v="1"/>
    <x v="0"/>
    <s v="08/2024"/>
    <x v="1"/>
    <s v="Moyenne"/>
  </r>
  <r>
    <n v="1966"/>
    <x v="411"/>
    <x v="7"/>
    <x v="3"/>
    <x v="0"/>
    <x v="10"/>
    <n v="38"/>
    <n v="27500"/>
    <n v="20"/>
    <n v="1045000"/>
    <x v="1731"/>
    <x v="0"/>
    <x v="3"/>
    <x v="7"/>
    <x v="0"/>
    <s v="02/2024"/>
    <x v="2"/>
    <s v="Grande"/>
  </r>
  <r>
    <n v="1967"/>
    <x v="347"/>
    <x v="1"/>
    <x v="0"/>
    <x v="1"/>
    <x v="12"/>
    <n v="44"/>
    <n v="19500"/>
    <n v="0"/>
    <n v="858000"/>
    <x v="1578"/>
    <x v="0"/>
    <x v="2"/>
    <x v="8"/>
    <x v="0"/>
    <s v="06/2024"/>
    <x v="3"/>
    <s v="Grande"/>
  </r>
  <r>
    <n v="1968"/>
    <x v="537"/>
    <x v="7"/>
    <x v="0"/>
    <x v="0"/>
    <x v="10"/>
    <n v="6"/>
    <n v="25700"/>
    <n v="0"/>
    <n v="154200"/>
    <x v="1732"/>
    <x v="0"/>
    <x v="0"/>
    <x v="0"/>
    <x v="1"/>
    <s v="10/2023"/>
    <x v="0"/>
    <s v="Moyenne"/>
  </r>
  <r>
    <n v="1969"/>
    <x v="588"/>
    <x v="2"/>
    <x v="3"/>
    <x v="4"/>
    <x v="26"/>
    <n v="16"/>
    <n v="42200"/>
    <n v="0"/>
    <n v="675200"/>
    <x v="1733"/>
    <x v="0"/>
    <x v="1"/>
    <x v="7"/>
    <x v="0"/>
    <s v="02/2024"/>
    <x v="2"/>
    <s v="Grande"/>
  </r>
  <r>
    <n v="1970"/>
    <x v="439"/>
    <x v="9"/>
    <x v="2"/>
    <x v="0"/>
    <x v="39"/>
    <n v="25"/>
    <n v="8400"/>
    <n v="0"/>
    <n v="210000"/>
    <x v="815"/>
    <x v="0"/>
    <x v="0"/>
    <x v="4"/>
    <x v="0"/>
    <s v="11/2024"/>
    <x v="0"/>
    <s v="Grande"/>
  </r>
  <r>
    <n v="1971"/>
    <x v="203"/>
    <x v="9"/>
    <x v="2"/>
    <x v="2"/>
    <x v="16"/>
    <n v="38"/>
    <n v="9900"/>
    <n v="0"/>
    <n v="376200"/>
    <x v="1734"/>
    <x v="0"/>
    <x v="0"/>
    <x v="1"/>
    <x v="0"/>
    <s v="08/2024"/>
    <x v="1"/>
    <s v="Grande"/>
  </r>
  <r>
    <n v="1972"/>
    <x v="470"/>
    <x v="7"/>
    <x v="2"/>
    <x v="3"/>
    <x v="25"/>
    <n v="27"/>
    <n v="7600"/>
    <n v="0"/>
    <n v="205200"/>
    <x v="511"/>
    <x v="0"/>
    <x v="2"/>
    <x v="9"/>
    <x v="0"/>
    <s v="01/2024"/>
    <x v="2"/>
    <s v="Grande"/>
  </r>
  <r>
    <n v="1973"/>
    <x v="628"/>
    <x v="1"/>
    <x v="2"/>
    <x v="0"/>
    <x v="21"/>
    <n v="32"/>
    <n v="5000"/>
    <n v="10"/>
    <n v="160000"/>
    <x v="967"/>
    <x v="1"/>
    <x v="3"/>
    <x v="8"/>
    <x v="1"/>
    <s v="06/2023"/>
    <x v="3"/>
    <s v="Moyenne"/>
  </r>
  <r>
    <n v="1974"/>
    <x v="90"/>
    <x v="9"/>
    <x v="1"/>
    <x v="0"/>
    <x v="39"/>
    <n v="13"/>
    <n v="9100"/>
    <n v="5"/>
    <n v="118300"/>
    <x v="1735"/>
    <x v="1"/>
    <x v="0"/>
    <x v="9"/>
    <x v="1"/>
    <s v="01/2023"/>
    <x v="2"/>
    <s v="Moyenne"/>
  </r>
  <r>
    <n v="1975"/>
    <x v="175"/>
    <x v="5"/>
    <x v="2"/>
    <x v="0"/>
    <x v="21"/>
    <n v="9"/>
    <n v="5000"/>
    <n v="20"/>
    <n v="45000"/>
    <x v="76"/>
    <x v="2"/>
    <x v="1"/>
    <x v="11"/>
    <x v="1"/>
    <s v="05/2023"/>
    <x v="3"/>
    <s v="Petite"/>
  </r>
  <r>
    <n v="1976"/>
    <x v="691"/>
    <x v="3"/>
    <x v="2"/>
    <x v="1"/>
    <x v="14"/>
    <n v="22"/>
    <n v="119900"/>
    <n v="0"/>
    <n v="2637800"/>
    <x v="1736"/>
    <x v="0"/>
    <x v="3"/>
    <x v="6"/>
    <x v="0"/>
    <s v="04/2024"/>
    <x v="3"/>
    <s v="Grande"/>
  </r>
  <r>
    <n v="1977"/>
    <x v="245"/>
    <x v="1"/>
    <x v="1"/>
    <x v="2"/>
    <x v="13"/>
    <n v="10"/>
    <n v="3900"/>
    <n v="5"/>
    <n v="39000"/>
    <x v="1737"/>
    <x v="0"/>
    <x v="2"/>
    <x v="7"/>
    <x v="1"/>
    <s v="02/2023"/>
    <x v="2"/>
    <s v="Petite"/>
  </r>
  <r>
    <n v="1978"/>
    <x v="674"/>
    <x v="8"/>
    <x v="2"/>
    <x v="4"/>
    <x v="30"/>
    <n v="40"/>
    <n v="30500"/>
    <n v="0"/>
    <n v="1220000"/>
    <x v="1738"/>
    <x v="0"/>
    <x v="0"/>
    <x v="6"/>
    <x v="0"/>
    <s v="04/2024"/>
    <x v="3"/>
    <s v="Grande"/>
  </r>
  <r>
    <n v="1979"/>
    <x v="15"/>
    <x v="6"/>
    <x v="2"/>
    <x v="1"/>
    <x v="14"/>
    <n v="33"/>
    <n v="119200"/>
    <n v="10"/>
    <n v="3933600"/>
    <x v="1739"/>
    <x v="1"/>
    <x v="3"/>
    <x v="2"/>
    <x v="1"/>
    <s v="03/2023"/>
    <x v="2"/>
    <s v="Grande"/>
  </r>
  <r>
    <n v="1980"/>
    <x v="17"/>
    <x v="7"/>
    <x v="0"/>
    <x v="1"/>
    <x v="18"/>
    <n v="38"/>
    <n v="78800"/>
    <n v="5"/>
    <n v="2994400"/>
    <x v="1740"/>
    <x v="0"/>
    <x v="2"/>
    <x v="8"/>
    <x v="0"/>
    <s v="06/2024"/>
    <x v="3"/>
    <s v="Grande"/>
  </r>
  <r>
    <n v="1981"/>
    <x v="566"/>
    <x v="8"/>
    <x v="3"/>
    <x v="2"/>
    <x v="3"/>
    <n v="12"/>
    <n v="2000"/>
    <n v="5"/>
    <n v="24000"/>
    <x v="1741"/>
    <x v="0"/>
    <x v="3"/>
    <x v="10"/>
    <x v="0"/>
    <s v="12/2024"/>
    <x v="0"/>
    <s v="Petite"/>
  </r>
  <r>
    <n v="1982"/>
    <x v="321"/>
    <x v="4"/>
    <x v="1"/>
    <x v="2"/>
    <x v="23"/>
    <n v="11"/>
    <n v="5300"/>
    <n v="0"/>
    <n v="58300"/>
    <x v="1025"/>
    <x v="0"/>
    <x v="2"/>
    <x v="9"/>
    <x v="1"/>
    <s v="01/2023"/>
    <x v="2"/>
    <s v="Moyenne"/>
  </r>
  <r>
    <n v="1983"/>
    <x v="563"/>
    <x v="0"/>
    <x v="4"/>
    <x v="1"/>
    <x v="1"/>
    <n v="15"/>
    <n v="8800"/>
    <n v="0"/>
    <n v="132000"/>
    <x v="1742"/>
    <x v="1"/>
    <x v="2"/>
    <x v="11"/>
    <x v="1"/>
    <s v="05/2023"/>
    <x v="3"/>
    <s v="Moyenne"/>
  </r>
  <r>
    <n v="1984"/>
    <x v="681"/>
    <x v="7"/>
    <x v="2"/>
    <x v="3"/>
    <x v="25"/>
    <n v="35"/>
    <n v="8400"/>
    <n v="20"/>
    <n v="294000"/>
    <x v="799"/>
    <x v="0"/>
    <x v="3"/>
    <x v="1"/>
    <x v="1"/>
    <s v="08/2023"/>
    <x v="1"/>
    <s v="Grande"/>
  </r>
  <r>
    <n v="1985"/>
    <x v="576"/>
    <x v="6"/>
    <x v="2"/>
    <x v="0"/>
    <x v="22"/>
    <n v="8"/>
    <n v="11700"/>
    <n v="10"/>
    <n v="93600"/>
    <x v="1743"/>
    <x v="1"/>
    <x v="1"/>
    <x v="10"/>
    <x v="0"/>
    <s v="12/2024"/>
    <x v="0"/>
    <s v="Moyenne"/>
  </r>
  <r>
    <n v="1986"/>
    <x v="129"/>
    <x v="4"/>
    <x v="2"/>
    <x v="0"/>
    <x v="4"/>
    <n v="28"/>
    <n v="31800"/>
    <n v="0"/>
    <n v="890400"/>
    <x v="1744"/>
    <x v="0"/>
    <x v="3"/>
    <x v="4"/>
    <x v="1"/>
    <s v="11/2023"/>
    <x v="0"/>
    <s v="Grande"/>
  </r>
  <r>
    <n v="1987"/>
    <x v="23"/>
    <x v="8"/>
    <x v="2"/>
    <x v="2"/>
    <x v="3"/>
    <n v="5"/>
    <n v="2000"/>
    <n v="0"/>
    <n v="10000"/>
    <x v="766"/>
    <x v="0"/>
    <x v="1"/>
    <x v="0"/>
    <x v="0"/>
    <s v="10/2024"/>
    <x v="0"/>
    <s v="Petite"/>
  </r>
  <r>
    <n v="1988"/>
    <x v="278"/>
    <x v="8"/>
    <x v="2"/>
    <x v="3"/>
    <x v="36"/>
    <n v="40"/>
    <n v="4100"/>
    <n v="5"/>
    <n v="164000"/>
    <x v="1745"/>
    <x v="1"/>
    <x v="0"/>
    <x v="10"/>
    <x v="0"/>
    <s v="12/2024"/>
    <x v="0"/>
    <s v="Moyenne"/>
  </r>
  <r>
    <n v="1989"/>
    <x v="147"/>
    <x v="7"/>
    <x v="4"/>
    <x v="2"/>
    <x v="16"/>
    <n v="44"/>
    <n v="10200"/>
    <n v="0"/>
    <n v="448800"/>
    <x v="1746"/>
    <x v="1"/>
    <x v="2"/>
    <x v="2"/>
    <x v="0"/>
    <s v="03/2024"/>
    <x v="2"/>
    <s v="Grande"/>
  </r>
  <r>
    <n v="1990"/>
    <x v="62"/>
    <x v="5"/>
    <x v="3"/>
    <x v="3"/>
    <x v="25"/>
    <n v="5"/>
    <n v="8000"/>
    <n v="15"/>
    <n v="40000"/>
    <x v="1683"/>
    <x v="2"/>
    <x v="3"/>
    <x v="9"/>
    <x v="1"/>
    <s v="01/2023"/>
    <x v="2"/>
    <s v="Petite"/>
  </r>
  <r>
    <n v="1991"/>
    <x v="261"/>
    <x v="2"/>
    <x v="0"/>
    <x v="1"/>
    <x v="9"/>
    <n v="3"/>
    <n v="10300"/>
    <n v="0"/>
    <n v="30900"/>
    <x v="1747"/>
    <x v="0"/>
    <x v="1"/>
    <x v="9"/>
    <x v="1"/>
    <s v="01/2023"/>
    <x v="2"/>
    <s v="Petite"/>
  </r>
  <r>
    <n v="1992"/>
    <x v="180"/>
    <x v="9"/>
    <x v="4"/>
    <x v="0"/>
    <x v="22"/>
    <n v="15"/>
    <n v="11600"/>
    <n v="0"/>
    <n v="174000"/>
    <x v="869"/>
    <x v="0"/>
    <x v="1"/>
    <x v="9"/>
    <x v="0"/>
    <s v="01/2024"/>
    <x v="2"/>
    <s v="Moyenne"/>
  </r>
  <r>
    <n v="1993"/>
    <x v="261"/>
    <x v="1"/>
    <x v="5"/>
    <x v="3"/>
    <x v="19"/>
    <n v="26"/>
    <n v="2400"/>
    <n v="10"/>
    <n v="62400"/>
    <x v="1748"/>
    <x v="0"/>
    <x v="3"/>
    <x v="9"/>
    <x v="1"/>
    <s v="01/2023"/>
    <x v="2"/>
    <s v="Moyenne"/>
  </r>
  <r>
    <n v="1994"/>
    <x v="237"/>
    <x v="7"/>
    <x v="2"/>
    <x v="2"/>
    <x v="16"/>
    <n v="43"/>
    <n v="9200"/>
    <n v="0"/>
    <n v="395600"/>
    <x v="1749"/>
    <x v="3"/>
    <x v="3"/>
    <x v="0"/>
    <x v="1"/>
    <s v="10/2023"/>
    <x v="0"/>
    <s v="Grande"/>
  </r>
  <r>
    <n v="1995"/>
    <x v="430"/>
    <x v="1"/>
    <x v="3"/>
    <x v="2"/>
    <x v="37"/>
    <n v="31"/>
    <n v="3400"/>
    <n v="5"/>
    <n v="105400"/>
    <x v="1750"/>
    <x v="0"/>
    <x v="1"/>
    <x v="2"/>
    <x v="0"/>
    <s v="03/2024"/>
    <x v="2"/>
    <s v="Moyenne"/>
  </r>
  <r>
    <n v="1996"/>
    <x v="188"/>
    <x v="2"/>
    <x v="0"/>
    <x v="1"/>
    <x v="11"/>
    <n v="39"/>
    <n v="5800"/>
    <n v="10"/>
    <n v="226200"/>
    <x v="1751"/>
    <x v="0"/>
    <x v="2"/>
    <x v="10"/>
    <x v="0"/>
    <s v="12/2024"/>
    <x v="0"/>
    <s v="Grande"/>
  </r>
  <r>
    <n v="1997"/>
    <x v="587"/>
    <x v="4"/>
    <x v="5"/>
    <x v="4"/>
    <x v="29"/>
    <n v="34"/>
    <n v="20600"/>
    <n v="20"/>
    <n v="700400"/>
    <x v="1752"/>
    <x v="0"/>
    <x v="1"/>
    <x v="1"/>
    <x v="0"/>
    <s v="08/2024"/>
    <x v="1"/>
    <s v="Grande"/>
  </r>
  <r>
    <n v="1998"/>
    <x v="257"/>
    <x v="9"/>
    <x v="0"/>
    <x v="0"/>
    <x v="39"/>
    <n v="45"/>
    <n v="8200"/>
    <n v="0"/>
    <n v="369000"/>
    <x v="1753"/>
    <x v="0"/>
    <x v="2"/>
    <x v="1"/>
    <x v="0"/>
    <s v="08/2024"/>
    <x v="1"/>
    <s v="Grande"/>
  </r>
  <r>
    <n v="1999"/>
    <x v="586"/>
    <x v="8"/>
    <x v="4"/>
    <x v="0"/>
    <x v="21"/>
    <n v="6"/>
    <n v="4300"/>
    <n v="15"/>
    <n v="25800"/>
    <x v="1754"/>
    <x v="2"/>
    <x v="4"/>
    <x v="1"/>
    <x v="1"/>
    <s v="08/2023"/>
    <x v="1"/>
    <s v="Petite"/>
  </r>
  <r>
    <n v="2000"/>
    <x v="295"/>
    <x v="6"/>
    <x v="2"/>
    <x v="2"/>
    <x v="3"/>
    <n v="42"/>
    <n v="2000"/>
    <n v="0"/>
    <n v="84000"/>
    <x v="380"/>
    <x v="0"/>
    <x v="2"/>
    <x v="5"/>
    <x v="1"/>
    <s v="09/2023"/>
    <x v="1"/>
    <s v="Moyen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55CA1-FCA0-4E86-9546-779E0F658CF1}" name="Tableau croisé dynamique13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21" rowHeaderCaption="REGION">
  <location ref="A30:C37" firstHeaderRow="0" firstDataRow="1" firstDataCol="1"/>
  <pivotFields count="21">
    <pivotField showAll="0"/>
    <pivotField numFmtId="14" showAll="0">
      <items count="693">
        <item x="62"/>
        <item x="603"/>
        <item x="88"/>
        <item x="414"/>
        <item x="657"/>
        <item x="629"/>
        <item x="688"/>
        <item x="19"/>
        <item x="592"/>
        <item x="578"/>
        <item x="271"/>
        <item x="261"/>
        <item x="321"/>
        <item x="549"/>
        <item x="574"/>
        <item x="604"/>
        <item x="567"/>
        <item x="552"/>
        <item x="61"/>
        <item x="515"/>
        <item x="449"/>
        <item x="178"/>
        <item x="512"/>
        <item x="235"/>
        <item x="64"/>
        <item x="529"/>
        <item x="280"/>
        <item x="90"/>
        <item x="276"/>
        <item x="381"/>
        <item x="506"/>
        <item x="78"/>
        <item x="93"/>
        <item x="13"/>
        <item x="210"/>
        <item x="530"/>
        <item x="209"/>
        <item x="177"/>
        <item x="376"/>
        <item x="564"/>
        <item x="158"/>
        <item x="472"/>
        <item x="265"/>
        <item x="160"/>
        <item x="572"/>
        <item x="593"/>
        <item x="624"/>
        <item x="33"/>
        <item x="544"/>
        <item x="245"/>
        <item x="21"/>
        <item x="132"/>
        <item x="100"/>
        <item x="618"/>
        <item x="672"/>
        <item x="164"/>
        <item x="216"/>
        <item x="99"/>
        <item x="27"/>
        <item x="478"/>
        <item x="689"/>
        <item x="406"/>
        <item x="570"/>
        <item x="501"/>
        <item x="507"/>
        <item x="40"/>
        <item x="415"/>
        <item x="392"/>
        <item x="29"/>
        <item x="223"/>
        <item x="683"/>
        <item x="341"/>
        <item x="469"/>
        <item x="386"/>
        <item x="15"/>
        <item x="423"/>
        <item x="121"/>
        <item x="143"/>
        <item x="519"/>
        <item x="559"/>
        <item x="47"/>
        <item x="575"/>
        <item x="268"/>
        <item x="277"/>
        <item x="690"/>
        <item x="482"/>
        <item x="495"/>
        <item x="527"/>
        <item x="600"/>
        <item x="128"/>
        <item x="36"/>
        <item x="384"/>
        <item x="558"/>
        <item x="492"/>
        <item x="396"/>
        <item x="106"/>
        <item x="281"/>
        <item x="241"/>
        <item x="332"/>
        <item x="307"/>
        <item x="272"/>
        <item x="50"/>
        <item x="126"/>
        <item x="189"/>
        <item x="440"/>
        <item x="568"/>
        <item x="543"/>
        <item x="636"/>
        <item x="91"/>
        <item x="12"/>
        <item x="114"/>
        <item x="358"/>
        <item x="303"/>
        <item x="287"/>
        <item x="185"/>
        <item x="475"/>
        <item x="605"/>
        <item x="608"/>
        <item x="644"/>
        <item x="60"/>
        <item x="548"/>
        <item x="513"/>
        <item x="316"/>
        <item x="675"/>
        <item x="175"/>
        <item x="306"/>
        <item x="424"/>
        <item x="51"/>
        <item x="305"/>
        <item x="677"/>
        <item x="441"/>
        <item x="459"/>
        <item x="353"/>
        <item x="152"/>
        <item x="601"/>
        <item x="176"/>
        <item x="82"/>
        <item x="465"/>
        <item x="155"/>
        <item x="426"/>
        <item x="250"/>
        <item x="563"/>
        <item x="665"/>
        <item x="610"/>
        <item x="667"/>
        <item x="499"/>
        <item x="468"/>
        <item x="68"/>
        <item x="159"/>
        <item x="486"/>
        <item x="378"/>
        <item x="205"/>
        <item x="275"/>
        <item x="194"/>
        <item x="87"/>
        <item x="628"/>
        <item x="37"/>
        <item x="24"/>
        <item x="504"/>
        <item x="451"/>
        <item x="331"/>
        <item x="540"/>
        <item x="355"/>
        <item x="678"/>
        <item x="219"/>
        <item x="242"/>
        <item x="325"/>
        <item x="45"/>
        <item x="101"/>
        <item x="582"/>
        <item x="215"/>
        <item x="232"/>
        <item x="643"/>
        <item x="682"/>
        <item x="547"/>
        <item x="546"/>
        <item x="243"/>
        <item x="434"/>
        <item x="238"/>
        <item x="617"/>
        <item x="497"/>
        <item x="687"/>
        <item x="94"/>
        <item x="25"/>
        <item x="648"/>
        <item x="463"/>
        <item x="288"/>
        <item x="75"/>
        <item x="299"/>
        <item x="632"/>
        <item x="659"/>
        <item x="48"/>
        <item x="462"/>
        <item x="466"/>
        <item x="354"/>
        <item x="253"/>
        <item x="174"/>
        <item x="28"/>
        <item x="419"/>
        <item x="343"/>
        <item x="133"/>
        <item x="671"/>
        <item x="304"/>
        <item x="254"/>
        <item x="171"/>
        <item x="115"/>
        <item x="366"/>
        <item x="173"/>
        <item x="586"/>
        <item x="500"/>
        <item x="118"/>
        <item x="10"/>
        <item x="18"/>
        <item x="113"/>
        <item x="400"/>
        <item x="267"/>
        <item x="151"/>
        <item x="445"/>
        <item x="432"/>
        <item x="521"/>
        <item x="681"/>
        <item x="361"/>
        <item x="611"/>
        <item x="612"/>
        <item x="5"/>
        <item x="673"/>
        <item x="623"/>
        <item x="686"/>
        <item x="104"/>
        <item x="520"/>
        <item x="8"/>
        <item x="218"/>
        <item x="461"/>
        <item x="260"/>
        <item x="405"/>
        <item x="503"/>
        <item x="589"/>
        <item x="363"/>
        <item x="483"/>
        <item x="438"/>
        <item x="511"/>
        <item x="149"/>
        <item x="324"/>
        <item x="295"/>
        <item x="157"/>
        <item x="102"/>
        <item x="208"/>
        <item x="285"/>
        <item x="71"/>
        <item x="431"/>
        <item x="450"/>
        <item x="41"/>
        <item x="258"/>
        <item x="308"/>
        <item x="502"/>
        <item x="9"/>
        <item x="595"/>
        <item x="310"/>
        <item x="237"/>
        <item x="108"/>
        <item x="516"/>
        <item x="395"/>
        <item x="454"/>
        <item x="346"/>
        <item x="537"/>
        <item x="202"/>
        <item x="616"/>
        <item x="596"/>
        <item x="676"/>
        <item x="292"/>
        <item x="32"/>
        <item x="380"/>
        <item x="428"/>
        <item x="356"/>
        <item x="553"/>
        <item x="373"/>
        <item x="360"/>
        <item x="458"/>
        <item x="408"/>
        <item x="369"/>
        <item x="374"/>
        <item x="328"/>
        <item x="73"/>
        <item x="630"/>
        <item x="658"/>
        <item x="234"/>
        <item x="181"/>
        <item x="397"/>
        <item x="336"/>
        <item x="437"/>
        <item x="264"/>
        <item x="161"/>
        <item x="204"/>
        <item x="195"/>
        <item x="455"/>
        <item x="146"/>
        <item x="44"/>
        <item x="136"/>
        <item x="412"/>
        <item x="236"/>
        <item x="255"/>
        <item x="314"/>
        <item x="220"/>
        <item x="620"/>
        <item x="282"/>
        <item x="420"/>
        <item x="634"/>
        <item x="213"/>
        <item x="228"/>
        <item x="266"/>
        <item x="84"/>
        <item x="14"/>
        <item x="129"/>
        <item x="371"/>
        <item x="583"/>
        <item x="389"/>
        <item x="30"/>
        <item x="142"/>
        <item x="523"/>
        <item x="302"/>
        <item x="522"/>
        <item x="198"/>
        <item x="534"/>
        <item x="453"/>
        <item x="273"/>
        <item x="641"/>
        <item x="561"/>
        <item x="359"/>
        <item x="647"/>
        <item x="418"/>
        <item x="252"/>
        <item x="496"/>
        <item x="103"/>
        <item x="590"/>
        <item x="284"/>
        <item x="201"/>
        <item x="137"/>
        <item x="615"/>
        <item x="248"/>
        <item x="105"/>
        <item x="597"/>
        <item x="409"/>
        <item x="422"/>
        <item x="417"/>
        <item x="684"/>
        <item x="166"/>
        <item x="109"/>
        <item x="404"/>
        <item x="169"/>
        <item x="493"/>
        <item x="289"/>
        <item x="320"/>
        <item x="385"/>
        <item x="313"/>
        <item x="112"/>
        <item x="35"/>
        <item x="262"/>
        <item x="125"/>
        <item x="622"/>
        <item x="517"/>
        <item x="222"/>
        <item x="470"/>
        <item x="621"/>
        <item x="286"/>
        <item x="651"/>
        <item x="609"/>
        <item x="95"/>
        <item x="200"/>
        <item x="416"/>
        <item x="631"/>
        <item x="311"/>
        <item x="180"/>
        <item x="279"/>
        <item x="297"/>
        <item x="206"/>
        <item x="425"/>
        <item x="464"/>
        <item x="411"/>
        <item x="351"/>
        <item x="403"/>
        <item x="588"/>
        <item x="226"/>
        <item x="138"/>
        <item x="246"/>
        <item x="489"/>
        <item x="550"/>
        <item x="484"/>
        <item x="498"/>
        <item x="357"/>
        <item x="239"/>
        <item x="640"/>
        <item x="72"/>
        <item x="55"/>
        <item x="481"/>
        <item x="300"/>
        <item x="598"/>
        <item x="398"/>
        <item x="655"/>
        <item x="402"/>
        <item x="49"/>
        <item x="3"/>
        <item x="312"/>
        <item x="656"/>
        <item x="607"/>
        <item x="533"/>
        <item x="433"/>
        <item x="338"/>
        <item x="372"/>
        <item x="98"/>
        <item x="654"/>
        <item x="456"/>
        <item x="430"/>
        <item x="542"/>
        <item x="240"/>
        <item x="131"/>
        <item x="43"/>
        <item x="367"/>
        <item x="594"/>
        <item x="388"/>
        <item x="225"/>
        <item x="536"/>
        <item x="579"/>
        <item x="147"/>
        <item x="379"/>
        <item x="96"/>
        <item x="76"/>
        <item x="34"/>
        <item x="130"/>
        <item x="116"/>
        <item x="625"/>
        <item x="339"/>
        <item x="591"/>
        <item x="691"/>
        <item x="22"/>
        <item x="674"/>
        <item x="330"/>
        <item x="535"/>
        <item x="524"/>
        <item x="350"/>
        <item x="139"/>
        <item x="421"/>
        <item x="81"/>
        <item x="447"/>
        <item x="290"/>
        <item x="186"/>
        <item x="39"/>
        <item x="457"/>
        <item x="477"/>
        <item x="443"/>
        <item x="293"/>
        <item x="394"/>
        <item x="662"/>
        <item x="83"/>
        <item x="97"/>
        <item x="487"/>
        <item x="393"/>
        <item x="199"/>
        <item x="20"/>
        <item x="294"/>
        <item x="156"/>
        <item x="334"/>
        <item x="577"/>
        <item x="627"/>
        <item x="170"/>
        <item x="460"/>
        <item x="545"/>
        <item x="488"/>
        <item x="555"/>
        <item x="528"/>
        <item x="318"/>
        <item x="184"/>
        <item x="244"/>
        <item x="669"/>
        <item x="599"/>
        <item x="382"/>
        <item x="167"/>
        <item x="77"/>
        <item x="637"/>
        <item x="471"/>
        <item x="494"/>
        <item x="474"/>
        <item x="518"/>
        <item x="532"/>
        <item x="476"/>
        <item x="508"/>
        <item x="446"/>
        <item x="663"/>
        <item x="635"/>
        <item x="442"/>
        <item x="365"/>
        <item x="666"/>
        <item x="348"/>
        <item x="150"/>
        <item x="661"/>
        <item x="660"/>
        <item x="342"/>
        <item x="296"/>
        <item x="560"/>
        <item x="347"/>
        <item x="80"/>
        <item x="17"/>
        <item x="525"/>
        <item x="401"/>
        <item x="270"/>
        <item x="53"/>
        <item x="505"/>
        <item x="633"/>
        <item x="614"/>
        <item x="410"/>
        <item x="485"/>
        <item x="491"/>
        <item x="16"/>
        <item x="679"/>
        <item x="217"/>
        <item x="26"/>
        <item x="427"/>
        <item x="148"/>
        <item x="626"/>
        <item x="390"/>
        <item x="606"/>
        <item x="123"/>
        <item x="309"/>
        <item x="247"/>
        <item x="54"/>
        <item x="473"/>
        <item x="664"/>
        <item x="368"/>
        <item x="670"/>
        <item x="135"/>
        <item x="57"/>
        <item x="196"/>
        <item x="52"/>
        <item x="74"/>
        <item x="571"/>
        <item x="4"/>
        <item x="214"/>
        <item x="31"/>
        <item x="335"/>
        <item x="352"/>
        <item x="383"/>
        <item x="298"/>
        <item x="554"/>
        <item x="127"/>
        <item x="650"/>
        <item x="183"/>
        <item x="59"/>
        <item x="652"/>
        <item x="1"/>
        <item x="322"/>
        <item x="110"/>
        <item x="587"/>
        <item x="448"/>
        <item x="141"/>
        <item x="283"/>
        <item x="301"/>
        <item x="315"/>
        <item x="257"/>
        <item x="581"/>
        <item x="413"/>
        <item x="319"/>
        <item x="46"/>
        <item x="251"/>
        <item x="193"/>
        <item x="197"/>
        <item x="480"/>
        <item x="86"/>
        <item x="274"/>
        <item x="370"/>
        <item x="79"/>
        <item x="349"/>
        <item x="668"/>
        <item x="551"/>
        <item x="69"/>
        <item x="119"/>
        <item x="203"/>
        <item x="585"/>
        <item x="680"/>
        <item x="122"/>
        <item x="224"/>
        <item x="92"/>
        <item x="557"/>
        <item x="89"/>
        <item x="326"/>
        <item x="490"/>
        <item x="435"/>
        <item x="646"/>
        <item x="556"/>
        <item x="163"/>
        <item x="153"/>
        <item x="70"/>
        <item x="192"/>
        <item x="399"/>
        <item x="182"/>
        <item x="221"/>
        <item x="407"/>
        <item x="256"/>
        <item x="531"/>
        <item x="602"/>
        <item x="333"/>
        <item x="337"/>
        <item x="227"/>
        <item x="653"/>
        <item x="154"/>
        <item x="649"/>
        <item x="179"/>
        <item x="291"/>
        <item x="569"/>
        <item x="191"/>
        <item x="187"/>
        <item x="249"/>
        <item x="327"/>
        <item x="190"/>
        <item x="317"/>
        <item x="541"/>
        <item x="362"/>
        <item x="231"/>
        <item x="539"/>
        <item x="639"/>
        <item x="429"/>
        <item x="0"/>
        <item x="7"/>
        <item x="172"/>
        <item x="387"/>
        <item x="120"/>
        <item x="467"/>
        <item x="140"/>
        <item x="340"/>
        <item x="233"/>
        <item x="67"/>
        <item x="212"/>
        <item x="2"/>
        <item x="514"/>
        <item x="23"/>
        <item x="107"/>
        <item x="65"/>
        <item x="165"/>
        <item x="134"/>
        <item x="613"/>
        <item x="375"/>
        <item x="439"/>
        <item x="562"/>
        <item x="526"/>
        <item x="538"/>
        <item x="584"/>
        <item x="323"/>
        <item x="269"/>
        <item x="377"/>
        <item x="565"/>
        <item x="329"/>
        <item x="38"/>
        <item x="6"/>
        <item x="479"/>
        <item x="85"/>
        <item x="510"/>
        <item x="580"/>
        <item x="345"/>
        <item x="111"/>
        <item x="509"/>
        <item x="58"/>
        <item x="11"/>
        <item x="619"/>
        <item x="168"/>
        <item x="645"/>
        <item x="117"/>
        <item x="162"/>
        <item x="685"/>
        <item x="145"/>
        <item x="573"/>
        <item x="230"/>
        <item x="56"/>
        <item x="42"/>
        <item x="576"/>
        <item x="124"/>
        <item x="229"/>
        <item x="211"/>
        <item x="66"/>
        <item x="391"/>
        <item x="364"/>
        <item x="63"/>
        <item x="642"/>
        <item x="259"/>
        <item x="344"/>
        <item x="188"/>
        <item x="452"/>
        <item x="436"/>
        <item x="207"/>
        <item x="144"/>
        <item x="444"/>
        <item x="638"/>
        <item x="566"/>
        <item x="263"/>
        <item x="278"/>
        <item t="default"/>
      </items>
    </pivotField>
    <pivotField showAll="0">
      <items count="11">
        <item x="9"/>
        <item x="5"/>
        <item x="1"/>
        <item x="7"/>
        <item x="0"/>
        <item x="4"/>
        <item x="3"/>
        <item x="6"/>
        <item x="2"/>
        <item x="8"/>
        <item t="default"/>
      </items>
    </pivotField>
    <pivotField axis="axisRow" showAll="0">
      <items count="7">
        <item x="0"/>
        <item x="3"/>
        <item x="5"/>
        <item x="1"/>
        <item x="4"/>
        <item x="2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numFmtId="1" showAll="0"/>
    <pivotField showAll="0"/>
    <pivotField showAll="0"/>
    <pivotField dataField="1" showAll="0"/>
    <pivotField dataField="1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Statut_Commande" fld="11" subtotal="count" baseField="0" baseItem="0"/>
    <dataField name="Somme de CA_Net" fld="10" baseField="0" baseItem="0"/>
  </dataFields>
  <chartFormats count="2"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CD739-BAAB-4858-96BF-F8B3895F62C5}" name="Tableau croisé dynamique5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rowHeaderCaption="MODE_PAIEMENT">
  <location ref="X3:Z9" firstHeaderRow="0" firstDataRow="1" firstDataCol="1"/>
  <pivotFields count="21">
    <pivotField showAll="0"/>
    <pivotField numFmtId="14" showAll="0">
      <items count="693">
        <item x="62"/>
        <item x="603"/>
        <item x="88"/>
        <item x="414"/>
        <item x="657"/>
        <item x="629"/>
        <item x="688"/>
        <item x="19"/>
        <item x="592"/>
        <item x="578"/>
        <item x="271"/>
        <item x="261"/>
        <item x="321"/>
        <item x="549"/>
        <item x="574"/>
        <item x="604"/>
        <item x="567"/>
        <item x="552"/>
        <item x="61"/>
        <item x="515"/>
        <item x="449"/>
        <item x="178"/>
        <item x="512"/>
        <item x="235"/>
        <item x="64"/>
        <item x="529"/>
        <item x="280"/>
        <item x="90"/>
        <item x="276"/>
        <item x="381"/>
        <item x="506"/>
        <item x="78"/>
        <item x="93"/>
        <item x="13"/>
        <item x="210"/>
        <item x="530"/>
        <item x="209"/>
        <item x="177"/>
        <item x="376"/>
        <item x="564"/>
        <item x="158"/>
        <item x="472"/>
        <item x="265"/>
        <item x="160"/>
        <item x="572"/>
        <item x="593"/>
        <item x="624"/>
        <item x="33"/>
        <item x="544"/>
        <item x="245"/>
        <item x="21"/>
        <item x="132"/>
        <item x="100"/>
        <item x="618"/>
        <item x="672"/>
        <item x="164"/>
        <item x="216"/>
        <item x="99"/>
        <item x="27"/>
        <item x="478"/>
        <item x="689"/>
        <item x="406"/>
        <item x="570"/>
        <item x="501"/>
        <item x="507"/>
        <item x="40"/>
        <item x="415"/>
        <item x="392"/>
        <item x="29"/>
        <item x="223"/>
        <item x="683"/>
        <item x="341"/>
        <item x="469"/>
        <item x="386"/>
        <item x="15"/>
        <item x="423"/>
        <item x="121"/>
        <item x="143"/>
        <item x="519"/>
        <item x="559"/>
        <item x="47"/>
        <item x="575"/>
        <item x="268"/>
        <item x="277"/>
        <item x="690"/>
        <item x="482"/>
        <item x="495"/>
        <item x="527"/>
        <item x="600"/>
        <item x="128"/>
        <item x="36"/>
        <item x="384"/>
        <item x="558"/>
        <item x="492"/>
        <item x="396"/>
        <item x="106"/>
        <item x="281"/>
        <item x="241"/>
        <item x="332"/>
        <item x="307"/>
        <item x="272"/>
        <item x="50"/>
        <item x="126"/>
        <item x="189"/>
        <item x="440"/>
        <item x="568"/>
        <item x="543"/>
        <item x="636"/>
        <item x="91"/>
        <item x="12"/>
        <item x="114"/>
        <item x="358"/>
        <item x="303"/>
        <item x="287"/>
        <item x="185"/>
        <item x="475"/>
        <item x="605"/>
        <item x="608"/>
        <item x="644"/>
        <item x="60"/>
        <item x="548"/>
        <item x="513"/>
        <item x="316"/>
        <item x="675"/>
        <item x="175"/>
        <item x="306"/>
        <item x="424"/>
        <item x="51"/>
        <item x="305"/>
        <item x="677"/>
        <item x="441"/>
        <item x="459"/>
        <item x="353"/>
        <item x="152"/>
        <item x="601"/>
        <item x="176"/>
        <item x="82"/>
        <item x="465"/>
        <item x="155"/>
        <item x="426"/>
        <item x="250"/>
        <item x="563"/>
        <item x="665"/>
        <item x="610"/>
        <item x="667"/>
        <item x="499"/>
        <item x="468"/>
        <item x="68"/>
        <item x="159"/>
        <item x="486"/>
        <item x="378"/>
        <item x="205"/>
        <item x="275"/>
        <item x="194"/>
        <item x="87"/>
        <item x="628"/>
        <item x="37"/>
        <item x="24"/>
        <item x="504"/>
        <item x="451"/>
        <item x="331"/>
        <item x="540"/>
        <item x="355"/>
        <item x="678"/>
        <item x="219"/>
        <item x="242"/>
        <item x="325"/>
        <item x="45"/>
        <item x="101"/>
        <item x="582"/>
        <item x="215"/>
        <item x="232"/>
        <item x="643"/>
        <item x="682"/>
        <item x="547"/>
        <item x="546"/>
        <item x="243"/>
        <item x="434"/>
        <item x="238"/>
        <item x="617"/>
        <item x="497"/>
        <item x="687"/>
        <item x="94"/>
        <item x="25"/>
        <item x="648"/>
        <item x="463"/>
        <item x="288"/>
        <item x="75"/>
        <item x="299"/>
        <item x="632"/>
        <item x="659"/>
        <item x="48"/>
        <item x="462"/>
        <item x="466"/>
        <item x="354"/>
        <item x="253"/>
        <item x="174"/>
        <item x="28"/>
        <item x="419"/>
        <item x="343"/>
        <item x="133"/>
        <item x="671"/>
        <item x="304"/>
        <item x="254"/>
        <item x="171"/>
        <item x="115"/>
        <item x="366"/>
        <item x="173"/>
        <item x="586"/>
        <item x="500"/>
        <item x="118"/>
        <item x="10"/>
        <item x="18"/>
        <item x="113"/>
        <item x="400"/>
        <item x="267"/>
        <item x="151"/>
        <item x="445"/>
        <item x="432"/>
        <item x="521"/>
        <item x="681"/>
        <item x="361"/>
        <item x="611"/>
        <item x="612"/>
        <item x="5"/>
        <item x="673"/>
        <item x="623"/>
        <item x="686"/>
        <item x="104"/>
        <item x="520"/>
        <item x="8"/>
        <item x="218"/>
        <item x="461"/>
        <item x="260"/>
        <item x="405"/>
        <item x="503"/>
        <item x="589"/>
        <item x="363"/>
        <item x="483"/>
        <item x="438"/>
        <item x="511"/>
        <item x="149"/>
        <item x="324"/>
        <item x="295"/>
        <item x="157"/>
        <item x="102"/>
        <item x="208"/>
        <item x="285"/>
        <item x="71"/>
        <item x="431"/>
        <item x="450"/>
        <item x="41"/>
        <item x="258"/>
        <item x="308"/>
        <item x="502"/>
        <item x="9"/>
        <item x="595"/>
        <item x="310"/>
        <item x="237"/>
        <item x="108"/>
        <item x="516"/>
        <item x="395"/>
        <item x="454"/>
        <item x="346"/>
        <item x="537"/>
        <item x="202"/>
        <item x="616"/>
        <item x="596"/>
        <item x="676"/>
        <item x="292"/>
        <item x="32"/>
        <item x="380"/>
        <item x="428"/>
        <item x="356"/>
        <item x="553"/>
        <item x="373"/>
        <item x="360"/>
        <item x="458"/>
        <item x="408"/>
        <item x="369"/>
        <item x="374"/>
        <item x="328"/>
        <item x="73"/>
        <item x="630"/>
        <item x="658"/>
        <item x="234"/>
        <item x="181"/>
        <item x="397"/>
        <item x="336"/>
        <item x="437"/>
        <item x="264"/>
        <item x="161"/>
        <item x="204"/>
        <item x="195"/>
        <item x="455"/>
        <item x="146"/>
        <item x="44"/>
        <item x="136"/>
        <item x="412"/>
        <item x="236"/>
        <item x="255"/>
        <item x="314"/>
        <item x="220"/>
        <item x="620"/>
        <item x="282"/>
        <item x="420"/>
        <item x="634"/>
        <item x="213"/>
        <item x="228"/>
        <item x="266"/>
        <item x="84"/>
        <item x="14"/>
        <item x="129"/>
        <item x="371"/>
        <item x="583"/>
        <item x="389"/>
        <item x="30"/>
        <item x="142"/>
        <item x="523"/>
        <item x="302"/>
        <item x="522"/>
        <item x="198"/>
        <item x="534"/>
        <item x="453"/>
        <item x="273"/>
        <item x="641"/>
        <item x="561"/>
        <item x="359"/>
        <item x="647"/>
        <item x="418"/>
        <item x="252"/>
        <item x="496"/>
        <item x="103"/>
        <item x="590"/>
        <item x="284"/>
        <item x="201"/>
        <item x="137"/>
        <item x="615"/>
        <item x="248"/>
        <item x="105"/>
        <item x="597"/>
        <item x="409"/>
        <item x="422"/>
        <item x="417"/>
        <item x="684"/>
        <item x="166"/>
        <item x="109"/>
        <item x="404"/>
        <item x="169"/>
        <item x="493"/>
        <item x="289"/>
        <item x="320"/>
        <item x="385"/>
        <item x="313"/>
        <item x="112"/>
        <item x="35"/>
        <item x="262"/>
        <item x="125"/>
        <item x="622"/>
        <item x="517"/>
        <item x="222"/>
        <item x="470"/>
        <item x="621"/>
        <item x="286"/>
        <item x="651"/>
        <item x="609"/>
        <item x="95"/>
        <item x="200"/>
        <item x="416"/>
        <item x="631"/>
        <item x="311"/>
        <item x="180"/>
        <item x="279"/>
        <item x="297"/>
        <item x="206"/>
        <item x="425"/>
        <item x="464"/>
        <item x="411"/>
        <item x="351"/>
        <item x="403"/>
        <item x="588"/>
        <item x="226"/>
        <item x="138"/>
        <item x="246"/>
        <item x="489"/>
        <item x="550"/>
        <item x="484"/>
        <item x="498"/>
        <item x="357"/>
        <item x="239"/>
        <item x="640"/>
        <item x="72"/>
        <item x="55"/>
        <item x="481"/>
        <item x="300"/>
        <item x="598"/>
        <item x="398"/>
        <item x="655"/>
        <item x="402"/>
        <item x="49"/>
        <item x="3"/>
        <item x="312"/>
        <item x="656"/>
        <item x="607"/>
        <item x="533"/>
        <item x="433"/>
        <item x="338"/>
        <item x="372"/>
        <item x="98"/>
        <item x="654"/>
        <item x="456"/>
        <item x="430"/>
        <item x="542"/>
        <item x="240"/>
        <item x="131"/>
        <item x="43"/>
        <item x="367"/>
        <item x="594"/>
        <item x="388"/>
        <item x="225"/>
        <item x="536"/>
        <item x="579"/>
        <item x="147"/>
        <item x="379"/>
        <item x="96"/>
        <item x="76"/>
        <item x="34"/>
        <item x="130"/>
        <item x="116"/>
        <item x="625"/>
        <item x="339"/>
        <item x="591"/>
        <item x="691"/>
        <item x="22"/>
        <item x="674"/>
        <item x="330"/>
        <item x="535"/>
        <item x="524"/>
        <item x="350"/>
        <item x="139"/>
        <item x="421"/>
        <item x="81"/>
        <item x="447"/>
        <item x="290"/>
        <item x="186"/>
        <item x="39"/>
        <item x="457"/>
        <item x="477"/>
        <item x="443"/>
        <item x="293"/>
        <item x="394"/>
        <item x="662"/>
        <item x="83"/>
        <item x="97"/>
        <item x="487"/>
        <item x="393"/>
        <item x="199"/>
        <item x="20"/>
        <item x="294"/>
        <item x="156"/>
        <item x="334"/>
        <item x="577"/>
        <item x="627"/>
        <item x="170"/>
        <item x="460"/>
        <item x="545"/>
        <item x="488"/>
        <item x="555"/>
        <item x="528"/>
        <item x="318"/>
        <item x="184"/>
        <item x="244"/>
        <item x="669"/>
        <item x="599"/>
        <item x="382"/>
        <item x="167"/>
        <item x="77"/>
        <item x="637"/>
        <item x="471"/>
        <item x="494"/>
        <item x="474"/>
        <item x="518"/>
        <item x="532"/>
        <item x="476"/>
        <item x="508"/>
        <item x="446"/>
        <item x="663"/>
        <item x="635"/>
        <item x="442"/>
        <item x="365"/>
        <item x="666"/>
        <item x="348"/>
        <item x="150"/>
        <item x="661"/>
        <item x="660"/>
        <item x="342"/>
        <item x="296"/>
        <item x="560"/>
        <item x="347"/>
        <item x="80"/>
        <item x="17"/>
        <item x="525"/>
        <item x="401"/>
        <item x="270"/>
        <item x="53"/>
        <item x="505"/>
        <item x="633"/>
        <item x="614"/>
        <item x="410"/>
        <item x="485"/>
        <item x="491"/>
        <item x="16"/>
        <item x="679"/>
        <item x="217"/>
        <item x="26"/>
        <item x="427"/>
        <item x="148"/>
        <item x="626"/>
        <item x="390"/>
        <item x="606"/>
        <item x="123"/>
        <item x="309"/>
        <item x="247"/>
        <item x="54"/>
        <item x="473"/>
        <item x="664"/>
        <item x="368"/>
        <item x="670"/>
        <item x="135"/>
        <item x="57"/>
        <item x="196"/>
        <item x="52"/>
        <item x="74"/>
        <item x="571"/>
        <item x="4"/>
        <item x="214"/>
        <item x="31"/>
        <item x="335"/>
        <item x="352"/>
        <item x="383"/>
        <item x="298"/>
        <item x="554"/>
        <item x="127"/>
        <item x="650"/>
        <item x="183"/>
        <item x="59"/>
        <item x="652"/>
        <item x="1"/>
        <item x="322"/>
        <item x="110"/>
        <item x="587"/>
        <item x="448"/>
        <item x="141"/>
        <item x="283"/>
        <item x="301"/>
        <item x="315"/>
        <item x="257"/>
        <item x="581"/>
        <item x="413"/>
        <item x="319"/>
        <item x="46"/>
        <item x="251"/>
        <item x="193"/>
        <item x="197"/>
        <item x="480"/>
        <item x="86"/>
        <item x="274"/>
        <item x="370"/>
        <item x="79"/>
        <item x="349"/>
        <item x="668"/>
        <item x="551"/>
        <item x="69"/>
        <item x="119"/>
        <item x="203"/>
        <item x="585"/>
        <item x="680"/>
        <item x="122"/>
        <item x="224"/>
        <item x="92"/>
        <item x="557"/>
        <item x="89"/>
        <item x="326"/>
        <item x="490"/>
        <item x="435"/>
        <item x="646"/>
        <item x="556"/>
        <item x="163"/>
        <item x="153"/>
        <item x="70"/>
        <item x="192"/>
        <item x="399"/>
        <item x="182"/>
        <item x="221"/>
        <item x="407"/>
        <item x="256"/>
        <item x="531"/>
        <item x="602"/>
        <item x="333"/>
        <item x="337"/>
        <item x="227"/>
        <item x="653"/>
        <item x="154"/>
        <item x="649"/>
        <item x="179"/>
        <item x="291"/>
        <item x="569"/>
        <item x="191"/>
        <item x="187"/>
        <item x="249"/>
        <item x="327"/>
        <item x="190"/>
        <item x="317"/>
        <item x="541"/>
        <item x="362"/>
        <item x="231"/>
        <item x="539"/>
        <item x="639"/>
        <item x="429"/>
        <item x="0"/>
        <item x="7"/>
        <item x="172"/>
        <item x="387"/>
        <item x="120"/>
        <item x="467"/>
        <item x="140"/>
        <item x="340"/>
        <item x="233"/>
        <item x="67"/>
        <item x="212"/>
        <item x="2"/>
        <item x="514"/>
        <item x="23"/>
        <item x="107"/>
        <item x="65"/>
        <item x="165"/>
        <item x="134"/>
        <item x="613"/>
        <item x="375"/>
        <item x="439"/>
        <item x="562"/>
        <item x="526"/>
        <item x="538"/>
        <item x="584"/>
        <item x="323"/>
        <item x="269"/>
        <item x="377"/>
        <item x="565"/>
        <item x="329"/>
        <item x="38"/>
        <item x="6"/>
        <item x="479"/>
        <item x="85"/>
        <item x="510"/>
        <item x="580"/>
        <item x="345"/>
        <item x="111"/>
        <item x="509"/>
        <item x="58"/>
        <item x="11"/>
        <item x="619"/>
        <item x="168"/>
        <item x="645"/>
        <item x="117"/>
        <item x="162"/>
        <item x="685"/>
        <item x="145"/>
        <item x="573"/>
        <item x="230"/>
        <item x="56"/>
        <item x="42"/>
        <item x="576"/>
        <item x="124"/>
        <item x="229"/>
        <item x="211"/>
        <item x="66"/>
        <item x="391"/>
        <item x="364"/>
        <item x="63"/>
        <item x="642"/>
        <item x="259"/>
        <item x="344"/>
        <item x="188"/>
        <item x="452"/>
        <item x="436"/>
        <item x="207"/>
        <item x="144"/>
        <item x="444"/>
        <item x="638"/>
        <item x="566"/>
        <item x="263"/>
        <item x="278"/>
        <item t="default"/>
      </items>
    </pivotField>
    <pivotField showAll="0"/>
    <pivotField showAll="0">
      <items count="7">
        <item x="0"/>
        <item x="3"/>
        <item x="5"/>
        <item x="1"/>
        <item x="4"/>
        <item x="2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numFmtId="1" showAll="0"/>
    <pivotField showAll="0"/>
    <pivotField showAll="0"/>
    <pivotField dataField="1" showAll="0"/>
    <pivotField dataField="1" showAll="0">
      <items count="5">
        <item x="2"/>
        <item x="3"/>
        <item x="1"/>
        <item x="0"/>
        <item t="default"/>
      </items>
    </pivotField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CA_Net" fld="10" baseField="0" baseItem="0"/>
    <dataField name="Nombre de Statut_Command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B125E-4C57-4D57-972D-BE24C0333921}" name="Tableau croisé dynamique12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11" rowHeaderCaption="CATEGORIE">
  <location ref="A17:B23" firstHeaderRow="1" firstDataRow="1" firstDataCol="1"/>
  <pivotFields count="21">
    <pivotField showAll="0"/>
    <pivotField numFmtId="14" showAll="0">
      <items count="693">
        <item x="62"/>
        <item x="603"/>
        <item x="88"/>
        <item x="414"/>
        <item x="657"/>
        <item x="629"/>
        <item x="688"/>
        <item x="19"/>
        <item x="592"/>
        <item x="578"/>
        <item x="271"/>
        <item x="261"/>
        <item x="321"/>
        <item x="549"/>
        <item x="574"/>
        <item x="604"/>
        <item x="567"/>
        <item x="552"/>
        <item x="61"/>
        <item x="515"/>
        <item x="449"/>
        <item x="178"/>
        <item x="512"/>
        <item x="235"/>
        <item x="64"/>
        <item x="529"/>
        <item x="280"/>
        <item x="90"/>
        <item x="276"/>
        <item x="381"/>
        <item x="506"/>
        <item x="78"/>
        <item x="93"/>
        <item x="13"/>
        <item x="210"/>
        <item x="530"/>
        <item x="209"/>
        <item x="177"/>
        <item x="376"/>
        <item x="564"/>
        <item x="158"/>
        <item x="472"/>
        <item x="265"/>
        <item x="160"/>
        <item x="572"/>
        <item x="593"/>
        <item x="624"/>
        <item x="33"/>
        <item x="544"/>
        <item x="245"/>
        <item x="21"/>
        <item x="132"/>
        <item x="100"/>
        <item x="618"/>
        <item x="672"/>
        <item x="164"/>
        <item x="216"/>
        <item x="99"/>
        <item x="27"/>
        <item x="478"/>
        <item x="689"/>
        <item x="406"/>
        <item x="570"/>
        <item x="501"/>
        <item x="507"/>
        <item x="40"/>
        <item x="415"/>
        <item x="392"/>
        <item x="29"/>
        <item x="223"/>
        <item x="683"/>
        <item x="341"/>
        <item x="469"/>
        <item x="386"/>
        <item x="15"/>
        <item x="423"/>
        <item x="121"/>
        <item x="143"/>
        <item x="519"/>
        <item x="559"/>
        <item x="47"/>
        <item x="575"/>
        <item x="268"/>
        <item x="277"/>
        <item x="690"/>
        <item x="482"/>
        <item x="495"/>
        <item x="527"/>
        <item x="600"/>
        <item x="128"/>
        <item x="36"/>
        <item x="384"/>
        <item x="558"/>
        <item x="492"/>
        <item x="396"/>
        <item x="106"/>
        <item x="281"/>
        <item x="241"/>
        <item x="332"/>
        <item x="307"/>
        <item x="272"/>
        <item x="50"/>
        <item x="126"/>
        <item x="189"/>
        <item x="440"/>
        <item x="568"/>
        <item x="543"/>
        <item x="636"/>
        <item x="91"/>
        <item x="12"/>
        <item x="114"/>
        <item x="358"/>
        <item x="303"/>
        <item x="287"/>
        <item x="185"/>
        <item x="475"/>
        <item x="605"/>
        <item x="608"/>
        <item x="644"/>
        <item x="60"/>
        <item x="548"/>
        <item x="513"/>
        <item x="316"/>
        <item x="675"/>
        <item x="175"/>
        <item x="306"/>
        <item x="424"/>
        <item x="51"/>
        <item x="305"/>
        <item x="677"/>
        <item x="441"/>
        <item x="459"/>
        <item x="353"/>
        <item x="152"/>
        <item x="601"/>
        <item x="176"/>
        <item x="82"/>
        <item x="465"/>
        <item x="155"/>
        <item x="426"/>
        <item x="250"/>
        <item x="563"/>
        <item x="665"/>
        <item x="610"/>
        <item x="667"/>
        <item x="499"/>
        <item x="468"/>
        <item x="68"/>
        <item x="159"/>
        <item x="486"/>
        <item x="378"/>
        <item x="205"/>
        <item x="275"/>
        <item x="194"/>
        <item x="87"/>
        <item x="628"/>
        <item x="37"/>
        <item x="24"/>
        <item x="504"/>
        <item x="451"/>
        <item x="331"/>
        <item x="540"/>
        <item x="355"/>
        <item x="678"/>
        <item x="219"/>
        <item x="242"/>
        <item x="325"/>
        <item x="45"/>
        <item x="101"/>
        <item x="582"/>
        <item x="215"/>
        <item x="232"/>
        <item x="643"/>
        <item x="682"/>
        <item x="547"/>
        <item x="546"/>
        <item x="243"/>
        <item x="434"/>
        <item x="238"/>
        <item x="617"/>
        <item x="497"/>
        <item x="687"/>
        <item x="94"/>
        <item x="25"/>
        <item x="648"/>
        <item x="463"/>
        <item x="288"/>
        <item x="75"/>
        <item x="299"/>
        <item x="632"/>
        <item x="659"/>
        <item x="48"/>
        <item x="462"/>
        <item x="466"/>
        <item x="354"/>
        <item x="253"/>
        <item x="174"/>
        <item x="28"/>
        <item x="419"/>
        <item x="343"/>
        <item x="133"/>
        <item x="671"/>
        <item x="304"/>
        <item x="254"/>
        <item x="171"/>
        <item x="115"/>
        <item x="366"/>
        <item x="173"/>
        <item x="586"/>
        <item x="500"/>
        <item x="118"/>
        <item x="10"/>
        <item x="18"/>
        <item x="113"/>
        <item x="400"/>
        <item x="267"/>
        <item x="151"/>
        <item x="445"/>
        <item x="432"/>
        <item x="521"/>
        <item x="681"/>
        <item x="361"/>
        <item x="611"/>
        <item x="612"/>
        <item x="5"/>
        <item x="673"/>
        <item x="623"/>
        <item x="686"/>
        <item x="104"/>
        <item x="520"/>
        <item x="8"/>
        <item x="218"/>
        <item x="461"/>
        <item x="260"/>
        <item x="405"/>
        <item x="503"/>
        <item x="589"/>
        <item x="363"/>
        <item x="483"/>
        <item x="438"/>
        <item x="511"/>
        <item x="149"/>
        <item x="324"/>
        <item x="295"/>
        <item x="157"/>
        <item x="102"/>
        <item x="208"/>
        <item x="285"/>
        <item x="71"/>
        <item x="431"/>
        <item x="450"/>
        <item x="41"/>
        <item x="258"/>
        <item x="308"/>
        <item x="502"/>
        <item x="9"/>
        <item x="595"/>
        <item x="310"/>
        <item x="237"/>
        <item x="108"/>
        <item x="516"/>
        <item x="395"/>
        <item x="454"/>
        <item x="346"/>
        <item x="537"/>
        <item x="202"/>
        <item x="616"/>
        <item x="596"/>
        <item x="676"/>
        <item x="292"/>
        <item x="32"/>
        <item x="380"/>
        <item x="428"/>
        <item x="356"/>
        <item x="553"/>
        <item x="373"/>
        <item x="360"/>
        <item x="458"/>
        <item x="408"/>
        <item x="369"/>
        <item x="374"/>
        <item x="328"/>
        <item x="73"/>
        <item x="630"/>
        <item x="658"/>
        <item x="234"/>
        <item x="181"/>
        <item x="397"/>
        <item x="336"/>
        <item x="437"/>
        <item x="264"/>
        <item x="161"/>
        <item x="204"/>
        <item x="195"/>
        <item x="455"/>
        <item x="146"/>
        <item x="44"/>
        <item x="136"/>
        <item x="412"/>
        <item x="236"/>
        <item x="255"/>
        <item x="314"/>
        <item x="220"/>
        <item x="620"/>
        <item x="282"/>
        <item x="420"/>
        <item x="634"/>
        <item x="213"/>
        <item x="228"/>
        <item x="266"/>
        <item x="84"/>
        <item x="14"/>
        <item x="129"/>
        <item x="371"/>
        <item x="583"/>
        <item x="389"/>
        <item x="30"/>
        <item x="142"/>
        <item x="523"/>
        <item x="302"/>
        <item x="522"/>
        <item x="198"/>
        <item x="534"/>
        <item x="453"/>
        <item x="273"/>
        <item x="641"/>
        <item x="561"/>
        <item x="359"/>
        <item x="647"/>
        <item x="418"/>
        <item x="252"/>
        <item x="496"/>
        <item x="103"/>
        <item x="590"/>
        <item x="284"/>
        <item x="201"/>
        <item x="137"/>
        <item x="615"/>
        <item x="248"/>
        <item x="105"/>
        <item x="597"/>
        <item x="409"/>
        <item x="422"/>
        <item x="417"/>
        <item x="684"/>
        <item x="166"/>
        <item x="109"/>
        <item x="404"/>
        <item x="169"/>
        <item x="493"/>
        <item x="289"/>
        <item x="320"/>
        <item x="385"/>
        <item x="313"/>
        <item x="112"/>
        <item x="35"/>
        <item x="262"/>
        <item x="125"/>
        <item x="622"/>
        <item x="517"/>
        <item x="222"/>
        <item x="470"/>
        <item x="621"/>
        <item x="286"/>
        <item x="651"/>
        <item x="609"/>
        <item x="95"/>
        <item x="200"/>
        <item x="416"/>
        <item x="631"/>
        <item x="311"/>
        <item x="180"/>
        <item x="279"/>
        <item x="297"/>
        <item x="206"/>
        <item x="425"/>
        <item x="464"/>
        <item x="411"/>
        <item x="351"/>
        <item x="403"/>
        <item x="588"/>
        <item x="226"/>
        <item x="138"/>
        <item x="246"/>
        <item x="489"/>
        <item x="550"/>
        <item x="484"/>
        <item x="498"/>
        <item x="357"/>
        <item x="239"/>
        <item x="640"/>
        <item x="72"/>
        <item x="55"/>
        <item x="481"/>
        <item x="300"/>
        <item x="598"/>
        <item x="398"/>
        <item x="655"/>
        <item x="402"/>
        <item x="49"/>
        <item x="3"/>
        <item x="312"/>
        <item x="656"/>
        <item x="607"/>
        <item x="533"/>
        <item x="433"/>
        <item x="338"/>
        <item x="372"/>
        <item x="98"/>
        <item x="654"/>
        <item x="456"/>
        <item x="430"/>
        <item x="542"/>
        <item x="240"/>
        <item x="131"/>
        <item x="43"/>
        <item x="367"/>
        <item x="594"/>
        <item x="388"/>
        <item x="225"/>
        <item x="536"/>
        <item x="579"/>
        <item x="147"/>
        <item x="379"/>
        <item x="96"/>
        <item x="76"/>
        <item x="34"/>
        <item x="130"/>
        <item x="116"/>
        <item x="625"/>
        <item x="339"/>
        <item x="591"/>
        <item x="691"/>
        <item x="22"/>
        <item x="674"/>
        <item x="330"/>
        <item x="535"/>
        <item x="524"/>
        <item x="350"/>
        <item x="139"/>
        <item x="421"/>
        <item x="81"/>
        <item x="447"/>
        <item x="290"/>
        <item x="186"/>
        <item x="39"/>
        <item x="457"/>
        <item x="477"/>
        <item x="443"/>
        <item x="293"/>
        <item x="394"/>
        <item x="662"/>
        <item x="83"/>
        <item x="97"/>
        <item x="487"/>
        <item x="393"/>
        <item x="199"/>
        <item x="20"/>
        <item x="294"/>
        <item x="156"/>
        <item x="334"/>
        <item x="577"/>
        <item x="627"/>
        <item x="170"/>
        <item x="460"/>
        <item x="545"/>
        <item x="488"/>
        <item x="555"/>
        <item x="528"/>
        <item x="318"/>
        <item x="184"/>
        <item x="244"/>
        <item x="669"/>
        <item x="599"/>
        <item x="382"/>
        <item x="167"/>
        <item x="77"/>
        <item x="637"/>
        <item x="471"/>
        <item x="494"/>
        <item x="474"/>
        <item x="518"/>
        <item x="532"/>
        <item x="476"/>
        <item x="508"/>
        <item x="446"/>
        <item x="663"/>
        <item x="635"/>
        <item x="442"/>
        <item x="365"/>
        <item x="666"/>
        <item x="348"/>
        <item x="150"/>
        <item x="661"/>
        <item x="660"/>
        <item x="342"/>
        <item x="296"/>
        <item x="560"/>
        <item x="347"/>
        <item x="80"/>
        <item x="17"/>
        <item x="525"/>
        <item x="401"/>
        <item x="270"/>
        <item x="53"/>
        <item x="505"/>
        <item x="633"/>
        <item x="614"/>
        <item x="410"/>
        <item x="485"/>
        <item x="491"/>
        <item x="16"/>
        <item x="679"/>
        <item x="217"/>
        <item x="26"/>
        <item x="427"/>
        <item x="148"/>
        <item x="626"/>
        <item x="390"/>
        <item x="606"/>
        <item x="123"/>
        <item x="309"/>
        <item x="247"/>
        <item x="54"/>
        <item x="473"/>
        <item x="664"/>
        <item x="368"/>
        <item x="670"/>
        <item x="135"/>
        <item x="57"/>
        <item x="196"/>
        <item x="52"/>
        <item x="74"/>
        <item x="571"/>
        <item x="4"/>
        <item x="214"/>
        <item x="31"/>
        <item x="335"/>
        <item x="352"/>
        <item x="383"/>
        <item x="298"/>
        <item x="554"/>
        <item x="127"/>
        <item x="650"/>
        <item x="183"/>
        <item x="59"/>
        <item x="652"/>
        <item x="1"/>
        <item x="322"/>
        <item x="110"/>
        <item x="587"/>
        <item x="448"/>
        <item x="141"/>
        <item x="283"/>
        <item x="301"/>
        <item x="315"/>
        <item x="257"/>
        <item x="581"/>
        <item x="413"/>
        <item x="319"/>
        <item x="46"/>
        <item x="251"/>
        <item x="193"/>
        <item x="197"/>
        <item x="480"/>
        <item x="86"/>
        <item x="274"/>
        <item x="370"/>
        <item x="79"/>
        <item x="349"/>
        <item x="668"/>
        <item x="551"/>
        <item x="69"/>
        <item x="119"/>
        <item x="203"/>
        <item x="585"/>
        <item x="680"/>
        <item x="122"/>
        <item x="224"/>
        <item x="92"/>
        <item x="557"/>
        <item x="89"/>
        <item x="326"/>
        <item x="490"/>
        <item x="435"/>
        <item x="646"/>
        <item x="556"/>
        <item x="163"/>
        <item x="153"/>
        <item x="70"/>
        <item x="192"/>
        <item x="399"/>
        <item x="182"/>
        <item x="221"/>
        <item x="407"/>
        <item x="256"/>
        <item x="531"/>
        <item x="602"/>
        <item x="333"/>
        <item x="337"/>
        <item x="227"/>
        <item x="653"/>
        <item x="154"/>
        <item x="649"/>
        <item x="179"/>
        <item x="291"/>
        <item x="569"/>
        <item x="191"/>
        <item x="187"/>
        <item x="249"/>
        <item x="327"/>
        <item x="190"/>
        <item x="317"/>
        <item x="541"/>
        <item x="362"/>
        <item x="231"/>
        <item x="539"/>
        <item x="639"/>
        <item x="429"/>
        <item x="0"/>
        <item x="7"/>
        <item x="172"/>
        <item x="387"/>
        <item x="120"/>
        <item x="467"/>
        <item x="140"/>
        <item x="340"/>
        <item x="233"/>
        <item x="67"/>
        <item x="212"/>
        <item x="2"/>
        <item x="514"/>
        <item x="23"/>
        <item x="107"/>
        <item x="65"/>
        <item x="165"/>
        <item x="134"/>
        <item x="613"/>
        <item x="375"/>
        <item x="439"/>
        <item x="562"/>
        <item x="526"/>
        <item x="538"/>
        <item x="584"/>
        <item x="323"/>
        <item x="269"/>
        <item x="377"/>
        <item x="565"/>
        <item x="329"/>
        <item x="38"/>
        <item x="6"/>
        <item x="479"/>
        <item x="85"/>
        <item x="510"/>
        <item x="580"/>
        <item x="345"/>
        <item x="111"/>
        <item x="509"/>
        <item x="58"/>
        <item x="11"/>
        <item x="619"/>
        <item x="168"/>
        <item x="645"/>
        <item x="117"/>
        <item x="162"/>
        <item x="685"/>
        <item x="145"/>
        <item x="573"/>
        <item x="230"/>
        <item x="56"/>
        <item x="42"/>
        <item x="576"/>
        <item x="124"/>
        <item x="229"/>
        <item x="211"/>
        <item x="66"/>
        <item x="391"/>
        <item x="364"/>
        <item x="63"/>
        <item x="642"/>
        <item x="259"/>
        <item x="344"/>
        <item x="188"/>
        <item x="452"/>
        <item x="436"/>
        <item x="207"/>
        <item x="144"/>
        <item x="444"/>
        <item x="638"/>
        <item x="566"/>
        <item x="263"/>
        <item x="278"/>
        <item t="default"/>
      </items>
    </pivotField>
    <pivotField showAll="0" sortType="descending">
      <items count="11">
        <item x="9"/>
        <item x="5"/>
        <item x="1"/>
        <item x="7"/>
        <item x="0"/>
        <item x="4"/>
        <item x="3"/>
        <item x="6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3"/>
        <item x="5"/>
        <item x="1"/>
        <item x="4"/>
        <item x="2"/>
        <item t="default"/>
      </items>
    </pivotField>
    <pivotField axis="axisRow" showAll="0" sortType="a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showAll="0"/>
    <pivotField showAll="0"/>
    <pivotField dataField="1"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name="Somme de CA_Net" fld="10" baseField="2" baseItem="1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AAFC9-245D-4110-9DCA-C6C5C200ED09}" name="Tableau croisé dynamique10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8" rowHeaderCaption="REGION" colHeaderCaption="ANNEE">
  <location ref="A43:B50" firstHeaderRow="1" firstDataRow="1" firstDataCol="1"/>
  <pivotFields count="21">
    <pivotField showAll="0"/>
    <pivotField numFmtId="14" showAll="0">
      <items count="693">
        <item x="62"/>
        <item x="603"/>
        <item x="88"/>
        <item x="414"/>
        <item x="657"/>
        <item x="629"/>
        <item x="688"/>
        <item x="19"/>
        <item x="592"/>
        <item x="578"/>
        <item x="271"/>
        <item x="261"/>
        <item x="321"/>
        <item x="549"/>
        <item x="574"/>
        <item x="604"/>
        <item x="567"/>
        <item x="552"/>
        <item x="61"/>
        <item x="515"/>
        <item x="449"/>
        <item x="178"/>
        <item x="512"/>
        <item x="235"/>
        <item x="64"/>
        <item x="529"/>
        <item x="280"/>
        <item x="90"/>
        <item x="276"/>
        <item x="381"/>
        <item x="506"/>
        <item x="78"/>
        <item x="93"/>
        <item x="13"/>
        <item x="210"/>
        <item x="530"/>
        <item x="209"/>
        <item x="177"/>
        <item x="376"/>
        <item x="564"/>
        <item x="158"/>
        <item x="472"/>
        <item x="265"/>
        <item x="160"/>
        <item x="572"/>
        <item x="593"/>
        <item x="624"/>
        <item x="33"/>
        <item x="544"/>
        <item x="245"/>
        <item x="21"/>
        <item x="132"/>
        <item x="100"/>
        <item x="618"/>
        <item x="672"/>
        <item x="164"/>
        <item x="216"/>
        <item x="99"/>
        <item x="27"/>
        <item x="478"/>
        <item x="689"/>
        <item x="406"/>
        <item x="570"/>
        <item x="501"/>
        <item x="507"/>
        <item x="40"/>
        <item x="415"/>
        <item x="392"/>
        <item x="29"/>
        <item x="223"/>
        <item x="683"/>
        <item x="341"/>
        <item x="469"/>
        <item x="386"/>
        <item x="15"/>
        <item x="423"/>
        <item x="121"/>
        <item x="143"/>
        <item x="519"/>
        <item x="559"/>
        <item x="47"/>
        <item x="575"/>
        <item x="268"/>
        <item x="277"/>
        <item x="690"/>
        <item x="482"/>
        <item x="495"/>
        <item x="527"/>
        <item x="600"/>
        <item x="128"/>
        <item x="36"/>
        <item x="384"/>
        <item x="558"/>
        <item x="492"/>
        <item x="396"/>
        <item x="106"/>
        <item x="281"/>
        <item x="241"/>
        <item x="332"/>
        <item x="307"/>
        <item x="272"/>
        <item x="50"/>
        <item x="126"/>
        <item x="189"/>
        <item x="440"/>
        <item x="568"/>
        <item x="543"/>
        <item x="636"/>
        <item x="91"/>
        <item x="12"/>
        <item x="114"/>
        <item x="358"/>
        <item x="303"/>
        <item x="287"/>
        <item x="185"/>
        <item x="475"/>
        <item x="605"/>
        <item x="608"/>
        <item x="644"/>
        <item x="60"/>
        <item x="548"/>
        <item x="513"/>
        <item x="316"/>
        <item x="675"/>
        <item x="175"/>
        <item x="306"/>
        <item x="424"/>
        <item x="51"/>
        <item x="305"/>
        <item x="677"/>
        <item x="441"/>
        <item x="459"/>
        <item x="353"/>
        <item x="152"/>
        <item x="601"/>
        <item x="176"/>
        <item x="82"/>
        <item x="465"/>
        <item x="155"/>
        <item x="426"/>
        <item x="250"/>
        <item x="563"/>
        <item x="665"/>
        <item x="610"/>
        <item x="667"/>
        <item x="499"/>
        <item x="468"/>
        <item x="68"/>
        <item x="159"/>
        <item x="486"/>
        <item x="378"/>
        <item x="205"/>
        <item x="275"/>
        <item x="194"/>
        <item x="87"/>
        <item x="628"/>
        <item x="37"/>
        <item x="24"/>
        <item x="504"/>
        <item x="451"/>
        <item x="331"/>
        <item x="540"/>
        <item x="355"/>
        <item x="678"/>
        <item x="219"/>
        <item x="242"/>
        <item x="325"/>
        <item x="45"/>
        <item x="101"/>
        <item x="582"/>
        <item x="215"/>
        <item x="232"/>
        <item x="643"/>
        <item x="682"/>
        <item x="547"/>
        <item x="546"/>
        <item x="243"/>
        <item x="434"/>
        <item x="238"/>
        <item x="617"/>
        <item x="497"/>
        <item x="687"/>
        <item x="94"/>
        <item x="25"/>
        <item x="648"/>
        <item x="463"/>
        <item x="288"/>
        <item x="75"/>
        <item x="299"/>
        <item x="632"/>
        <item x="659"/>
        <item x="48"/>
        <item x="462"/>
        <item x="466"/>
        <item x="354"/>
        <item x="253"/>
        <item x="174"/>
        <item x="28"/>
        <item x="419"/>
        <item x="343"/>
        <item x="133"/>
        <item x="671"/>
        <item x="304"/>
        <item x="254"/>
        <item x="171"/>
        <item x="115"/>
        <item x="366"/>
        <item x="173"/>
        <item x="586"/>
        <item x="500"/>
        <item x="118"/>
        <item x="10"/>
        <item x="18"/>
        <item x="113"/>
        <item x="400"/>
        <item x="267"/>
        <item x="151"/>
        <item x="445"/>
        <item x="432"/>
        <item x="521"/>
        <item x="681"/>
        <item x="361"/>
        <item x="611"/>
        <item x="612"/>
        <item x="5"/>
        <item x="673"/>
        <item x="623"/>
        <item x="686"/>
        <item x="104"/>
        <item x="520"/>
        <item x="8"/>
        <item x="218"/>
        <item x="461"/>
        <item x="260"/>
        <item x="405"/>
        <item x="503"/>
        <item x="589"/>
        <item x="363"/>
        <item x="483"/>
        <item x="438"/>
        <item x="511"/>
        <item x="149"/>
        <item x="324"/>
        <item x="295"/>
        <item x="157"/>
        <item x="102"/>
        <item x="208"/>
        <item x="285"/>
        <item x="71"/>
        <item x="431"/>
        <item x="450"/>
        <item x="41"/>
        <item x="258"/>
        <item x="308"/>
        <item x="502"/>
        <item x="9"/>
        <item x="595"/>
        <item x="310"/>
        <item x="237"/>
        <item x="108"/>
        <item x="516"/>
        <item x="395"/>
        <item x="454"/>
        <item x="346"/>
        <item x="537"/>
        <item x="202"/>
        <item x="616"/>
        <item x="596"/>
        <item x="676"/>
        <item x="292"/>
        <item x="32"/>
        <item x="380"/>
        <item x="428"/>
        <item x="356"/>
        <item x="553"/>
        <item x="373"/>
        <item x="360"/>
        <item x="458"/>
        <item x="408"/>
        <item x="369"/>
        <item x="374"/>
        <item x="328"/>
        <item x="73"/>
        <item x="630"/>
        <item x="658"/>
        <item x="234"/>
        <item x="181"/>
        <item x="397"/>
        <item x="336"/>
        <item x="437"/>
        <item x="264"/>
        <item x="161"/>
        <item x="204"/>
        <item x="195"/>
        <item x="455"/>
        <item x="146"/>
        <item x="44"/>
        <item x="136"/>
        <item x="412"/>
        <item x="236"/>
        <item x="255"/>
        <item x="314"/>
        <item x="220"/>
        <item x="620"/>
        <item x="282"/>
        <item x="420"/>
        <item x="634"/>
        <item x="213"/>
        <item x="228"/>
        <item x="266"/>
        <item x="84"/>
        <item x="14"/>
        <item x="129"/>
        <item x="371"/>
        <item x="583"/>
        <item x="389"/>
        <item x="30"/>
        <item x="142"/>
        <item x="523"/>
        <item x="302"/>
        <item x="522"/>
        <item x="198"/>
        <item x="534"/>
        <item x="453"/>
        <item x="273"/>
        <item x="641"/>
        <item x="561"/>
        <item x="359"/>
        <item x="647"/>
        <item x="418"/>
        <item x="252"/>
        <item x="496"/>
        <item x="103"/>
        <item x="590"/>
        <item x="284"/>
        <item x="201"/>
        <item x="137"/>
        <item x="615"/>
        <item x="248"/>
        <item x="105"/>
        <item x="597"/>
        <item x="409"/>
        <item x="422"/>
        <item x="417"/>
        <item x="684"/>
        <item x="166"/>
        <item x="109"/>
        <item x="404"/>
        <item x="169"/>
        <item x="493"/>
        <item x="289"/>
        <item x="320"/>
        <item x="385"/>
        <item x="313"/>
        <item x="112"/>
        <item x="35"/>
        <item x="262"/>
        <item x="125"/>
        <item x="622"/>
        <item x="517"/>
        <item x="222"/>
        <item x="470"/>
        <item x="621"/>
        <item x="286"/>
        <item x="651"/>
        <item x="609"/>
        <item x="95"/>
        <item x="200"/>
        <item x="416"/>
        <item x="631"/>
        <item x="311"/>
        <item x="180"/>
        <item x="279"/>
        <item x="297"/>
        <item x="206"/>
        <item x="425"/>
        <item x="464"/>
        <item x="411"/>
        <item x="351"/>
        <item x="403"/>
        <item x="588"/>
        <item x="226"/>
        <item x="138"/>
        <item x="246"/>
        <item x="489"/>
        <item x="550"/>
        <item x="484"/>
        <item x="498"/>
        <item x="357"/>
        <item x="239"/>
        <item x="640"/>
        <item x="72"/>
        <item x="55"/>
        <item x="481"/>
        <item x="300"/>
        <item x="598"/>
        <item x="398"/>
        <item x="655"/>
        <item x="402"/>
        <item x="49"/>
        <item x="3"/>
        <item x="312"/>
        <item x="656"/>
        <item x="607"/>
        <item x="533"/>
        <item x="433"/>
        <item x="338"/>
        <item x="372"/>
        <item x="98"/>
        <item x="654"/>
        <item x="456"/>
        <item x="430"/>
        <item x="542"/>
        <item x="240"/>
        <item x="131"/>
        <item x="43"/>
        <item x="367"/>
        <item x="594"/>
        <item x="388"/>
        <item x="225"/>
        <item x="536"/>
        <item x="579"/>
        <item x="147"/>
        <item x="379"/>
        <item x="96"/>
        <item x="76"/>
        <item x="34"/>
        <item x="130"/>
        <item x="116"/>
        <item x="625"/>
        <item x="339"/>
        <item x="591"/>
        <item x="691"/>
        <item x="22"/>
        <item x="674"/>
        <item x="330"/>
        <item x="535"/>
        <item x="524"/>
        <item x="350"/>
        <item x="139"/>
        <item x="421"/>
        <item x="81"/>
        <item x="447"/>
        <item x="290"/>
        <item x="186"/>
        <item x="39"/>
        <item x="457"/>
        <item x="477"/>
        <item x="443"/>
        <item x="293"/>
        <item x="394"/>
        <item x="662"/>
        <item x="83"/>
        <item x="97"/>
        <item x="487"/>
        <item x="393"/>
        <item x="199"/>
        <item x="20"/>
        <item x="294"/>
        <item x="156"/>
        <item x="334"/>
        <item x="577"/>
        <item x="627"/>
        <item x="170"/>
        <item x="460"/>
        <item x="545"/>
        <item x="488"/>
        <item x="555"/>
        <item x="528"/>
        <item x="318"/>
        <item x="184"/>
        <item x="244"/>
        <item x="669"/>
        <item x="599"/>
        <item x="382"/>
        <item x="167"/>
        <item x="77"/>
        <item x="637"/>
        <item x="471"/>
        <item x="494"/>
        <item x="474"/>
        <item x="518"/>
        <item x="532"/>
        <item x="476"/>
        <item x="508"/>
        <item x="446"/>
        <item x="663"/>
        <item x="635"/>
        <item x="442"/>
        <item x="365"/>
        <item x="666"/>
        <item x="348"/>
        <item x="150"/>
        <item x="661"/>
        <item x="660"/>
        <item x="342"/>
        <item x="296"/>
        <item x="560"/>
        <item x="347"/>
        <item x="80"/>
        <item x="17"/>
        <item x="525"/>
        <item x="401"/>
        <item x="270"/>
        <item x="53"/>
        <item x="505"/>
        <item x="633"/>
        <item x="614"/>
        <item x="410"/>
        <item x="485"/>
        <item x="491"/>
        <item x="16"/>
        <item x="679"/>
        <item x="217"/>
        <item x="26"/>
        <item x="427"/>
        <item x="148"/>
        <item x="626"/>
        <item x="390"/>
        <item x="606"/>
        <item x="123"/>
        <item x="309"/>
        <item x="247"/>
        <item x="54"/>
        <item x="473"/>
        <item x="664"/>
        <item x="368"/>
        <item x="670"/>
        <item x="135"/>
        <item x="57"/>
        <item x="196"/>
        <item x="52"/>
        <item x="74"/>
        <item x="571"/>
        <item x="4"/>
        <item x="214"/>
        <item x="31"/>
        <item x="335"/>
        <item x="352"/>
        <item x="383"/>
        <item x="298"/>
        <item x="554"/>
        <item x="127"/>
        <item x="650"/>
        <item x="183"/>
        <item x="59"/>
        <item x="652"/>
        <item x="1"/>
        <item x="322"/>
        <item x="110"/>
        <item x="587"/>
        <item x="448"/>
        <item x="141"/>
        <item x="283"/>
        <item x="301"/>
        <item x="315"/>
        <item x="257"/>
        <item x="581"/>
        <item x="413"/>
        <item x="319"/>
        <item x="46"/>
        <item x="251"/>
        <item x="193"/>
        <item x="197"/>
        <item x="480"/>
        <item x="86"/>
        <item x="274"/>
        <item x="370"/>
        <item x="79"/>
        <item x="349"/>
        <item x="668"/>
        <item x="551"/>
        <item x="69"/>
        <item x="119"/>
        <item x="203"/>
        <item x="585"/>
        <item x="680"/>
        <item x="122"/>
        <item x="224"/>
        <item x="92"/>
        <item x="557"/>
        <item x="89"/>
        <item x="326"/>
        <item x="490"/>
        <item x="435"/>
        <item x="646"/>
        <item x="556"/>
        <item x="163"/>
        <item x="153"/>
        <item x="70"/>
        <item x="192"/>
        <item x="399"/>
        <item x="182"/>
        <item x="221"/>
        <item x="407"/>
        <item x="256"/>
        <item x="531"/>
        <item x="602"/>
        <item x="333"/>
        <item x="337"/>
        <item x="227"/>
        <item x="653"/>
        <item x="154"/>
        <item x="649"/>
        <item x="179"/>
        <item x="291"/>
        <item x="569"/>
        <item x="191"/>
        <item x="187"/>
        <item x="249"/>
        <item x="327"/>
        <item x="190"/>
        <item x="317"/>
        <item x="541"/>
        <item x="362"/>
        <item x="231"/>
        <item x="539"/>
        <item x="639"/>
        <item x="429"/>
        <item x="0"/>
        <item x="7"/>
        <item x="172"/>
        <item x="387"/>
        <item x="120"/>
        <item x="467"/>
        <item x="140"/>
        <item x="340"/>
        <item x="233"/>
        <item x="67"/>
        <item x="212"/>
        <item x="2"/>
        <item x="514"/>
        <item x="23"/>
        <item x="107"/>
        <item x="65"/>
        <item x="165"/>
        <item x="134"/>
        <item x="613"/>
        <item x="375"/>
        <item x="439"/>
        <item x="562"/>
        <item x="526"/>
        <item x="538"/>
        <item x="584"/>
        <item x="323"/>
        <item x="269"/>
        <item x="377"/>
        <item x="565"/>
        <item x="329"/>
        <item x="38"/>
        <item x="6"/>
        <item x="479"/>
        <item x="85"/>
        <item x="510"/>
        <item x="580"/>
        <item x="345"/>
        <item x="111"/>
        <item x="509"/>
        <item x="58"/>
        <item x="11"/>
        <item x="619"/>
        <item x="168"/>
        <item x="645"/>
        <item x="117"/>
        <item x="162"/>
        <item x="685"/>
        <item x="145"/>
        <item x="573"/>
        <item x="230"/>
        <item x="56"/>
        <item x="42"/>
        <item x="576"/>
        <item x="124"/>
        <item x="229"/>
        <item x="211"/>
        <item x="66"/>
        <item x="391"/>
        <item x="364"/>
        <item x="63"/>
        <item x="642"/>
        <item x="259"/>
        <item x="344"/>
        <item x="188"/>
        <item x="452"/>
        <item x="436"/>
        <item x="207"/>
        <item x="144"/>
        <item x="444"/>
        <item x="638"/>
        <item x="566"/>
        <item x="263"/>
        <item x="278"/>
        <item t="default"/>
      </items>
    </pivotField>
    <pivotField showAll="0"/>
    <pivotField axis="axisRow" showAll="0" sortType="descending">
      <items count="7">
        <item x="0"/>
        <item x="3"/>
        <item x="5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numFmtId="1" showAll="0"/>
    <pivotField showAll="0"/>
    <pivotField showAll="0"/>
    <pivotField dataField="1"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7">
    <i>
      <x/>
    </i>
    <i>
      <x v="1"/>
    </i>
    <i>
      <x v="3"/>
    </i>
    <i>
      <x v="4"/>
    </i>
    <i>
      <x v="5"/>
    </i>
    <i>
      <x v="2"/>
    </i>
    <i t="grand">
      <x/>
    </i>
  </rowItems>
  <colItems count="1">
    <i/>
  </colItems>
  <dataFields count="1">
    <dataField name="Somme de CA_Net" fld="10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83E66-42C4-41B1-A3D2-5173A18CC124}" name="Tableau croisé dynamique14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10" rowHeaderCaption="REGION">
  <location ref="E19:G26" firstHeaderRow="0" firstDataRow="1" firstDataCol="1"/>
  <pivotFields count="21">
    <pivotField dataField="1" showAll="0"/>
    <pivotField numFmtId="14" showAll="0">
      <items count="693">
        <item x="62"/>
        <item x="603"/>
        <item x="88"/>
        <item x="414"/>
        <item x="657"/>
        <item x="629"/>
        <item x="688"/>
        <item x="19"/>
        <item x="592"/>
        <item x="578"/>
        <item x="271"/>
        <item x="261"/>
        <item x="321"/>
        <item x="549"/>
        <item x="574"/>
        <item x="604"/>
        <item x="567"/>
        <item x="552"/>
        <item x="61"/>
        <item x="515"/>
        <item x="449"/>
        <item x="178"/>
        <item x="512"/>
        <item x="235"/>
        <item x="64"/>
        <item x="529"/>
        <item x="280"/>
        <item x="90"/>
        <item x="276"/>
        <item x="381"/>
        <item x="506"/>
        <item x="78"/>
        <item x="93"/>
        <item x="13"/>
        <item x="210"/>
        <item x="530"/>
        <item x="209"/>
        <item x="177"/>
        <item x="376"/>
        <item x="564"/>
        <item x="158"/>
        <item x="472"/>
        <item x="265"/>
        <item x="160"/>
        <item x="572"/>
        <item x="593"/>
        <item x="624"/>
        <item x="33"/>
        <item x="544"/>
        <item x="245"/>
        <item x="21"/>
        <item x="132"/>
        <item x="100"/>
        <item x="618"/>
        <item x="672"/>
        <item x="164"/>
        <item x="216"/>
        <item x="99"/>
        <item x="27"/>
        <item x="478"/>
        <item x="689"/>
        <item x="406"/>
        <item x="570"/>
        <item x="501"/>
        <item x="507"/>
        <item x="40"/>
        <item x="415"/>
        <item x="392"/>
        <item x="29"/>
        <item x="223"/>
        <item x="683"/>
        <item x="341"/>
        <item x="469"/>
        <item x="386"/>
        <item x="15"/>
        <item x="423"/>
        <item x="121"/>
        <item x="143"/>
        <item x="519"/>
        <item x="559"/>
        <item x="47"/>
        <item x="575"/>
        <item x="268"/>
        <item x="277"/>
        <item x="690"/>
        <item x="482"/>
        <item x="495"/>
        <item x="527"/>
        <item x="600"/>
        <item x="128"/>
        <item x="36"/>
        <item x="384"/>
        <item x="558"/>
        <item x="492"/>
        <item x="396"/>
        <item x="106"/>
        <item x="281"/>
        <item x="241"/>
        <item x="332"/>
        <item x="307"/>
        <item x="272"/>
        <item x="50"/>
        <item x="126"/>
        <item x="189"/>
        <item x="440"/>
        <item x="568"/>
        <item x="543"/>
        <item x="636"/>
        <item x="91"/>
        <item x="12"/>
        <item x="114"/>
        <item x="358"/>
        <item x="303"/>
        <item x="287"/>
        <item x="185"/>
        <item x="475"/>
        <item x="605"/>
        <item x="608"/>
        <item x="644"/>
        <item x="60"/>
        <item x="548"/>
        <item x="513"/>
        <item x="316"/>
        <item x="675"/>
        <item x="175"/>
        <item x="306"/>
        <item x="424"/>
        <item x="51"/>
        <item x="305"/>
        <item x="677"/>
        <item x="441"/>
        <item x="459"/>
        <item x="353"/>
        <item x="152"/>
        <item x="601"/>
        <item x="176"/>
        <item x="82"/>
        <item x="465"/>
        <item x="155"/>
        <item x="426"/>
        <item x="250"/>
        <item x="563"/>
        <item x="665"/>
        <item x="610"/>
        <item x="667"/>
        <item x="499"/>
        <item x="468"/>
        <item x="68"/>
        <item x="159"/>
        <item x="486"/>
        <item x="378"/>
        <item x="205"/>
        <item x="275"/>
        <item x="194"/>
        <item x="87"/>
        <item x="628"/>
        <item x="37"/>
        <item x="24"/>
        <item x="504"/>
        <item x="451"/>
        <item x="331"/>
        <item x="540"/>
        <item x="355"/>
        <item x="678"/>
        <item x="219"/>
        <item x="242"/>
        <item x="325"/>
        <item x="45"/>
        <item x="101"/>
        <item x="582"/>
        <item x="215"/>
        <item x="232"/>
        <item x="643"/>
        <item x="682"/>
        <item x="547"/>
        <item x="546"/>
        <item x="243"/>
        <item x="434"/>
        <item x="238"/>
        <item x="617"/>
        <item x="497"/>
        <item x="687"/>
        <item x="94"/>
        <item x="25"/>
        <item x="648"/>
        <item x="463"/>
        <item x="288"/>
        <item x="75"/>
        <item x="299"/>
        <item x="632"/>
        <item x="659"/>
        <item x="48"/>
        <item x="462"/>
        <item x="466"/>
        <item x="354"/>
        <item x="253"/>
        <item x="174"/>
        <item x="28"/>
        <item x="419"/>
        <item x="343"/>
        <item x="133"/>
        <item x="671"/>
        <item x="304"/>
        <item x="254"/>
        <item x="171"/>
        <item x="115"/>
        <item x="366"/>
        <item x="173"/>
        <item x="586"/>
        <item x="500"/>
        <item x="118"/>
        <item x="10"/>
        <item x="18"/>
        <item x="113"/>
        <item x="400"/>
        <item x="267"/>
        <item x="151"/>
        <item x="445"/>
        <item x="432"/>
        <item x="521"/>
        <item x="681"/>
        <item x="361"/>
        <item x="611"/>
        <item x="612"/>
        <item x="5"/>
        <item x="673"/>
        <item x="623"/>
        <item x="686"/>
        <item x="104"/>
        <item x="520"/>
        <item x="8"/>
        <item x="218"/>
        <item x="461"/>
        <item x="260"/>
        <item x="405"/>
        <item x="503"/>
        <item x="589"/>
        <item x="363"/>
        <item x="483"/>
        <item x="438"/>
        <item x="511"/>
        <item x="149"/>
        <item x="324"/>
        <item x="295"/>
        <item x="157"/>
        <item x="102"/>
        <item x="208"/>
        <item x="285"/>
        <item x="71"/>
        <item x="431"/>
        <item x="450"/>
        <item x="41"/>
        <item x="258"/>
        <item x="308"/>
        <item x="502"/>
        <item x="9"/>
        <item x="595"/>
        <item x="310"/>
        <item x="237"/>
        <item x="108"/>
        <item x="516"/>
        <item x="395"/>
        <item x="454"/>
        <item x="346"/>
        <item x="537"/>
        <item x="202"/>
        <item x="616"/>
        <item x="596"/>
        <item x="676"/>
        <item x="292"/>
        <item x="32"/>
        <item x="380"/>
        <item x="428"/>
        <item x="356"/>
        <item x="553"/>
        <item x="373"/>
        <item x="360"/>
        <item x="458"/>
        <item x="408"/>
        <item x="369"/>
        <item x="374"/>
        <item x="328"/>
        <item x="73"/>
        <item x="630"/>
        <item x="658"/>
        <item x="234"/>
        <item x="181"/>
        <item x="397"/>
        <item x="336"/>
        <item x="437"/>
        <item x="264"/>
        <item x="161"/>
        <item x="204"/>
        <item x="195"/>
        <item x="455"/>
        <item x="146"/>
        <item x="44"/>
        <item x="136"/>
        <item x="412"/>
        <item x="236"/>
        <item x="255"/>
        <item x="314"/>
        <item x="220"/>
        <item x="620"/>
        <item x="282"/>
        <item x="420"/>
        <item x="634"/>
        <item x="213"/>
        <item x="228"/>
        <item x="266"/>
        <item x="84"/>
        <item x="14"/>
        <item x="129"/>
        <item x="371"/>
        <item x="583"/>
        <item x="389"/>
        <item x="30"/>
        <item x="142"/>
        <item x="523"/>
        <item x="302"/>
        <item x="522"/>
        <item x="198"/>
        <item x="534"/>
        <item x="453"/>
        <item x="273"/>
        <item x="641"/>
        <item x="561"/>
        <item x="359"/>
        <item x="647"/>
        <item x="418"/>
        <item x="252"/>
        <item x="496"/>
        <item x="103"/>
        <item x="590"/>
        <item x="284"/>
        <item x="201"/>
        <item x="137"/>
        <item x="615"/>
        <item x="248"/>
        <item x="105"/>
        <item x="597"/>
        <item x="409"/>
        <item x="422"/>
        <item x="417"/>
        <item x="684"/>
        <item x="166"/>
        <item x="109"/>
        <item x="404"/>
        <item x="169"/>
        <item x="493"/>
        <item x="289"/>
        <item x="320"/>
        <item x="385"/>
        <item x="313"/>
        <item x="112"/>
        <item x="35"/>
        <item x="262"/>
        <item x="125"/>
        <item x="622"/>
        <item x="517"/>
        <item x="222"/>
        <item x="470"/>
        <item x="621"/>
        <item x="286"/>
        <item x="651"/>
        <item x="609"/>
        <item x="95"/>
        <item x="200"/>
        <item x="416"/>
        <item x="631"/>
        <item x="311"/>
        <item x="180"/>
        <item x="279"/>
        <item x="297"/>
        <item x="206"/>
        <item x="425"/>
        <item x="464"/>
        <item x="411"/>
        <item x="351"/>
        <item x="403"/>
        <item x="588"/>
        <item x="226"/>
        <item x="138"/>
        <item x="246"/>
        <item x="489"/>
        <item x="550"/>
        <item x="484"/>
        <item x="498"/>
        <item x="357"/>
        <item x="239"/>
        <item x="640"/>
        <item x="72"/>
        <item x="55"/>
        <item x="481"/>
        <item x="300"/>
        <item x="598"/>
        <item x="398"/>
        <item x="655"/>
        <item x="402"/>
        <item x="49"/>
        <item x="3"/>
        <item x="312"/>
        <item x="656"/>
        <item x="607"/>
        <item x="533"/>
        <item x="433"/>
        <item x="338"/>
        <item x="372"/>
        <item x="98"/>
        <item x="654"/>
        <item x="456"/>
        <item x="430"/>
        <item x="542"/>
        <item x="240"/>
        <item x="131"/>
        <item x="43"/>
        <item x="367"/>
        <item x="594"/>
        <item x="388"/>
        <item x="225"/>
        <item x="536"/>
        <item x="579"/>
        <item x="147"/>
        <item x="379"/>
        <item x="96"/>
        <item x="76"/>
        <item x="34"/>
        <item x="130"/>
        <item x="116"/>
        <item x="625"/>
        <item x="339"/>
        <item x="591"/>
        <item x="691"/>
        <item x="22"/>
        <item x="674"/>
        <item x="330"/>
        <item x="535"/>
        <item x="524"/>
        <item x="350"/>
        <item x="139"/>
        <item x="421"/>
        <item x="81"/>
        <item x="447"/>
        <item x="290"/>
        <item x="186"/>
        <item x="39"/>
        <item x="457"/>
        <item x="477"/>
        <item x="443"/>
        <item x="293"/>
        <item x="394"/>
        <item x="662"/>
        <item x="83"/>
        <item x="97"/>
        <item x="487"/>
        <item x="393"/>
        <item x="199"/>
        <item x="20"/>
        <item x="294"/>
        <item x="156"/>
        <item x="334"/>
        <item x="577"/>
        <item x="627"/>
        <item x="170"/>
        <item x="460"/>
        <item x="545"/>
        <item x="488"/>
        <item x="555"/>
        <item x="528"/>
        <item x="318"/>
        <item x="184"/>
        <item x="244"/>
        <item x="669"/>
        <item x="599"/>
        <item x="382"/>
        <item x="167"/>
        <item x="77"/>
        <item x="637"/>
        <item x="471"/>
        <item x="494"/>
        <item x="474"/>
        <item x="518"/>
        <item x="532"/>
        <item x="476"/>
        <item x="508"/>
        <item x="446"/>
        <item x="663"/>
        <item x="635"/>
        <item x="442"/>
        <item x="365"/>
        <item x="666"/>
        <item x="348"/>
        <item x="150"/>
        <item x="661"/>
        <item x="660"/>
        <item x="342"/>
        <item x="296"/>
        <item x="560"/>
        <item x="347"/>
        <item x="80"/>
        <item x="17"/>
        <item x="525"/>
        <item x="401"/>
        <item x="270"/>
        <item x="53"/>
        <item x="505"/>
        <item x="633"/>
        <item x="614"/>
        <item x="410"/>
        <item x="485"/>
        <item x="491"/>
        <item x="16"/>
        <item x="679"/>
        <item x="217"/>
        <item x="26"/>
        <item x="427"/>
        <item x="148"/>
        <item x="626"/>
        <item x="390"/>
        <item x="606"/>
        <item x="123"/>
        <item x="309"/>
        <item x="247"/>
        <item x="54"/>
        <item x="473"/>
        <item x="664"/>
        <item x="368"/>
        <item x="670"/>
        <item x="135"/>
        <item x="57"/>
        <item x="196"/>
        <item x="52"/>
        <item x="74"/>
        <item x="571"/>
        <item x="4"/>
        <item x="214"/>
        <item x="31"/>
        <item x="335"/>
        <item x="352"/>
        <item x="383"/>
        <item x="298"/>
        <item x="554"/>
        <item x="127"/>
        <item x="650"/>
        <item x="183"/>
        <item x="59"/>
        <item x="652"/>
        <item x="1"/>
        <item x="322"/>
        <item x="110"/>
        <item x="587"/>
        <item x="448"/>
        <item x="141"/>
        <item x="283"/>
        <item x="301"/>
        <item x="315"/>
        <item x="257"/>
        <item x="581"/>
        <item x="413"/>
        <item x="319"/>
        <item x="46"/>
        <item x="251"/>
        <item x="193"/>
        <item x="197"/>
        <item x="480"/>
        <item x="86"/>
        <item x="274"/>
        <item x="370"/>
        <item x="79"/>
        <item x="349"/>
        <item x="668"/>
        <item x="551"/>
        <item x="69"/>
        <item x="119"/>
        <item x="203"/>
        <item x="585"/>
        <item x="680"/>
        <item x="122"/>
        <item x="224"/>
        <item x="92"/>
        <item x="557"/>
        <item x="89"/>
        <item x="326"/>
        <item x="490"/>
        <item x="435"/>
        <item x="646"/>
        <item x="556"/>
        <item x="163"/>
        <item x="153"/>
        <item x="70"/>
        <item x="192"/>
        <item x="399"/>
        <item x="182"/>
        <item x="221"/>
        <item x="407"/>
        <item x="256"/>
        <item x="531"/>
        <item x="602"/>
        <item x="333"/>
        <item x="337"/>
        <item x="227"/>
        <item x="653"/>
        <item x="154"/>
        <item x="649"/>
        <item x="179"/>
        <item x="291"/>
        <item x="569"/>
        <item x="191"/>
        <item x="187"/>
        <item x="249"/>
        <item x="327"/>
        <item x="190"/>
        <item x="317"/>
        <item x="541"/>
        <item x="362"/>
        <item x="231"/>
        <item x="539"/>
        <item x="639"/>
        <item x="429"/>
        <item x="0"/>
        <item x="7"/>
        <item x="172"/>
        <item x="387"/>
        <item x="120"/>
        <item x="467"/>
        <item x="140"/>
        <item x="340"/>
        <item x="233"/>
        <item x="67"/>
        <item x="212"/>
        <item x="2"/>
        <item x="514"/>
        <item x="23"/>
        <item x="107"/>
        <item x="65"/>
        <item x="165"/>
        <item x="134"/>
        <item x="613"/>
        <item x="375"/>
        <item x="439"/>
        <item x="562"/>
        <item x="526"/>
        <item x="538"/>
        <item x="584"/>
        <item x="323"/>
        <item x="269"/>
        <item x="377"/>
        <item x="565"/>
        <item x="329"/>
        <item x="38"/>
        <item x="6"/>
        <item x="479"/>
        <item x="85"/>
        <item x="510"/>
        <item x="580"/>
        <item x="345"/>
        <item x="111"/>
        <item x="509"/>
        <item x="58"/>
        <item x="11"/>
        <item x="619"/>
        <item x="168"/>
        <item x="645"/>
        <item x="117"/>
        <item x="162"/>
        <item x="685"/>
        <item x="145"/>
        <item x="573"/>
        <item x="230"/>
        <item x="56"/>
        <item x="42"/>
        <item x="576"/>
        <item x="124"/>
        <item x="229"/>
        <item x="211"/>
        <item x="66"/>
        <item x="391"/>
        <item x="364"/>
        <item x="63"/>
        <item x="642"/>
        <item x="259"/>
        <item x="344"/>
        <item x="188"/>
        <item x="452"/>
        <item x="436"/>
        <item x="207"/>
        <item x="144"/>
        <item x="444"/>
        <item x="638"/>
        <item x="566"/>
        <item x="263"/>
        <item x="278"/>
        <item t="default"/>
      </items>
    </pivotField>
    <pivotField showAll="0" sortType="descending">
      <items count="11">
        <item x="9"/>
        <item x="5"/>
        <item x="1"/>
        <item x="7"/>
        <item x="0"/>
        <item x="4"/>
        <item x="3"/>
        <item x="6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7">
        <item x="0"/>
        <item x="3"/>
        <item x="5"/>
        <item x="1"/>
        <item x="4"/>
        <item x="2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numFmtId="1" showAll="0"/>
    <pivotField showAll="0"/>
    <pivotField showAll="0"/>
    <pivotField dataField="1"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CA_Net" fld="10" baseField="2" baseItem="1"/>
    <dataField name="Nombre de ID_Commande" fld="0" subtotal="count" baseField="3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C5DC5-AEA7-4A94-B471-58455AB398EE}" name="Tableau croisé dynamique9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5" rowHeaderCaption="ANNEE" colHeaderCaption="ANNEE">
  <location ref="S24:S25" firstHeaderRow="1" firstDataRow="1" firstDataCol="0"/>
  <pivotFields count="21">
    <pivotField dataField="1" showAll="0"/>
    <pivotField numFmtId="14" showAll="0">
      <items count="693">
        <item x="62"/>
        <item x="603"/>
        <item x="88"/>
        <item x="414"/>
        <item x="657"/>
        <item x="629"/>
        <item x="688"/>
        <item x="19"/>
        <item x="592"/>
        <item x="578"/>
        <item x="271"/>
        <item x="261"/>
        <item x="321"/>
        <item x="549"/>
        <item x="574"/>
        <item x="604"/>
        <item x="567"/>
        <item x="552"/>
        <item x="61"/>
        <item x="515"/>
        <item x="449"/>
        <item x="178"/>
        <item x="512"/>
        <item x="235"/>
        <item x="64"/>
        <item x="529"/>
        <item x="280"/>
        <item x="90"/>
        <item x="276"/>
        <item x="381"/>
        <item x="506"/>
        <item x="78"/>
        <item x="93"/>
        <item x="13"/>
        <item x="210"/>
        <item x="530"/>
        <item x="209"/>
        <item x="177"/>
        <item x="376"/>
        <item x="564"/>
        <item x="158"/>
        <item x="472"/>
        <item x="265"/>
        <item x="160"/>
        <item x="572"/>
        <item x="593"/>
        <item x="624"/>
        <item x="33"/>
        <item x="544"/>
        <item x="245"/>
        <item x="21"/>
        <item x="132"/>
        <item x="100"/>
        <item x="618"/>
        <item x="672"/>
        <item x="164"/>
        <item x="216"/>
        <item x="99"/>
        <item x="27"/>
        <item x="478"/>
        <item x="689"/>
        <item x="406"/>
        <item x="570"/>
        <item x="501"/>
        <item x="507"/>
        <item x="40"/>
        <item x="415"/>
        <item x="392"/>
        <item x="29"/>
        <item x="223"/>
        <item x="683"/>
        <item x="341"/>
        <item x="469"/>
        <item x="386"/>
        <item x="15"/>
        <item x="423"/>
        <item x="121"/>
        <item x="143"/>
        <item x="519"/>
        <item x="559"/>
        <item x="47"/>
        <item x="575"/>
        <item x="268"/>
        <item x="277"/>
        <item x="690"/>
        <item x="482"/>
        <item x="495"/>
        <item x="527"/>
        <item x="600"/>
        <item x="128"/>
        <item x="36"/>
        <item x="384"/>
        <item x="558"/>
        <item x="492"/>
        <item x="396"/>
        <item x="106"/>
        <item x="281"/>
        <item x="241"/>
        <item x="332"/>
        <item x="307"/>
        <item x="272"/>
        <item x="50"/>
        <item x="126"/>
        <item x="189"/>
        <item x="440"/>
        <item x="568"/>
        <item x="543"/>
        <item x="636"/>
        <item x="91"/>
        <item x="12"/>
        <item x="114"/>
        <item x="358"/>
        <item x="303"/>
        <item x="287"/>
        <item x="185"/>
        <item x="475"/>
        <item x="605"/>
        <item x="608"/>
        <item x="644"/>
        <item x="60"/>
        <item x="548"/>
        <item x="513"/>
        <item x="316"/>
        <item x="675"/>
        <item x="175"/>
        <item x="306"/>
        <item x="424"/>
        <item x="51"/>
        <item x="305"/>
        <item x="677"/>
        <item x="441"/>
        <item x="459"/>
        <item x="353"/>
        <item x="152"/>
        <item x="601"/>
        <item x="176"/>
        <item x="82"/>
        <item x="465"/>
        <item x="155"/>
        <item x="426"/>
        <item x="250"/>
        <item x="563"/>
        <item x="665"/>
        <item x="610"/>
        <item x="667"/>
        <item x="499"/>
        <item x="468"/>
        <item x="68"/>
        <item x="159"/>
        <item x="486"/>
        <item x="378"/>
        <item x="205"/>
        <item x="275"/>
        <item x="194"/>
        <item x="87"/>
        <item x="628"/>
        <item x="37"/>
        <item x="24"/>
        <item x="504"/>
        <item x="451"/>
        <item x="331"/>
        <item x="540"/>
        <item x="355"/>
        <item x="678"/>
        <item x="219"/>
        <item x="242"/>
        <item x="325"/>
        <item x="45"/>
        <item x="101"/>
        <item x="582"/>
        <item x="215"/>
        <item x="232"/>
        <item x="643"/>
        <item x="682"/>
        <item x="547"/>
        <item x="546"/>
        <item x="243"/>
        <item x="434"/>
        <item x="238"/>
        <item x="617"/>
        <item x="497"/>
        <item x="687"/>
        <item x="94"/>
        <item x="25"/>
        <item x="648"/>
        <item x="463"/>
        <item x="288"/>
        <item x="75"/>
        <item x="299"/>
        <item x="632"/>
        <item x="659"/>
        <item x="48"/>
        <item x="462"/>
        <item x="466"/>
        <item x="354"/>
        <item x="253"/>
        <item x="174"/>
        <item x="28"/>
        <item x="419"/>
        <item x="343"/>
        <item x="133"/>
        <item x="671"/>
        <item x="304"/>
        <item x="254"/>
        <item x="171"/>
        <item x="115"/>
        <item x="366"/>
        <item x="173"/>
        <item x="586"/>
        <item x="500"/>
        <item x="118"/>
        <item x="10"/>
        <item x="18"/>
        <item x="113"/>
        <item x="400"/>
        <item x="267"/>
        <item x="151"/>
        <item x="445"/>
        <item x="432"/>
        <item x="521"/>
        <item x="681"/>
        <item x="361"/>
        <item x="611"/>
        <item x="612"/>
        <item x="5"/>
        <item x="673"/>
        <item x="623"/>
        <item x="686"/>
        <item x="104"/>
        <item x="520"/>
        <item x="8"/>
        <item x="218"/>
        <item x="461"/>
        <item x="260"/>
        <item x="405"/>
        <item x="503"/>
        <item x="589"/>
        <item x="363"/>
        <item x="483"/>
        <item x="438"/>
        <item x="511"/>
        <item x="149"/>
        <item x="324"/>
        <item x="295"/>
        <item x="157"/>
        <item x="102"/>
        <item x="208"/>
        <item x="285"/>
        <item x="71"/>
        <item x="431"/>
        <item x="450"/>
        <item x="41"/>
        <item x="258"/>
        <item x="308"/>
        <item x="502"/>
        <item x="9"/>
        <item x="595"/>
        <item x="310"/>
        <item x="237"/>
        <item x="108"/>
        <item x="516"/>
        <item x="395"/>
        <item x="454"/>
        <item x="346"/>
        <item x="537"/>
        <item x="202"/>
        <item x="616"/>
        <item x="596"/>
        <item x="676"/>
        <item x="292"/>
        <item x="32"/>
        <item x="380"/>
        <item x="428"/>
        <item x="356"/>
        <item x="553"/>
        <item x="373"/>
        <item x="360"/>
        <item x="458"/>
        <item x="408"/>
        <item x="369"/>
        <item x="374"/>
        <item x="328"/>
        <item x="73"/>
        <item x="630"/>
        <item x="658"/>
        <item x="234"/>
        <item x="181"/>
        <item x="397"/>
        <item x="336"/>
        <item x="437"/>
        <item x="264"/>
        <item x="161"/>
        <item x="204"/>
        <item x="195"/>
        <item x="455"/>
        <item x="146"/>
        <item x="44"/>
        <item x="136"/>
        <item x="412"/>
        <item x="236"/>
        <item x="255"/>
        <item x="314"/>
        <item x="220"/>
        <item x="620"/>
        <item x="282"/>
        <item x="420"/>
        <item x="634"/>
        <item x="213"/>
        <item x="228"/>
        <item x="266"/>
        <item x="84"/>
        <item x="14"/>
        <item x="129"/>
        <item x="371"/>
        <item x="583"/>
        <item x="389"/>
        <item x="30"/>
        <item x="142"/>
        <item x="523"/>
        <item x="302"/>
        <item x="522"/>
        <item x="198"/>
        <item x="534"/>
        <item x="453"/>
        <item x="273"/>
        <item x="641"/>
        <item x="561"/>
        <item x="359"/>
        <item x="647"/>
        <item x="418"/>
        <item x="252"/>
        <item x="496"/>
        <item x="103"/>
        <item x="590"/>
        <item x="284"/>
        <item x="201"/>
        <item x="137"/>
        <item x="615"/>
        <item x="248"/>
        <item x="105"/>
        <item x="597"/>
        <item x="409"/>
        <item x="422"/>
        <item x="417"/>
        <item x="684"/>
        <item x="166"/>
        <item x="109"/>
        <item x="404"/>
        <item x="169"/>
        <item x="493"/>
        <item x="289"/>
        <item x="320"/>
        <item x="385"/>
        <item x="313"/>
        <item x="112"/>
        <item x="35"/>
        <item x="262"/>
        <item x="125"/>
        <item x="622"/>
        <item x="517"/>
        <item x="222"/>
        <item x="470"/>
        <item x="621"/>
        <item x="286"/>
        <item x="651"/>
        <item x="609"/>
        <item x="95"/>
        <item x="200"/>
        <item x="416"/>
        <item x="631"/>
        <item x="311"/>
        <item x="180"/>
        <item x="279"/>
        <item x="297"/>
        <item x="206"/>
        <item x="425"/>
        <item x="464"/>
        <item x="411"/>
        <item x="351"/>
        <item x="403"/>
        <item x="588"/>
        <item x="226"/>
        <item x="138"/>
        <item x="246"/>
        <item x="489"/>
        <item x="550"/>
        <item x="484"/>
        <item x="498"/>
        <item x="357"/>
        <item x="239"/>
        <item x="640"/>
        <item x="72"/>
        <item x="55"/>
        <item x="481"/>
        <item x="300"/>
        <item x="598"/>
        <item x="398"/>
        <item x="655"/>
        <item x="402"/>
        <item x="49"/>
        <item x="3"/>
        <item x="312"/>
        <item x="656"/>
        <item x="607"/>
        <item x="533"/>
        <item x="433"/>
        <item x="338"/>
        <item x="372"/>
        <item x="98"/>
        <item x="654"/>
        <item x="456"/>
        <item x="430"/>
        <item x="542"/>
        <item x="240"/>
        <item x="131"/>
        <item x="43"/>
        <item x="367"/>
        <item x="594"/>
        <item x="388"/>
        <item x="225"/>
        <item x="536"/>
        <item x="579"/>
        <item x="147"/>
        <item x="379"/>
        <item x="96"/>
        <item x="76"/>
        <item x="34"/>
        <item x="130"/>
        <item x="116"/>
        <item x="625"/>
        <item x="339"/>
        <item x="591"/>
        <item x="691"/>
        <item x="22"/>
        <item x="674"/>
        <item x="330"/>
        <item x="535"/>
        <item x="524"/>
        <item x="350"/>
        <item x="139"/>
        <item x="421"/>
        <item x="81"/>
        <item x="447"/>
        <item x="290"/>
        <item x="186"/>
        <item x="39"/>
        <item x="457"/>
        <item x="477"/>
        <item x="443"/>
        <item x="293"/>
        <item x="394"/>
        <item x="662"/>
        <item x="83"/>
        <item x="97"/>
        <item x="487"/>
        <item x="393"/>
        <item x="199"/>
        <item x="20"/>
        <item x="294"/>
        <item x="156"/>
        <item x="334"/>
        <item x="577"/>
        <item x="627"/>
        <item x="170"/>
        <item x="460"/>
        <item x="545"/>
        <item x="488"/>
        <item x="555"/>
        <item x="528"/>
        <item x="318"/>
        <item x="184"/>
        <item x="244"/>
        <item x="669"/>
        <item x="599"/>
        <item x="382"/>
        <item x="167"/>
        <item x="77"/>
        <item x="637"/>
        <item x="471"/>
        <item x="494"/>
        <item x="474"/>
        <item x="518"/>
        <item x="532"/>
        <item x="476"/>
        <item x="508"/>
        <item x="446"/>
        <item x="663"/>
        <item x="635"/>
        <item x="442"/>
        <item x="365"/>
        <item x="666"/>
        <item x="348"/>
        <item x="150"/>
        <item x="661"/>
        <item x="660"/>
        <item x="342"/>
        <item x="296"/>
        <item x="560"/>
        <item x="347"/>
        <item x="80"/>
        <item x="17"/>
        <item x="525"/>
        <item x="401"/>
        <item x="270"/>
        <item x="53"/>
        <item x="505"/>
        <item x="633"/>
        <item x="614"/>
        <item x="410"/>
        <item x="485"/>
        <item x="491"/>
        <item x="16"/>
        <item x="679"/>
        <item x="217"/>
        <item x="26"/>
        <item x="427"/>
        <item x="148"/>
        <item x="626"/>
        <item x="390"/>
        <item x="606"/>
        <item x="123"/>
        <item x="309"/>
        <item x="247"/>
        <item x="54"/>
        <item x="473"/>
        <item x="664"/>
        <item x="368"/>
        <item x="670"/>
        <item x="135"/>
        <item x="57"/>
        <item x="196"/>
        <item x="52"/>
        <item x="74"/>
        <item x="571"/>
        <item x="4"/>
        <item x="214"/>
        <item x="31"/>
        <item x="335"/>
        <item x="352"/>
        <item x="383"/>
        <item x="298"/>
        <item x="554"/>
        <item x="127"/>
        <item x="650"/>
        <item x="183"/>
        <item x="59"/>
        <item x="652"/>
        <item x="1"/>
        <item x="322"/>
        <item x="110"/>
        <item x="587"/>
        <item x="448"/>
        <item x="141"/>
        <item x="283"/>
        <item x="301"/>
        <item x="315"/>
        <item x="257"/>
        <item x="581"/>
        <item x="413"/>
        <item x="319"/>
        <item x="46"/>
        <item x="251"/>
        <item x="193"/>
        <item x="197"/>
        <item x="480"/>
        <item x="86"/>
        <item x="274"/>
        <item x="370"/>
        <item x="79"/>
        <item x="349"/>
        <item x="668"/>
        <item x="551"/>
        <item x="69"/>
        <item x="119"/>
        <item x="203"/>
        <item x="585"/>
        <item x="680"/>
        <item x="122"/>
        <item x="224"/>
        <item x="92"/>
        <item x="557"/>
        <item x="89"/>
        <item x="326"/>
        <item x="490"/>
        <item x="435"/>
        <item x="646"/>
        <item x="556"/>
        <item x="163"/>
        <item x="153"/>
        <item x="70"/>
        <item x="192"/>
        <item x="399"/>
        <item x="182"/>
        <item x="221"/>
        <item x="407"/>
        <item x="256"/>
        <item x="531"/>
        <item x="602"/>
        <item x="333"/>
        <item x="337"/>
        <item x="227"/>
        <item x="653"/>
        <item x="154"/>
        <item x="649"/>
        <item x="179"/>
        <item x="291"/>
        <item x="569"/>
        <item x="191"/>
        <item x="187"/>
        <item x="249"/>
        <item x="327"/>
        <item x="190"/>
        <item x="317"/>
        <item x="541"/>
        <item x="362"/>
        <item x="231"/>
        <item x="539"/>
        <item x="639"/>
        <item x="429"/>
        <item x="0"/>
        <item x="7"/>
        <item x="172"/>
        <item x="387"/>
        <item x="120"/>
        <item x="467"/>
        <item x="140"/>
        <item x="340"/>
        <item x="233"/>
        <item x="67"/>
        <item x="212"/>
        <item x="2"/>
        <item x="514"/>
        <item x="23"/>
        <item x="107"/>
        <item x="65"/>
        <item x="165"/>
        <item x="134"/>
        <item x="613"/>
        <item x="375"/>
        <item x="439"/>
        <item x="562"/>
        <item x="526"/>
        <item x="538"/>
        <item x="584"/>
        <item x="323"/>
        <item x="269"/>
        <item x="377"/>
        <item x="565"/>
        <item x="329"/>
        <item x="38"/>
        <item x="6"/>
        <item x="479"/>
        <item x="85"/>
        <item x="510"/>
        <item x="580"/>
        <item x="345"/>
        <item x="111"/>
        <item x="509"/>
        <item x="58"/>
        <item x="11"/>
        <item x="619"/>
        <item x="168"/>
        <item x="645"/>
        <item x="117"/>
        <item x="162"/>
        <item x="685"/>
        <item x="145"/>
        <item x="573"/>
        <item x="230"/>
        <item x="56"/>
        <item x="42"/>
        <item x="576"/>
        <item x="124"/>
        <item x="229"/>
        <item x="211"/>
        <item x="66"/>
        <item x="391"/>
        <item x="364"/>
        <item x="63"/>
        <item x="642"/>
        <item x="259"/>
        <item x="344"/>
        <item x="188"/>
        <item x="452"/>
        <item x="436"/>
        <item x="207"/>
        <item x="144"/>
        <item x="444"/>
        <item x="638"/>
        <item x="566"/>
        <item x="263"/>
        <item x="278"/>
        <item t="default"/>
      </items>
    </pivotField>
    <pivotField showAll="0"/>
    <pivotField showAll="0">
      <items count="7">
        <item x="0"/>
        <item x="3"/>
        <item x="5"/>
        <item x="1"/>
        <item x="4"/>
        <item x="2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41">
        <item x="17"/>
        <item x="3"/>
        <item x="4"/>
        <item x="35"/>
        <item x="32"/>
        <item x="15"/>
        <item x="23"/>
        <item x="39"/>
        <item x="8"/>
        <item x="21"/>
        <item x="1"/>
        <item x="5"/>
        <item x="22"/>
        <item x="31"/>
        <item x="11"/>
        <item x="20"/>
        <item x="12"/>
        <item x="30"/>
        <item x="13"/>
        <item x="27"/>
        <item x="36"/>
        <item x="6"/>
        <item x="24"/>
        <item x="0"/>
        <item x="16"/>
        <item x="28"/>
        <item x="29"/>
        <item x="7"/>
        <item x="38"/>
        <item x="10"/>
        <item x="25"/>
        <item x="19"/>
        <item x="33"/>
        <item x="18"/>
        <item x="34"/>
        <item x="9"/>
        <item x="26"/>
        <item x="14"/>
        <item x="37"/>
        <item x="2"/>
        <item t="default"/>
      </items>
    </pivotField>
    <pivotField showAll="0"/>
    <pivotField numFmtId="1" showAll="0"/>
    <pivotField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 sortType="descending">
      <items count="3">
        <item x="0"/>
        <item x="1"/>
        <item t="default"/>
      </items>
    </pivotField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Items count="1">
    <i/>
  </colItems>
  <dataFields count="1">
    <dataField name="Nombre de ID_Command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E832A-446D-44C0-9BC2-DEFAD2204A61}" name="Tableau croisé dynamique3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rowHeaderCaption="CATEGORIE" colHeaderCaption="TRIMESTRE">
  <location ref="M3:R10" firstHeaderRow="1" firstDataRow="2" firstDataCol="1"/>
  <pivotFields count="21">
    <pivotField showAll="0"/>
    <pivotField numFmtId="14" showAll="0">
      <items count="693">
        <item x="62"/>
        <item x="603"/>
        <item x="88"/>
        <item x="414"/>
        <item x="657"/>
        <item x="629"/>
        <item x="688"/>
        <item x="19"/>
        <item x="592"/>
        <item x="578"/>
        <item x="271"/>
        <item x="261"/>
        <item x="321"/>
        <item x="549"/>
        <item x="574"/>
        <item x="604"/>
        <item x="567"/>
        <item x="552"/>
        <item x="61"/>
        <item x="515"/>
        <item x="449"/>
        <item x="178"/>
        <item x="512"/>
        <item x="235"/>
        <item x="64"/>
        <item x="529"/>
        <item x="280"/>
        <item x="90"/>
        <item x="276"/>
        <item x="381"/>
        <item x="506"/>
        <item x="78"/>
        <item x="93"/>
        <item x="13"/>
        <item x="210"/>
        <item x="530"/>
        <item x="209"/>
        <item x="177"/>
        <item x="376"/>
        <item x="564"/>
        <item x="158"/>
        <item x="472"/>
        <item x="265"/>
        <item x="160"/>
        <item x="572"/>
        <item x="593"/>
        <item x="624"/>
        <item x="33"/>
        <item x="544"/>
        <item x="245"/>
        <item x="21"/>
        <item x="132"/>
        <item x="100"/>
        <item x="618"/>
        <item x="672"/>
        <item x="164"/>
        <item x="216"/>
        <item x="99"/>
        <item x="27"/>
        <item x="478"/>
        <item x="689"/>
        <item x="406"/>
        <item x="570"/>
        <item x="501"/>
        <item x="507"/>
        <item x="40"/>
        <item x="415"/>
        <item x="392"/>
        <item x="29"/>
        <item x="223"/>
        <item x="683"/>
        <item x="341"/>
        <item x="469"/>
        <item x="386"/>
        <item x="15"/>
        <item x="423"/>
        <item x="121"/>
        <item x="143"/>
        <item x="519"/>
        <item x="559"/>
        <item x="47"/>
        <item x="575"/>
        <item x="268"/>
        <item x="277"/>
        <item x="690"/>
        <item x="482"/>
        <item x="495"/>
        <item x="527"/>
        <item x="600"/>
        <item x="128"/>
        <item x="36"/>
        <item x="384"/>
        <item x="558"/>
        <item x="492"/>
        <item x="396"/>
        <item x="106"/>
        <item x="281"/>
        <item x="241"/>
        <item x="332"/>
        <item x="307"/>
        <item x="272"/>
        <item x="50"/>
        <item x="126"/>
        <item x="189"/>
        <item x="440"/>
        <item x="568"/>
        <item x="543"/>
        <item x="636"/>
        <item x="91"/>
        <item x="12"/>
        <item x="114"/>
        <item x="358"/>
        <item x="303"/>
        <item x="287"/>
        <item x="185"/>
        <item x="475"/>
        <item x="605"/>
        <item x="608"/>
        <item x="644"/>
        <item x="60"/>
        <item x="548"/>
        <item x="513"/>
        <item x="316"/>
        <item x="675"/>
        <item x="175"/>
        <item x="306"/>
        <item x="424"/>
        <item x="51"/>
        <item x="305"/>
        <item x="677"/>
        <item x="441"/>
        <item x="459"/>
        <item x="353"/>
        <item x="152"/>
        <item x="601"/>
        <item x="176"/>
        <item x="82"/>
        <item x="465"/>
        <item x="155"/>
        <item x="426"/>
        <item x="250"/>
        <item x="563"/>
        <item x="665"/>
        <item x="610"/>
        <item x="667"/>
        <item x="499"/>
        <item x="468"/>
        <item x="68"/>
        <item x="159"/>
        <item x="486"/>
        <item x="378"/>
        <item x="205"/>
        <item x="275"/>
        <item x="194"/>
        <item x="87"/>
        <item x="628"/>
        <item x="37"/>
        <item x="24"/>
        <item x="504"/>
        <item x="451"/>
        <item x="331"/>
        <item x="540"/>
        <item x="355"/>
        <item x="678"/>
        <item x="219"/>
        <item x="242"/>
        <item x="325"/>
        <item x="45"/>
        <item x="101"/>
        <item x="582"/>
        <item x="215"/>
        <item x="232"/>
        <item x="643"/>
        <item x="682"/>
        <item x="547"/>
        <item x="546"/>
        <item x="243"/>
        <item x="434"/>
        <item x="238"/>
        <item x="617"/>
        <item x="497"/>
        <item x="687"/>
        <item x="94"/>
        <item x="25"/>
        <item x="648"/>
        <item x="463"/>
        <item x="288"/>
        <item x="75"/>
        <item x="299"/>
        <item x="632"/>
        <item x="659"/>
        <item x="48"/>
        <item x="462"/>
        <item x="466"/>
        <item x="354"/>
        <item x="253"/>
        <item x="174"/>
        <item x="28"/>
        <item x="419"/>
        <item x="343"/>
        <item x="133"/>
        <item x="671"/>
        <item x="304"/>
        <item x="254"/>
        <item x="171"/>
        <item x="115"/>
        <item x="366"/>
        <item x="173"/>
        <item x="586"/>
        <item x="500"/>
        <item x="118"/>
        <item x="10"/>
        <item x="18"/>
        <item x="113"/>
        <item x="400"/>
        <item x="267"/>
        <item x="151"/>
        <item x="445"/>
        <item x="432"/>
        <item x="521"/>
        <item x="681"/>
        <item x="361"/>
        <item x="611"/>
        <item x="612"/>
        <item x="5"/>
        <item x="673"/>
        <item x="623"/>
        <item x="686"/>
        <item x="104"/>
        <item x="520"/>
        <item x="8"/>
        <item x="218"/>
        <item x="461"/>
        <item x="260"/>
        <item x="405"/>
        <item x="503"/>
        <item x="589"/>
        <item x="363"/>
        <item x="483"/>
        <item x="438"/>
        <item x="511"/>
        <item x="149"/>
        <item x="324"/>
        <item x="295"/>
        <item x="157"/>
        <item x="102"/>
        <item x="208"/>
        <item x="285"/>
        <item x="71"/>
        <item x="431"/>
        <item x="450"/>
        <item x="41"/>
        <item x="258"/>
        <item x="308"/>
        <item x="502"/>
        <item x="9"/>
        <item x="595"/>
        <item x="310"/>
        <item x="237"/>
        <item x="108"/>
        <item x="516"/>
        <item x="395"/>
        <item x="454"/>
        <item x="346"/>
        <item x="537"/>
        <item x="202"/>
        <item x="616"/>
        <item x="596"/>
        <item x="676"/>
        <item x="292"/>
        <item x="32"/>
        <item x="380"/>
        <item x="428"/>
        <item x="356"/>
        <item x="553"/>
        <item x="373"/>
        <item x="360"/>
        <item x="458"/>
        <item x="408"/>
        <item x="369"/>
        <item x="374"/>
        <item x="328"/>
        <item x="73"/>
        <item x="630"/>
        <item x="658"/>
        <item x="234"/>
        <item x="181"/>
        <item x="397"/>
        <item x="336"/>
        <item x="437"/>
        <item x="264"/>
        <item x="161"/>
        <item x="204"/>
        <item x="195"/>
        <item x="455"/>
        <item x="146"/>
        <item x="44"/>
        <item x="136"/>
        <item x="412"/>
        <item x="236"/>
        <item x="255"/>
        <item x="314"/>
        <item x="220"/>
        <item x="620"/>
        <item x="282"/>
        <item x="420"/>
        <item x="634"/>
        <item x="213"/>
        <item x="228"/>
        <item x="266"/>
        <item x="84"/>
        <item x="14"/>
        <item x="129"/>
        <item x="371"/>
        <item x="583"/>
        <item x="389"/>
        <item x="30"/>
        <item x="142"/>
        <item x="523"/>
        <item x="302"/>
        <item x="522"/>
        <item x="198"/>
        <item x="534"/>
        <item x="453"/>
        <item x="273"/>
        <item x="641"/>
        <item x="561"/>
        <item x="359"/>
        <item x="647"/>
        <item x="418"/>
        <item x="252"/>
        <item x="496"/>
        <item x="103"/>
        <item x="590"/>
        <item x="284"/>
        <item x="201"/>
        <item x="137"/>
        <item x="615"/>
        <item x="248"/>
        <item x="105"/>
        <item x="597"/>
        <item x="409"/>
        <item x="422"/>
        <item x="417"/>
        <item x="684"/>
        <item x="166"/>
        <item x="109"/>
        <item x="404"/>
        <item x="169"/>
        <item x="493"/>
        <item x="289"/>
        <item x="320"/>
        <item x="385"/>
        <item x="313"/>
        <item x="112"/>
        <item x="35"/>
        <item x="262"/>
        <item x="125"/>
        <item x="622"/>
        <item x="517"/>
        <item x="222"/>
        <item x="470"/>
        <item x="621"/>
        <item x="286"/>
        <item x="651"/>
        <item x="609"/>
        <item x="95"/>
        <item x="200"/>
        <item x="416"/>
        <item x="631"/>
        <item x="311"/>
        <item x="180"/>
        <item x="279"/>
        <item x="297"/>
        <item x="206"/>
        <item x="425"/>
        <item x="464"/>
        <item x="411"/>
        <item x="351"/>
        <item x="403"/>
        <item x="588"/>
        <item x="226"/>
        <item x="138"/>
        <item x="246"/>
        <item x="489"/>
        <item x="550"/>
        <item x="484"/>
        <item x="498"/>
        <item x="357"/>
        <item x="239"/>
        <item x="640"/>
        <item x="72"/>
        <item x="55"/>
        <item x="481"/>
        <item x="300"/>
        <item x="598"/>
        <item x="398"/>
        <item x="655"/>
        <item x="402"/>
        <item x="49"/>
        <item x="3"/>
        <item x="312"/>
        <item x="656"/>
        <item x="607"/>
        <item x="533"/>
        <item x="433"/>
        <item x="338"/>
        <item x="372"/>
        <item x="98"/>
        <item x="654"/>
        <item x="456"/>
        <item x="430"/>
        <item x="542"/>
        <item x="240"/>
        <item x="131"/>
        <item x="43"/>
        <item x="367"/>
        <item x="594"/>
        <item x="388"/>
        <item x="225"/>
        <item x="536"/>
        <item x="579"/>
        <item x="147"/>
        <item x="379"/>
        <item x="96"/>
        <item x="76"/>
        <item x="34"/>
        <item x="130"/>
        <item x="116"/>
        <item x="625"/>
        <item x="339"/>
        <item x="591"/>
        <item x="691"/>
        <item x="22"/>
        <item x="674"/>
        <item x="330"/>
        <item x="535"/>
        <item x="524"/>
        <item x="350"/>
        <item x="139"/>
        <item x="421"/>
        <item x="81"/>
        <item x="447"/>
        <item x="290"/>
        <item x="186"/>
        <item x="39"/>
        <item x="457"/>
        <item x="477"/>
        <item x="443"/>
        <item x="293"/>
        <item x="394"/>
        <item x="662"/>
        <item x="83"/>
        <item x="97"/>
        <item x="487"/>
        <item x="393"/>
        <item x="199"/>
        <item x="20"/>
        <item x="294"/>
        <item x="156"/>
        <item x="334"/>
        <item x="577"/>
        <item x="627"/>
        <item x="170"/>
        <item x="460"/>
        <item x="545"/>
        <item x="488"/>
        <item x="555"/>
        <item x="528"/>
        <item x="318"/>
        <item x="184"/>
        <item x="244"/>
        <item x="669"/>
        <item x="599"/>
        <item x="382"/>
        <item x="167"/>
        <item x="77"/>
        <item x="637"/>
        <item x="471"/>
        <item x="494"/>
        <item x="474"/>
        <item x="518"/>
        <item x="532"/>
        <item x="476"/>
        <item x="508"/>
        <item x="446"/>
        <item x="663"/>
        <item x="635"/>
        <item x="442"/>
        <item x="365"/>
        <item x="666"/>
        <item x="348"/>
        <item x="150"/>
        <item x="661"/>
        <item x="660"/>
        <item x="342"/>
        <item x="296"/>
        <item x="560"/>
        <item x="347"/>
        <item x="80"/>
        <item x="17"/>
        <item x="525"/>
        <item x="401"/>
        <item x="270"/>
        <item x="53"/>
        <item x="505"/>
        <item x="633"/>
        <item x="614"/>
        <item x="410"/>
        <item x="485"/>
        <item x="491"/>
        <item x="16"/>
        <item x="679"/>
        <item x="217"/>
        <item x="26"/>
        <item x="427"/>
        <item x="148"/>
        <item x="626"/>
        <item x="390"/>
        <item x="606"/>
        <item x="123"/>
        <item x="309"/>
        <item x="247"/>
        <item x="54"/>
        <item x="473"/>
        <item x="664"/>
        <item x="368"/>
        <item x="670"/>
        <item x="135"/>
        <item x="57"/>
        <item x="196"/>
        <item x="52"/>
        <item x="74"/>
        <item x="571"/>
        <item x="4"/>
        <item x="214"/>
        <item x="31"/>
        <item x="335"/>
        <item x="352"/>
        <item x="383"/>
        <item x="298"/>
        <item x="554"/>
        <item x="127"/>
        <item x="650"/>
        <item x="183"/>
        <item x="59"/>
        <item x="652"/>
        <item x="1"/>
        <item x="322"/>
        <item x="110"/>
        <item x="587"/>
        <item x="448"/>
        <item x="141"/>
        <item x="283"/>
        <item x="301"/>
        <item x="315"/>
        <item x="257"/>
        <item x="581"/>
        <item x="413"/>
        <item x="319"/>
        <item x="46"/>
        <item x="251"/>
        <item x="193"/>
        <item x="197"/>
        <item x="480"/>
        <item x="86"/>
        <item x="274"/>
        <item x="370"/>
        <item x="79"/>
        <item x="349"/>
        <item x="668"/>
        <item x="551"/>
        <item x="69"/>
        <item x="119"/>
        <item x="203"/>
        <item x="585"/>
        <item x="680"/>
        <item x="122"/>
        <item x="224"/>
        <item x="92"/>
        <item x="557"/>
        <item x="89"/>
        <item x="326"/>
        <item x="490"/>
        <item x="435"/>
        <item x="646"/>
        <item x="556"/>
        <item x="163"/>
        <item x="153"/>
        <item x="70"/>
        <item x="192"/>
        <item x="399"/>
        <item x="182"/>
        <item x="221"/>
        <item x="407"/>
        <item x="256"/>
        <item x="531"/>
        <item x="602"/>
        <item x="333"/>
        <item x="337"/>
        <item x="227"/>
        <item x="653"/>
        <item x="154"/>
        <item x="649"/>
        <item x="179"/>
        <item x="291"/>
        <item x="569"/>
        <item x="191"/>
        <item x="187"/>
        <item x="249"/>
        <item x="327"/>
        <item x="190"/>
        <item x="317"/>
        <item x="541"/>
        <item x="362"/>
        <item x="231"/>
        <item x="539"/>
        <item x="639"/>
        <item x="429"/>
        <item x="0"/>
        <item x="7"/>
        <item x="172"/>
        <item x="387"/>
        <item x="120"/>
        <item x="467"/>
        <item x="140"/>
        <item x="340"/>
        <item x="233"/>
        <item x="67"/>
        <item x="212"/>
        <item x="2"/>
        <item x="514"/>
        <item x="23"/>
        <item x="107"/>
        <item x="65"/>
        <item x="165"/>
        <item x="134"/>
        <item x="613"/>
        <item x="375"/>
        <item x="439"/>
        <item x="562"/>
        <item x="526"/>
        <item x="538"/>
        <item x="584"/>
        <item x="323"/>
        <item x="269"/>
        <item x="377"/>
        <item x="565"/>
        <item x="329"/>
        <item x="38"/>
        <item x="6"/>
        <item x="479"/>
        <item x="85"/>
        <item x="510"/>
        <item x="580"/>
        <item x="345"/>
        <item x="111"/>
        <item x="509"/>
        <item x="58"/>
        <item x="11"/>
        <item x="619"/>
        <item x="168"/>
        <item x="645"/>
        <item x="117"/>
        <item x="162"/>
        <item x="685"/>
        <item x="145"/>
        <item x="573"/>
        <item x="230"/>
        <item x="56"/>
        <item x="42"/>
        <item x="576"/>
        <item x="124"/>
        <item x="229"/>
        <item x="211"/>
        <item x="66"/>
        <item x="391"/>
        <item x="364"/>
        <item x="63"/>
        <item x="642"/>
        <item x="259"/>
        <item x="344"/>
        <item x="188"/>
        <item x="452"/>
        <item x="436"/>
        <item x="207"/>
        <item x="144"/>
        <item x="444"/>
        <item x="638"/>
        <item x="566"/>
        <item x="263"/>
        <item x="278"/>
        <item t="default"/>
      </items>
    </pivotField>
    <pivotField showAll="0"/>
    <pivotField showAll="0">
      <items count="7">
        <item x="0"/>
        <item x="3"/>
        <item x="5"/>
        <item x="1"/>
        <item x="4"/>
        <item x="2"/>
        <item t="default"/>
      </items>
    </pivotField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numFmtId="1" showAll="0"/>
    <pivotField showAll="0"/>
    <pivotField showAll="0"/>
    <pivotField dataField="1"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dataFields count="1">
    <dataField name="Somme de CA_Ne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81875-BF84-4293-8C16-460807970FBD}" name="Tableau croisé dynamique6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rowHeaderCaption="PRODUIT">
  <location ref="AB3:AC44" firstHeaderRow="1" firstDataRow="1" firstDataCol="1"/>
  <pivotFields count="21">
    <pivotField showAll="0"/>
    <pivotField numFmtId="14" showAll="0">
      <items count="693">
        <item x="62"/>
        <item x="603"/>
        <item x="88"/>
        <item x="414"/>
        <item x="657"/>
        <item x="629"/>
        <item x="688"/>
        <item x="19"/>
        <item x="592"/>
        <item x="578"/>
        <item x="271"/>
        <item x="261"/>
        <item x="321"/>
        <item x="549"/>
        <item x="574"/>
        <item x="604"/>
        <item x="567"/>
        <item x="552"/>
        <item x="61"/>
        <item x="515"/>
        <item x="449"/>
        <item x="178"/>
        <item x="512"/>
        <item x="235"/>
        <item x="64"/>
        <item x="529"/>
        <item x="280"/>
        <item x="90"/>
        <item x="276"/>
        <item x="381"/>
        <item x="506"/>
        <item x="78"/>
        <item x="93"/>
        <item x="13"/>
        <item x="210"/>
        <item x="530"/>
        <item x="209"/>
        <item x="177"/>
        <item x="376"/>
        <item x="564"/>
        <item x="158"/>
        <item x="472"/>
        <item x="265"/>
        <item x="160"/>
        <item x="572"/>
        <item x="593"/>
        <item x="624"/>
        <item x="33"/>
        <item x="544"/>
        <item x="245"/>
        <item x="21"/>
        <item x="132"/>
        <item x="100"/>
        <item x="618"/>
        <item x="672"/>
        <item x="164"/>
        <item x="216"/>
        <item x="99"/>
        <item x="27"/>
        <item x="478"/>
        <item x="689"/>
        <item x="406"/>
        <item x="570"/>
        <item x="501"/>
        <item x="507"/>
        <item x="40"/>
        <item x="415"/>
        <item x="392"/>
        <item x="29"/>
        <item x="223"/>
        <item x="683"/>
        <item x="341"/>
        <item x="469"/>
        <item x="386"/>
        <item x="15"/>
        <item x="423"/>
        <item x="121"/>
        <item x="143"/>
        <item x="519"/>
        <item x="559"/>
        <item x="47"/>
        <item x="575"/>
        <item x="268"/>
        <item x="277"/>
        <item x="690"/>
        <item x="482"/>
        <item x="495"/>
        <item x="527"/>
        <item x="600"/>
        <item x="128"/>
        <item x="36"/>
        <item x="384"/>
        <item x="558"/>
        <item x="492"/>
        <item x="396"/>
        <item x="106"/>
        <item x="281"/>
        <item x="241"/>
        <item x="332"/>
        <item x="307"/>
        <item x="272"/>
        <item x="50"/>
        <item x="126"/>
        <item x="189"/>
        <item x="440"/>
        <item x="568"/>
        <item x="543"/>
        <item x="636"/>
        <item x="91"/>
        <item x="12"/>
        <item x="114"/>
        <item x="358"/>
        <item x="303"/>
        <item x="287"/>
        <item x="185"/>
        <item x="475"/>
        <item x="605"/>
        <item x="608"/>
        <item x="644"/>
        <item x="60"/>
        <item x="548"/>
        <item x="513"/>
        <item x="316"/>
        <item x="675"/>
        <item x="175"/>
        <item x="306"/>
        <item x="424"/>
        <item x="51"/>
        <item x="305"/>
        <item x="677"/>
        <item x="441"/>
        <item x="459"/>
        <item x="353"/>
        <item x="152"/>
        <item x="601"/>
        <item x="176"/>
        <item x="82"/>
        <item x="465"/>
        <item x="155"/>
        <item x="426"/>
        <item x="250"/>
        <item x="563"/>
        <item x="665"/>
        <item x="610"/>
        <item x="667"/>
        <item x="499"/>
        <item x="468"/>
        <item x="68"/>
        <item x="159"/>
        <item x="486"/>
        <item x="378"/>
        <item x="205"/>
        <item x="275"/>
        <item x="194"/>
        <item x="87"/>
        <item x="628"/>
        <item x="37"/>
        <item x="24"/>
        <item x="504"/>
        <item x="451"/>
        <item x="331"/>
        <item x="540"/>
        <item x="355"/>
        <item x="678"/>
        <item x="219"/>
        <item x="242"/>
        <item x="325"/>
        <item x="45"/>
        <item x="101"/>
        <item x="582"/>
        <item x="215"/>
        <item x="232"/>
        <item x="643"/>
        <item x="682"/>
        <item x="547"/>
        <item x="546"/>
        <item x="243"/>
        <item x="434"/>
        <item x="238"/>
        <item x="617"/>
        <item x="497"/>
        <item x="687"/>
        <item x="94"/>
        <item x="25"/>
        <item x="648"/>
        <item x="463"/>
        <item x="288"/>
        <item x="75"/>
        <item x="299"/>
        <item x="632"/>
        <item x="659"/>
        <item x="48"/>
        <item x="462"/>
        <item x="466"/>
        <item x="354"/>
        <item x="253"/>
        <item x="174"/>
        <item x="28"/>
        <item x="419"/>
        <item x="343"/>
        <item x="133"/>
        <item x="671"/>
        <item x="304"/>
        <item x="254"/>
        <item x="171"/>
        <item x="115"/>
        <item x="366"/>
        <item x="173"/>
        <item x="586"/>
        <item x="500"/>
        <item x="118"/>
        <item x="10"/>
        <item x="18"/>
        <item x="113"/>
        <item x="400"/>
        <item x="267"/>
        <item x="151"/>
        <item x="445"/>
        <item x="432"/>
        <item x="521"/>
        <item x="681"/>
        <item x="361"/>
        <item x="611"/>
        <item x="612"/>
        <item x="5"/>
        <item x="673"/>
        <item x="623"/>
        <item x="686"/>
        <item x="104"/>
        <item x="520"/>
        <item x="8"/>
        <item x="218"/>
        <item x="461"/>
        <item x="260"/>
        <item x="405"/>
        <item x="503"/>
        <item x="589"/>
        <item x="363"/>
        <item x="483"/>
        <item x="438"/>
        <item x="511"/>
        <item x="149"/>
        <item x="324"/>
        <item x="295"/>
        <item x="157"/>
        <item x="102"/>
        <item x="208"/>
        <item x="285"/>
        <item x="71"/>
        <item x="431"/>
        <item x="450"/>
        <item x="41"/>
        <item x="258"/>
        <item x="308"/>
        <item x="502"/>
        <item x="9"/>
        <item x="595"/>
        <item x="310"/>
        <item x="237"/>
        <item x="108"/>
        <item x="516"/>
        <item x="395"/>
        <item x="454"/>
        <item x="346"/>
        <item x="537"/>
        <item x="202"/>
        <item x="616"/>
        <item x="596"/>
        <item x="676"/>
        <item x="292"/>
        <item x="32"/>
        <item x="380"/>
        <item x="428"/>
        <item x="356"/>
        <item x="553"/>
        <item x="373"/>
        <item x="360"/>
        <item x="458"/>
        <item x="408"/>
        <item x="369"/>
        <item x="374"/>
        <item x="328"/>
        <item x="73"/>
        <item x="630"/>
        <item x="658"/>
        <item x="234"/>
        <item x="181"/>
        <item x="397"/>
        <item x="336"/>
        <item x="437"/>
        <item x="264"/>
        <item x="161"/>
        <item x="204"/>
        <item x="195"/>
        <item x="455"/>
        <item x="146"/>
        <item x="44"/>
        <item x="136"/>
        <item x="412"/>
        <item x="236"/>
        <item x="255"/>
        <item x="314"/>
        <item x="220"/>
        <item x="620"/>
        <item x="282"/>
        <item x="420"/>
        <item x="634"/>
        <item x="213"/>
        <item x="228"/>
        <item x="266"/>
        <item x="84"/>
        <item x="14"/>
        <item x="129"/>
        <item x="371"/>
        <item x="583"/>
        <item x="389"/>
        <item x="30"/>
        <item x="142"/>
        <item x="523"/>
        <item x="302"/>
        <item x="522"/>
        <item x="198"/>
        <item x="534"/>
        <item x="453"/>
        <item x="273"/>
        <item x="641"/>
        <item x="561"/>
        <item x="359"/>
        <item x="647"/>
        <item x="418"/>
        <item x="252"/>
        <item x="496"/>
        <item x="103"/>
        <item x="590"/>
        <item x="284"/>
        <item x="201"/>
        <item x="137"/>
        <item x="615"/>
        <item x="248"/>
        <item x="105"/>
        <item x="597"/>
        <item x="409"/>
        <item x="422"/>
        <item x="417"/>
        <item x="684"/>
        <item x="166"/>
        <item x="109"/>
        <item x="404"/>
        <item x="169"/>
        <item x="493"/>
        <item x="289"/>
        <item x="320"/>
        <item x="385"/>
        <item x="313"/>
        <item x="112"/>
        <item x="35"/>
        <item x="262"/>
        <item x="125"/>
        <item x="622"/>
        <item x="517"/>
        <item x="222"/>
        <item x="470"/>
        <item x="621"/>
        <item x="286"/>
        <item x="651"/>
        <item x="609"/>
        <item x="95"/>
        <item x="200"/>
        <item x="416"/>
        <item x="631"/>
        <item x="311"/>
        <item x="180"/>
        <item x="279"/>
        <item x="297"/>
        <item x="206"/>
        <item x="425"/>
        <item x="464"/>
        <item x="411"/>
        <item x="351"/>
        <item x="403"/>
        <item x="588"/>
        <item x="226"/>
        <item x="138"/>
        <item x="246"/>
        <item x="489"/>
        <item x="550"/>
        <item x="484"/>
        <item x="498"/>
        <item x="357"/>
        <item x="239"/>
        <item x="640"/>
        <item x="72"/>
        <item x="55"/>
        <item x="481"/>
        <item x="300"/>
        <item x="598"/>
        <item x="398"/>
        <item x="655"/>
        <item x="402"/>
        <item x="49"/>
        <item x="3"/>
        <item x="312"/>
        <item x="656"/>
        <item x="607"/>
        <item x="533"/>
        <item x="433"/>
        <item x="338"/>
        <item x="372"/>
        <item x="98"/>
        <item x="654"/>
        <item x="456"/>
        <item x="430"/>
        <item x="542"/>
        <item x="240"/>
        <item x="131"/>
        <item x="43"/>
        <item x="367"/>
        <item x="594"/>
        <item x="388"/>
        <item x="225"/>
        <item x="536"/>
        <item x="579"/>
        <item x="147"/>
        <item x="379"/>
        <item x="96"/>
        <item x="76"/>
        <item x="34"/>
        <item x="130"/>
        <item x="116"/>
        <item x="625"/>
        <item x="339"/>
        <item x="591"/>
        <item x="691"/>
        <item x="22"/>
        <item x="674"/>
        <item x="330"/>
        <item x="535"/>
        <item x="524"/>
        <item x="350"/>
        <item x="139"/>
        <item x="421"/>
        <item x="81"/>
        <item x="447"/>
        <item x="290"/>
        <item x="186"/>
        <item x="39"/>
        <item x="457"/>
        <item x="477"/>
        <item x="443"/>
        <item x="293"/>
        <item x="394"/>
        <item x="662"/>
        <item x="83"/>
        <item x="97"/>
        <item x="487"/>
        <item x="393"/>
        <item x="199"/>
        <item x="20"/>
        <item x="294"/>
        <item x="156"/>
        <item x="334"/>
        <item x="577"/>
        <item x="627"/>
        <item x="170"/>
        <item x="460"/>
        <item x="545"/>
        <item x="488"/>
        <item x="555"/>
        <item x="528"/>
        <item x="318"/>
        <item x="184"/>
        <item x="244"/>
        <item x="669"/>
        <item x="599"/>
        <item x="382"/>
        <item x="167"/>
        <item x="77"/>
        <item x="637"/>
        <item x="471"/>
        <item x="494"/>
        <item x="474"/>
        <item x="518"/>
        <item x="532"/>
        <item x="476"/>
        <item x="508"/>
        <item x="446"/>
        <item x="663"/>
        <item x="635"/>
        <item x="442"/>
        <item x="365"/>
        <item x="666"/>
        <item x="348"/>
        <item x="150"/>
        <item x="661"/>
        <item x="660"/>
        <item x="342"/>
        <item x="296"/>
        <item x="560"/>
        <item x="347"/>
        <item x="80"/>
        <item x="17"/>
        <item x="525"/>
        <item x="401"/>
        <item x="270"/>
        <item x="53"/>
        <item x="505"/>
        <item x="633"/>
        <item x="614"/>
        <item x="410"/>
        <item x="485"/>
        <item x="491"/>
        <item x="16"/>
        <item x="679"/>
        <item x="217"/>
        <item x="26"/>
        <item x="427"/>
        <item x="148"/>
        <item x="626"/>
        <item x="390"/>
        <item x="606"/>
        <item x="123"/>
        <item x="309"/>
        <item x="247"/>
        <item x="54"/>
        <item x="473"/>
        <item x="664"/>
        <item x="368"/>
        <item x="670"/>
        <item x="135"/>
        <item x="57"/>
        <item x="196"/>
        <item x="52"/>
        <item x="74"/>
        <item x="571"/>
        <item x="4"/>
        <item x="214"/>
        <item x="31"/>
        <item x="335"/>
        <item x="352"/>
        <item x="383"/>
        <item x="298"/>
        <item x="554"/>
        <item x="127"/>
        <item x="650"/>
        <item x="183"/>
        <item x="59"/>
        <item x="652"/>
        <item x="1"/>
        <item x="322"/>
        <item x="110"/>
        <item x="587"/>
        <item x="448"/>
        <item x="141"/>
        <item x="283"/>
        <item x="301"/>
        <item x="315"/>
        <item x="257"/>
        <item x="581"/>
        <item x="413"/>
        <item x="319"/>
        <item x="46"/>
        <item x="251"/>
        <item x="193"/>
        <item x="197"/>
        <item x="480"/>
        <item x="86"/>
        <item x="274"/>
        <item x="370"/>
        <item x="79"/>
        <item x="349"/>
        <item x="668"/>
        <item x="551"/>
        <item x="69"/>
        <item x="119"/>
        <item x="203"/>
        <item x="585"/>
        <item x="680"/>
        <item x="122"/>
        <item x="224"/>
        <item x="92"/>
        <item x="557"/>
        <item x="89"/>
        <item x="326"/>
        <item x="490"/>
        <item x="435"/>
        <item x="646"/>
        <item x="556"/>
        <item x="163"/>
        <item x="153"/>
        <item x="70"/>
        <item x="192"/>
        <item x="399"/>
        <item x="182"/>
        <item x="221"/>
        <item x="407"/>
        <item x="256"/>
        <item x="531"/>
        <item x="602"/>
        <item x="333"/>
        <item x="337"/>
        <item x="227"/>
        <item x="653"/>
        <item x="154"/>
        <item x="649"/>
        <item x="179"/>
        <item x="291"/>
        <item x="569"/>
        <item x="191"/>
        <item x="187"/>
        <item x="249"/>
        <item x="327"/>
        <item x="190"/>
        <item x="317"/>
        <item x="541"/>
        <item x="362"/>
        <item x="231"/>
        <item x="539"/>
        <item x="639"/>
        <item x="429"/>
        <item x="0"/>
        <item x="7"/>
        <item x="172"/>
        <item x="387"/>
        <item x="120"/>
        <item x="467"/>
        <item x="140"/>
        <item x="340"/>
        <item x="233"/>
        <item x="67"/>
        <item x="212"/>
        <item x="2"/>
        <item x="514"/>
        <item x="23"/>
        <item x="107"/>
        <item x="65"/>
        <item x="165"/>
        <item x="134"/>
        <item x="613"/>
        <item x="375"/>
        <item x="439"/>
        <item x="562"/>
        <item x="526"/>
        <item x="538"/>
        <item x="584"/>
        <item x="323"/>
        <item x="269"/>
        <item x="377"/>
        <item x="565"/>
        <item x="329"/>
        <item x="38"/>
        <item x="6"/>
        <item x="479"/>
        <item x="85"/>
        <item x="510"/>
        <item x="580"/>
        <item x="345"/>
        <item x="111"/>
        <item x="509"/>
        <item x="58"/>
        <item x="11"/>
        <item x="619"/>
        <item x="168"/>
        <item x="645"/>
        <item x="117"/>
        <item x="162"/>
        <item x="685"/>
        <item x="145"/>
        <item x="573"/>
        <item x="230"/>
        <item x="56"/>
        <item x="42"/>
        <item x="576"/>
        <item x="124"/>
        <item x="229"/>
        <item x="211"/>
        <item x="66"/>
        <item x="391"/>
        <item x="364"/>
        <item x="63"/>
        <item x="642"/>
        <item x="259"/>
        <item x="344"/>
        <item x="188"/>
        <item x="452"/>
        <item x="436"/>
        <item x="207"/>
        <item x="144"/>
        <item x="444"/>
        <item x="638"/>
        <item x="566"/>
        <item x="263"/>
        <item x="278"/>
        <item t="default"/>
      </items>
    </pivotField>
    <pivotField showAll="0"/>
    <pivotField showAll="0">
      <items count="7">
        <item x="0"/>
        <item x="3"/>
        <item x="5"/>
        <item x="1"/>
        <item x="4"/>
        <item x="2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axis="axisRow" showAll="0" sortType="descending">
      <items count="41">
        <item x="17"/>
        <item x="4"/>
        <item x="35"/>
        <item x="32"/>
        <item x="15"/>
        <item x="23"/>
        <item x="39"/>
        <item x="8"/>
        <item x="21"/>
        <item x="1"/>
        <item x="5"/>
        <item x="22"/>
        <item x="31"/>
        <item x="11"/>
        <item x="20"/>
        <item x="12"/>
        <item x="30"/>
        <item x="13"/>
        <item x="27"/>
        <item x="36"/>
        <item x="6"/>
        <item x="24"/>
        <item x="0"/>
        <item x="16"/>
        <item x="28"/>
        <item x="29"/>
        <item x="7"/>
        <item x="38"/>
        <item x="10"/>
        <item x="25"/>
        <item x="19"/>
        <item x="33"/>
        <item x="18"/>
        <item x="34"/>
        <item x="9"/>
        <item x="3"/>
        <item x="26"/>
        <item x="14"/>
        <item x="3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showAll="0"/>
    <pivotField dataField="1"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41">
    <i>
      <x/>
    </i>
    <i>
      <x v="37"/>
    </i>
    <i>
      <x v="7"/>
    </i>
    <i>
      <x v="2"/>
    </i>
    <i>
      <x v="32"/>
    </i>
    <i>
      <x v="1"/>
    </i>
    <i>
      <x v="36"/>
    </i>
    <i>
      <x v="16"/>
    </i>
    <i>
      <x v="12"/>
    </i>
    <i>
      <x v="26"/>
    </i>
    <i>
      <x v="28"/>
    </i>
    <i>
      <x v="33"/>
    </i>
    <i>
      <x v="25"/>
    </i>
    <i>
      <x v="15"/>
    </i>
    <i>
      <x v="22"/>
    </i>
    <i>
      <x v="27"/>
    </i>
    <i>
      <x v="11"/>
    </i>
    <i>
      <x v="18"/>
    </i>
    <i>
      <x v="23"/>
    </i>
    <i>
      <x v="24"/>
    </i>
    <i>
      <x v="9"/>
    </i>
    <i>
      <x v="4"/>
    </i>
    <i>
      <x v="13"/>
    </i>
    <i>
      <x v="20"/>
    </i>
    <i>
      <x v="34"/>
    </i>
    <i>
      <x v="29"/>
    </i>
    <i>
      <x v="14"/>
    </i>
    <i>
      <x v="6"/>
    </i>
    <i>
      <x v="5"/>
    </i>
    <i>
      <x v="31"/>
    </i>
    <i>
      <x v="39"/>
    </i>
    <i>
      <x v="8"/>
    </i>
    <i>
      <x v="17"/>
    </i>
    <i>
      <x v="10"/>
    </i>
    <i>
      <x v="21"/>
    </i>
    <i>
      <x v="19"/>
    </i>
    <i>
      <x v="38"/>
    </i>
    <i>
      <x v="35"/>
    </i>
    <i>
      <x v="3"/>
    </i>
    <i>
      <x v="30"/>
    </i>
    <i t="grand">
      <x/>
    </i>
  </rowItems>
  <colItems count="1">
    <i/>
  </colItems>
  <dataFields count="1">
    <dataField name="Somme de CA_Net" fld="10" baseField="5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4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D659B-3F2F-4FD2-ACEA-DA3BD30B07BA}" name="Tableau croisé dynamique7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5" rowHeaderCaption="ANNEE" colHeaderCaption="ANNEE">
  <location ref="R18:S21" firstHeaderRow="1" firstDataRow="1" firstDataCol="1"/>
  <pivotFields count="21">
    <pivotField dataField="1" showAll="0"/>
    <pivotField numFmtId="14" showAll="0">
      <items count="693">
        <item x="62"/>
        <item x="603"/>
        <item x="88"/>
        <item x="414"/>
        <item x="657"/>
        <item x="629"/>
        <item x="688"/>
        <item x="19"/>
        <item x="592"/>
        <item x="578"/>
        <item x="271"/>
        <item x="261"/>
        <item x="321"/>
        <item x="549"/>
        <item x="574"/>
        <item x="604"/>
        <item x="567"/>
        <item x="552"/>
        <item x="61"/>
        <item x="515"/>
        <item x="449"/>
        <item x="178"/>
        <item x="512"/>
        <item x="235"/>
        <item x="64"/>
        <item x="529"/>
        <item x="280"/>
        <item x="90"/>
        <item x="276"/>
        <item x="381"/>
        <item x="506"/>
        <item x="78"/>
        <item x="93"/>
        <item x="13"/>
        <item x="210"/>
        <item x="530"/>
        <item x="209"/>
        <item x="177"/>
        <item x="376"/>
        <item x="564"/>
        <item x="158"/>
        <item x="472"/>
        <item x="265"/>
        <item x="160"/>
        <item x="572"/>
        <item x="593"/>
        <item x="624"/>
        <item x="33"/>
        <item x="544"/>
        <item x="245"/>
        <item x="21"/>
        <item x="132"/>
        <item x="100"/>
        <item x="618"/>
        <item x="672"/>
        <item x="164"/>
        <item x="216"/>
        <item x="99"/>
        <item x="27"/>
        <item x="478"/>
        <item x="689"/>
        <item x="406"/>
        <item x="570"/>
        <item x="501"/>
        <item x="507"/>
        <item x="40"/>
        <item x="415"/>
        <item x="392"/>
        <item x="29"/>
        <item x="223"/>
        <item x="683"/>
        <item x="341"/>
        <item x="469"/>
        <item x="386"/>
        <item x="15"/>
        <item x="423"/>
        <item x="121"/>
        <item x="143"/>
        <item x="519"/>
        <item x="559"/>
        <item x="47"/>
        <item x="575"/>
        <item x="268"/>
        <item x="277"/>
        <item x="690"/>
        <item x="482"/>
        <item x="495"/>
        <item x="527"/>
        <item x="600"/>
        <item x="128"/>
        <item x="36"/>
        <item x="384"/>
        <item x="558"/>
        <item x="492"/>
        <item x="396"/>
        <item x="106"/>
        <item x="281"/>
        <item x="241"/>
        <item x="332"/>
        <item x="307"/>
        <item x="272"/>
        <item x="50"/>
        <item x="126"/>
        <item x="189"/>
        <item x="440"/>
        <item x="568"/>
        <item x="543"/>
        <item x="636"/>
        <item x="91"/>
        <item x="12"/>
        <item x="114"/>
        <item x="358"/>
        <item x="303"/>
        <item x="287"/>
        <item x="185"/>
        <item x="475"/>
        <item x="605"/>
        <item x="608"/>
        <item x="644"/>
        <item x="60"/>
        <item x="548"/>
        <item x="513"/>
        <item x="316"/>
        <item x="675"/>
        <item x="175"/>
        <item x="306"/>
        <item x="424"/>
        <item x="51"/>
        <item x="305"/>
        <item x="677"/>
        <item x="441"/>
        <item x="459"/>
        <item x="353"/>
        <item x="152"/>
        <item x="601"/>
        <item x="176"/>
        <item x="82"/>
        <item x="465"/>
        <item x="155"/>
        <item x="426"/>
        <item x="250"/>
        <item x="563"/>
        <item x="665"/>
        <item x="610"/>
        <item x="667"/>
        <item x="499"/>
        <item x="468"/>
        <item x="68"/>
        <item x="159"/>
        <item x="486"/>
        <item x="378"/>
        <item x="205"/>
        <item x="275"/>
        <item x="194"/>
        <item x="87"/>
        <item x="628"/>
        <item x="37"/>
        <item x="24"/>
        <item x="504"/>
        <item x="451"/>
        <item x="331"/>
        <item x="540"/>
        <item x="355"/>
        <item x="678"/>
        <item x="219"/>
        <item x="242"/>
        <item x="325"/>
        <item x="45"/>
        <item x="101"/>
        <item x="582"/>
        <item x="215"/>
        <item x="232"/>
        <item x="643"/>
        <item x="682"/>
        <item x="547"/>
        <item x="546"/>
        <item x="243"/>
        <item x="434"/>
        <item x="238"/>
        <item x="617"/>
        <item x="497"/>
        <item x="687"/>
        <item x="94"/>
        <item x="25"/>
        <item x="648"/>
        <item x="463"/>
        <item x="288"/>
        <item x="75"/>
        <item x="299"/>
        <item x="632"/>
        <item x="659"/>
        <item x="48"/>
        <item x="462"/>
        <item x="466"/>
        <item x="354"/>
        <item x="253"/>
        <item x="174"/>
        <item x="28"/>
        <item x="419"/>
        <item x="343"/>
        <item x="133"/>
        <item x="671"/>
        <item x="304"/>
        <item x="254"/>
        <item x="171"/>
        <item x="115"/>
        <item x="366"/>
        <item x="173"/>
        <item x="586"/>
        <item x="500"/>
        <item x="118"/>
        <item x="10"/>
        <item x="18"/>
        <item x="113"/>
        <item x="400"/>
        <item x="267"/>
        <item x="151"/>
        <item x="445"/>
        <item x="432"/>
        <item x="521"/>
        <item x="681"/>
        <item x="361"/>
        <item x="611"/>
        <item x="612"/>
        <item x="5"/>
        <item x="673"/>
        <item x="623"/>
        <item x="686"/>
        <item x="104"/>
        <item x="520"/>
        <item x="8"/>
        <item x="218"/>
        <item x="461"/>
        <item x="260"/>
        <item x="405"/>
        <item x="503"/>
        <item x="589"/>
        <item x="363"/>
        <item x="483"/>
        <item x="438"/>
        <item x="511"/>
        <item x="149"/>
        <item x="324"/>
        <item x="295"/>
        <item x="157"/>
        <item x="102"/>
        <item x="208"/>
        <item x="285"/>
        <item x="71"/>
        <item x="431"/>
        <item x="450"/>
        <item x="41"/>
        <item x="258"/>
        <item x="308"/>
        <item x="502"/>
        <item x="9"/>
        <item x="595"/>
        <item x="310"/>
        <item x="237"/>
        <item x="108"/>
        <item x="516"/>
        <item x="395"/>
        <item x="454"/>
        <item x="346"/>
        <item x="537"/>
        <item x="202"/>
        <item x="616"/>
        <item x="596"/>
        <item x="676"/>
        <item x="292"/>
        <item x="32"/>
        <item x="380"/>
        <item x="428"/>
        <item x="356"/>
        <item x="553"/>
        <item x="373"/>
        <item x="360"/>
        <item x="458"/>
        <item x="408"/>
        <item x="369"/>
        <item x="374"/>
        <item x="328"/>
        <item x="73"/>
        <item x="630"/>
        <item x="658"/>
        <item x="234"/>
        <item x="181"/>
        <item x="397"/>
        <item x="336"/>
        <item x="437"/>
        <item x="264"/>
        <item x="161"/>
        <item x="204"/>
        <item x="195"/>
        <item x="455"/>
        <item x="146"/>
        <item x="44"/>
        <item x="136"/>
        <item x="412"/>
        <item x="236"/>
        <item x="255"/>
        <item x="314"/>
        <item x="220"/>
        <item x="620"/>
        <item x="282"/>
        <item x="420"/>
        <item x="634"/>
        <item x="213"/>
        <item x="228"/>
        <item x="266"/>
        <item x="84"/>
        <item x="14"/>
        <item x="129"/>
        <item x="371"/>
        <item x="583"/>
        <item x="389"/>
        <item x="30"/>
        <item x="142"/>
        <item x="523"/>
        <item x="302"/>
        <item x="522"/>
        <item x="198"/>
        <item x="534"/>
        <item x="453"/>
        <item x="273"/>
        <item x="641"/>
        <item x="561"/>
        <item x="359"/>
        <item x="647"/>
        <item x="418"/>
        <item x="252"/>
        <item x="496"/>
        <item x="103"/>
        <item x="590"/>
        <item x="284"/>
        <item x="201"/>
        <item x="137"/>
        <item x="615"/>
        <item x="248"/>
        <item x="105"/>
        <item x="597"/>
        <item x="409"/>
        <item x="422"/>
        <item x="417"/>
        <item x="684"/>
        <item x="166"/>
        <item x="109"/>
        <item x="404"/>
        <item x="169"/>
        <item x="493"/>
        <item x="289"/>
        <item x="320"/>
        <item x="385"/>
        <item x="313"/>
        <item x="112"/>
        <item x="35"/>
        <item x="262"/>
        <item x="125"/>
        <item x="622"/>
        <item x="517"/>
        <item x="222"/>
        <item x="470"/>
        <item x="621"/>
        <item x="286"/>
        <item x="651"/>
        <item x="609"/>
        <item x="95"/>
        <item x="200"/>
        <item x="416"/>
        <item x="631"/>
        <item x="311"/>
        <item x="180"/>
        <item x="279"/>
        <item x="297"/>
        <item x="206"/>
        <item x="425"/>
        <item x="464"/>
        <item x="411"/>
        <item x="351"/>
        <item x="403"/>
        <item x="588"/>
        <item x="226"/>
        <item x="138"/>
        <item x="246"/>
        <item x="489"/>
        <item x="550"/>
        <item x="484"/>
        <item x="498"/>
        <item x="357"/>
        <item x="239"/>
        <item x="640"/>
        <item x="72"/>
        <item x="55"/>
        <item x="481"/>
        <item x="300"/>
        <item x="598"/>
        <item x="398"/>
        <item x="655"/>
        <item x="402"/>
        <item x="49"/>
        <item x="3"/>
        <item x="312"/>
        <item x="656"/>
        <item x="607"/>
        <item x="533"/>
        <item x="433"/>
        <item x="338"/>
        <item x="372"/>
        <item x="98"/>
        <item x="654"/>
        <item x="456"/>
        <item x="430"/>
        <item x="542"/>
        <item x="240"/>
        <item x="131"/>
        <item x="43"/>
        <item x="367"/>
        <item x="594"/>
        <item x="388"/>
        <item x="225"/>
        <item x="536"/>
        <item x="579"/>
        <item x="147"/>
        <item x="379"/>
        <item x="96"/>
        <item x="76"/>
        <item x="34"/>
        <item x="130"/>
        <item x="116"/>
        <item x="625"/>
        <item x="339"/>
        <item x="591"/>
        <item x="691"/>
        <item x="22"/>
        <item x="674"/>
        <item x="330"/>
        <item x="535"/>
        <item x="524"/>
        <item x="350"/>
        <item x="139"/>
        <item x="421"/>
        <item x="81"/>
        <item x="447"/>
        <item x="290"/>
        <item x="186"/>
        <item x="39"/>
        <item x="457"/>
        <item x="477"/>
        <item x="443"/>
        <item x="293"/>
        <item x="394"/>
        <item x="662"/>
        <item x="83"/>
        <item x="97"/>
        <item x="487"/>
        <item x="393"/>
        <item x="199"/>
        <item x="20"/>
        <item x="294"/>
        <item x="156"/>
        <item x="334"/>
        <item x="577"/>
        <item x="627"/>
        <item x="170"/>
        <item x="460"/>
        <item x="545"/>
        <item x="488"/>
        <item x="555"/>
        <item x="528"/>
        <item x="318"/>
        <item x="184"/>
        <item x="244"/>
        <item x="669"/>
        <item x="599"/>
        <item x="382"/>
        <item x="167"/>
        <item x="77"/>
        <item x="637"/>
        <item x="471"/>
        <item x="494"/>
        <item x="474"/>
        <item x="518"/>
        <item x="532"/>
        <item x="476"/>
        <item x="508"/>
        <item x="446"/>
        <item x="663"/>
        <item x="635"/>
        <item x="442"/>
        <item x="365"/>
        <item x="666"/>
        <item x="348"/>
        <item x="150"/>
        <item x="661"/>
        <item x="660"/>
        <item x="342"/>
        <item x="296"/>
        <item x="560"/>
        <item x="347"/>
        <item x="80"/>
        <item x="17"/>
        <item x="525"/>
        <item x="401"/>
        <item x="270"/>
        <item x="53"/>
        <item x="505"/>
        <item x="633"/>
        <item x="614"/>
        <item x="410"/>
        <item x="485"/>
        <item x="491"/>
        <item x="16"/>
        <item x="679"/>
        <item x="217"/>
        <item x="26"/>
        <item x="427"/>
        <item x="148"/>
        <item x="626"/>
        <item x="390"/>
        <item x="606"/>
        <item x="123"/>
        <item x="309"/>
        <item x="247"/>
        <item x="54"/>
        <item x="473"/>
        <item x="664"/>
        <item x="368"/>
        <item x="670"/>
        <item x="135"/>
        <item x="57"/>
        <item x="196"/>
        <item x="52"/>
        <item x="74"/>
        <item x="571"/>
        <item x="4"/>
        <item x="214"/>
        <item x="31"/>
        <item x="335"/>
        <item x="352"/>
        <item x="383"/>
        <item x="298"/>
        <item x="554"/>
        <item x="127"/>
        <item x="650"/>
        <item x="183"/>
        <item x="59"/>
        <item x="652"/>
        <item x="1"/>
        <item x="322"/>
        <item x="110"/>
        <item x="587"/>
        <item x="448"/>
        <item x="141"/>
        <item x="283"/>
        <item x="301"/>
        <item x="315"/>
        <item x="257"/>
        <item x="581"/>
        <item x="413"/>
        <item x="319"/>
        <item x="46"/>
        <item x="251"/>
        <item x="193"/>
        <item x="197"/>
        <item x="480"/>
        <item x="86"/>
        <item x="274"/>
        <item x="370"/>
        <item x="79"/>
        <item x="349"/>
        <item x="668"/>
        <item x="551"/>
        <item x="69"/>
        <item x="119"/>
        <item x="203"/>
        <item x="585"/>
        <item x="680"/>
        <item x="122"/>
        <item x="224"/>
        <item x="92"/>
        <item x="557"/>
        <item x="89"/>
        <item x="326"/>
        <item x="490"/>
        <item x="435"/>
        <item x="646"/>
        <item x="556"/>
        <item x="163"/>
        <item x="153"/>
        <item x="70"/>
        <item x="192"/>
        <item x="399"/>
        <item x="182"/>
        <item x="221"/>
        <item x="407"/>
        <item x="256"/>
        <item x="531"/>
        <item x="602"/>
        <item x="333"/>
        <item x="337"/>
        <item x="227"/>
        <item x="653"/>
        <item x="154"/>
        <item x="649"/>
        <item x="179"/>
        <item x="291"/>
        <item x="569"/>
        <item x="191"/>
        <item x="187"/>
        <item x="249"/>
        <item x="327"/>
        <item x="190"/>
        <item x="317"/>
        <item x="541"/>
        <item x="362"/>
        <item x="231"/>
        <item x="539"/>
        <item x="639"/>
        <item x="429"/>
        <item x="0"/>
        <item x="7"/>
        <item x="172"/>
        <item x="387"/>
        <item x="120"/>
        <item x="467"/>
        <item x="140"/>
        <item x="340"/>
        <item x="233"/>
        <item x="67"/>
        <item x="212"/>
        <item x="2"/>
        <item x="514"/>
        <item x="23"/>
        <item x="107"/>
        <item x="65"/>
        <item x="165"/>
        <item x="134"/>
        <item x="613"/>
        <item x="375"/>
        <item x="439"/>
        <item x="562"/>
        <item x="526"/>
        <item x="538"/>
        <item x="584"/>
        <item x="323"/>
        <item x="269"/>
        <item x="377"/>
        <item x="565"/>
        <item x="329"/>
        <item x="38"/>
        <item x="6"/>
        <item x="479"/>
        <item x="85"/>
        <item x="510"/>
        <item x="580"/>
        <item x="345"/>
        <item x="111"/>
        <item x="509"/>
        <item x="58"/>
        <item x="11"/>
        <item x="619"/>
        <item x="168"/>
        <item x="645"/>
        <item x="117"/>
        <item x="162"/>
        <item x="685"/>
        <item x="145"/>
        <item x="573"/>
        <item x="230"/>
        <item x="56"/>
        <item x="42"/>
        <item x="576"/>
        <item x="124"/>
        <item x="229"/>
        <item x="211"/>
        <item x="66"/>
        <item x="391"/>
        <item x="364"/>
        <item x="63"/>
        <item x="642"/>
        <item x="259"/>
        <item x="344"/>
        <item x="188"/>
        <item x="452"/>
        <item x="436"/>
        <item x="207"/>
        <item x="144"/>
        <item x="444"/>
        <item x="638"/>
        <item x="566"/>
        <item x="263"/>
        <item x="278"/>
        <item t="default"/>
      </items>
    </pivotField>
    <pivotField showAll="0"/>
    <pivotField showAll="0">
      <items count="7">
        <item x="0"/>
        <item x="3"/>
        <item x="5"/>
        <item x="1"/>
        <item x="4"/>
        <item x="2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41">
        <item x="17"/>
        <item x="3"/>
        <item x="4"/>
        <item x="35"/>
        <item x="32"/>
        <item x="15"/>
        <item x="23"/>
        <item x="39"/>
        <item x="8"/>
        <item x="21"/>
        <item x="1"/>
        <item x="5"/>
        <item x="22"/>
        <item x="31"/>
        <item x="11"/>
        <item x="20"/>
        <item x="12"/>
        <item x="30"/>
        <item x="13"/>
        <item x="27"/>
        <item x="36"/>
        <item x="6"/>
        <item x="24"/>
        <item x="0"/>
        <item x="16"/>
        <item x="28"/>
        <item x="29"/>
        <item x="7"/>
        <item x="38"/>
        <item x="10"/>
        <item x="25"/>
        <item x="19"/>
        <item x="33"/>
        <item x="18"/>
        <item x="34"/>
        <item x="9"/>
        <item x="26"/>
        <item x="14"/>
        <item x="37"/>
        <item x="2"/>
        <item t="default"/>
      </items>
    </pivotField>
    <pivotField showAll="0"/>
    <pivotField numFmtId="1" showAll="0"/>
    <pivotField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Nombre de ID_Commande" fld="0" subtotal="count" baseField="5" baseItem="0"/>
  </dataFields>
  <chartFormats count="3"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26AF5-A991-43BC-8691-471C3E77CD37}" name="Tableau croisé dynamique2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1" rowHeaderCaption="VENDEUR">
  <location ref="H3:J14" firstHeaderRow="0" firstDataRow="1" firstDataCol="1"/>
  <pivotFields count="21">
    <pivotField dataField="1" showAll="0"/>
    <pivotField numFmtId="14" showAll="0">
      <items count="693">
        <item x="62"/>
        <item x="603"/>
        <item x="88"/>
        <item x="414"/>
        <item x="657"/>
        <item x="629"/>
        <item x="688"/>
        <item x="19"/>
        <item x="592"/>
        <item x="578"/>
        <item x="271"/>
        <item x="261"/>
        <item x="321"/>
        <item x="549"/>
        <item x="574"/>
        <item x="604"/>
        <item x="567"/>
        <item x="552"/>
        <item x="61"/>
        <item x="515"/>
        <item x="449"/>
        <item x="178"/>
        <item x="512"/>
        <item x="235"/>
        <item x="64"/>
        <item x="529"/>
        <item x="280"/>
        <item x="90"/>
        <item x="276"/>
        <item x="381"/>
        <item x="506"/>
        <item x="78"/>
        <item x="93"/>
        <item x="13"/>
        <item x="210"/>
        <item x="530"/>
        <item x="209"/>
        <item x="177"/>
        <item x="376"/>
        <item x="564"/>
        <item x="158"/>
        <item x="472"/>
        <item x="265"/>
        <item x="160"/>
        <item x="572"/>
        <item x="593"/>
        <item x="624"/>
        <item x="33"/>
        <item x="544"/>
        <item x="245"/>
        <item x="21"/>
        <item x="132"/>
        <item x="100"/>
        <item x="618"/>
        <item x="672"/>
        <item x="164"/>
        <item x="216"/>
        <item x="99"/>
        <item x="27"/>
        <item x="478"/>
        <item x="689"/>
        <item x="406"/>
        <item x="570"/>
        <item x="501"/>
        <item x="507"/>
        <item x="40"/>
        <item x="415"/>
        <item x="392"/>
        <item x="29"/>
        <item x="223"/>
        <item x="683"/>
        <item x="341"/>
        <item x="469"/>
        <item x="386"/>
        <item x="15"/>
        <item x="423"/>
        <item x="121"/>
        <item x="143"/>
        <item x="519"/>
        <item x="559"/>
        <item x="47"/>
        <item x="575"/>
        <item x="268"/>
        <item x="277"/>
        <item x="690"/>
        <item x="482"/>
        <item x="495"/>
        <item x="527"/>
        <item x="600"/>
        <item x="128"/>
        <item x="36"/>
        <item x="384"/>
        <item x="558"/>
        <item x="492"/>
        <item x="396"/>
        <item x="106"/>
        <item x="281"/>
        <item x="241"/>
        <item x="332"/>
        <item x="307"/>
        <item x="272"/>
        <item x="50"/>
        <item x="126"/>
        <item x="189"/>
        <item x="440"/>
        <item x="568"/>
        <item x="543"/>
        <item x="636"/>
        <item x="91"/>
        <item x="12"/>
        <item x="114"/>
        <item x="358"/>
        <item x="303"/>
        <item x="287"/>
        <item x="185"/>
        <item x="475"/>
        <item x="605"/>
        <item x="608"/>
        <item x="644"/>
        <item x="60"/>
        <item x="548"/>
        <item x="513"/>
        <item x="316"/>
        <item x="675"/>
        <item x="175"/>
        <item x="306"/>
        <item x="424"/>
        <item x="51"/>
        <item x="305"/>
        <item x="677"/>
        <item x="441"/>
        <item x="459"/>
        <item x="353"/>
        <item x="152"/>
        <item x="601"/>
        <item x="176"/>
        <item x="82"/>
        <item x="465"/>
        <item x="155"/>
        <item x="426"/>
        <item x="250"/>
        <item x="563"/>
        <item x="665"/>
        <item x="610"/>
        <item x="667"/>
        <item x="499"/>
        <item x="468"/>
        <item x="68"/>
        <item x="159"/>
        <item x="486"/>
        <item x="378"/>
        <item x="205"/>
        <item x="275"/>
        <item x="194"/>
        <item x="87"/>
        <item x="628"/>
        <item x="37"/>
        <item x="24"/>
        <item x="504"/>
        <item x="451"/>
        <item x="331"/>
        <item x="540"/>
        <item x="355"/>
        <item x="678"/>
        <item x="219"/>
        <item x="242"/>
        <item x="325"/>
        <item x="45"/>
        <item x="101"/>
        <item x="582"/>
        <item x="215"/>
        <item x="232"/>
        <item x="643"/>
        <item x="682"/>
        <item x="547"/>
        <item x="546"/>
        <item x="243"/>
        <item x="434"/>
        <item x="238"/>
        <item x="617"/>
        <item x="497"/>
        <item x="687"/>
        <item x="94"/>
        <item x="25"/>
        <item x="648"/>
        <item x="463"/>
        <item x="288"/>
        <item x="75"/>
        <item x="299"/>
        <item x="632"/>
        <item x="659"/>
        <item x="48"/>
        <item x="462"/>
        <item x="466"/>
        <item x="354"/>
        <item x="253"/>
        <item x="174"/>
        <item x="28"/>
        <item x="419"/>
        <item x="343"/>
        <item x="133"/>
        <item x="671"/>
        <item x="304"/>
        <item x="254"/>
        <item x="171"/>
        <item x="115"/>
        <item x="366"/>
        <item x="173"/>
        <item x="586"/>
        <item x="500"/>
        <item x="118"/>
        <item x="10"/>
        <item x="18"/>
        <item x="113"/>
        <item x="400"/>
        <item x="267"/>
        <item x="151"/>
        <item x="445"/>
        <item x="432"/>
        <item x="521"/>
        <item x="681"/>
        <item x="361"/>
        <item x="611"/>
        <item x="612"/>
        <item x="5"/>
        <item x="673"/>
        <item x="623"/>
        <item x="686"/>
        <item x="104"/>
        <item x="520"/>
        <item x="8"/>
        <item x="218"/>
        <item x="461"/>
        <item x="260"/>
        <item x="405"/>
        <item x="503"/>
        <item x="589"/>
        <item x="363"/>
        <item x="483"/>
        <item x="438"/>
        <item x="511"/>
        <item x="149"/>
        <item x="324"/>
        <item x="295"/>
        <item x="157"/>
        <item x="102"/>
        <item x="208"/>
        <item x="285"/>
        <item x="71"/>
        <item x="431"/>
        <item x="450"/>
        <item x="41"/>
        <item x="258"/>
        <item x="308"/>
        <item x="502"/>
        <item x="9"/>
        <item x="595"/>
        <item x="310"/>
        <item x="237"/>
        <item x="108"/>
        <item x="516"/>
        <item x="395"/>
        <item x="454"/>
        <item x="346"/>
        <item x="537"/>
        <item x="202"/>
        <item x="616"/>
        <item x="596"/>
        <item x="676"/>
        <item x="292"/>
        <item x="32"/>
        <item x="380"/>
        <item x="428"/>
        <item x="356"/>
        <item x="553"/>
        <item x="373"/>
        <item x="360"/>
        <item x="458"/>
        <item x="408"/>
        <item x="369"/>
        <item x="374"/>
        <item x="328"/>
        <item x="73"/>
        <item x="630"/>
        <item x="658"/>
        <item x="234"/>
        <item x="181"/>
        <item x="397"/>
        <item x="336"/>
        <item x="437"/>
        <item x="264"/>
        <item x="161"/>
        <item x="204"/>
        <item x="195"/>
        <item x="455"/>
        <item x="146"/>
        <item x="44"/>
        <item x="136"/>
        <item x="412"/>
        <item x="236"/>
        <item x="255"/>
        <item x="314"/>
        <item x="220"/>
        <item x="620"/>
        <item x="282"/>
        <item x="420"/>
        <item x="634"/>
        <item x="213"/>
        <item x="228"/>
        <item x="266"/>
        <item x="84"/>
        <item x="14"/>
        <item x="129"/>
        <item x="371"/>
        <item x="583"/>
        <item x="389"/>
        <item x="30"/>
        <item x="142"/>
        <item x="523"/>
        <item x="302"/>
        <item x="522"/>
        <item x="198"/>
        <item x="534"/>
        <item x="453"/>
        <item x="273"/>
        <item x="641"/>
        <item x="561"/>
        <item x="359"/>
        <item x="647"/>
        <item x="418"/>
        <item x="252"/>
        <item x="496"/>
        <item x="103"/>
        <item x="590"/>
        <item x="284"/>
        <item x="201"/>
        <item x="137"/>
        <item x="615"/>
        <item x="248"/>
        <item x="105"/>
        <item x="597"/>
        <item x="409"/>
        <item x="422"/>
        <item x="417"/>
        <item x="684"/>
        <item x="166"/>
        <item x="109"/>
        <item x="404"/>
        <item x="169"/>
        <item x="493"/>
        <item x="289"/>
        <item x="320"/>
        <item x="385"/>
        <item x="313"/>
        <item x="112"/>
        <item x="35"/>
        <item x="262"/>
        <item x="125"/>
        <item x="622"/>
        <item x="517"/>
        <item x="222"/>
        <item x="470"/>
        <item x="621"/>
        <item x="286"/>
        <item x="651"/>
        <item x="609"/>
        <item x="95"/>
        <item x="200"/>
        <item x="416"/>
        <item x="631"/>
        <item x="311"/>
        <item x="180"/>
        <item x="279"/>
        <item x="297"/>
        <item x="206"/>
        <item x="425"/>
        <item x="464"/>
        <item x="411"/>
        <item x="351"/>
        <item x="403"/>
        <item x="588"/>
        <item x="226"/>
        <item x="138"/>
        <item x="246"/>
        <item x="489"/>
        <item x="550"/>
        <item x="484"/>
        <item x="498"/>
        <item x="357"/>
        <item x="239"/>
        <item x="640"/>
        <item x="72"/>
        <item x="55"/>
        <item x="481"/>
        <item x="300"/>
        <item x="598"/>
        <item x="398"/>
        <item x="655"/>
        <item x="402"/>
        <item x="49"/>
        <item x="3"/>
        <item x="312"/>
        <item x="656"/>
        <item x="607"/>
        <item x="533"/>
        <item x="433"/>
        <item x="338"/>
        <item x="372"/>
        <item x="98"/>
        <item x="654"/>
        <item x="456"/>
        <item x="430"/>
        <item x="542"/>
        <item x="240"/>
        <item x="131"/>
        <item x="43"/>
        <item x="367"/>
        <item x="594"/>
        <item x="388"/>
        <item x="225"/>
        <item x="536"/>
        <item x="579"/>
        <item x="147"/>
        <item x="379"/>
        <item x="96"/>
        <item x="76"/>
        <item x="34"/>
        <item x="130"/>
        <item x="116"/>
        <item x="625"/>
        <item x="339"/>
        <item x="591"/>
        <item x="691"/>
        <item x="22"/>
        <item x="674"/>
        <item x="330"/>
        <item x="535"/>
        <item x="524"/>
        <item x="350"/>
        <item x="139"/>
        <item x="421"/>
        <item x="81"/>
        <item x="447"/>
        <item x="290"/>
        <item x="186"/>
        <item x="39"/>
        <item x="457"/>
        <item x="477"/>
        <item x="443"/>
        <item x="293"/>
        <item x="394"/>
        <item x="662"/>
        <item x="83"/>
        <item x="97"/>
        <item x="487"/>
        <item x="393"/>
        <item x="199"/>
        <item x="20"/>
        <item x="294"/>
        <item x="156"/>
        <item x="334"/>
        <item x="577"/>
        <item x="627"/>
        <item x="170"/>
        <item x="460"/>
        <item x="545"/>
        <item x="488"/>
        <item x="555"/>
        <item x="528"/>
        <item x="318"/>
        <item x="184"/>
        <item x="244"/>
        <item x="669"/>
        <item x="599"/>
        <item x="382"/>
        <item x="167"/>
        <item x="77"/>
        <item x="637"/>
        <item x="471"/>
        <item x="494"/>
        <item x="474"/>
        <item x="518"/>
        <item x="532"/>
        <item x="476"/>
        <item x="508"/>
        <item x="446"/>
        <item x="663"/>
        <item x="635"/>
        <item x="442"/>
        <item x="365"/>
        <item x="666"/>
        <item x="348"/>
        <item x="150"/>
        <item x="661"/>
        <item x="660"/>
        <item x="342"/>
        <item x="296"/>
        <item x="560"/>
        <item x="347"/>
        <item x="80"/>
        <item x="17"/>
        <item x="525"/>
        <item x="401"/>
        <item x="270"/>
        <item x="53"/>
        <item x="505"/>
        <item x="633"/>
        <item x="614"/>
        <item x="410"/>
        <item x="485"/>
        <item x="491"/>
        <item x="16"/>
        <item x="679"/>
        <item x="217"/>
        <item x="26"/>
        <item x="427"/>
        <item x="148"/>
        <item x="626"/>
        <item x="390"/>
        <item x="606"/>
        <item x="123"/>
        <item x="309"/>
        <item x="247"/>
        <item x="54"/>
        <item x="473"/>
        <item x="664"/>
        <item x="368"/>
        <item x="670"/>
        <item x="135"/>
        <item x="57"/>
        <item x="196"/>
        <item x="52"/>
        <item x="74"/>
        <item x="571"/>
        <item x="4"/>
        <item x="214"/>
        <item x="31"/>
        <item x="335"/>
        <item x="352"/>
        <item x="383"/>
        <item x="298"/>
        <item x="554"/>
        <item x="127"/>
        <item x="650"/>
        <item x="183"/>
        <item x="59"/>
        <item x="652"/>
        <item x="1"/>
        <item x="322"/>
        <item x="110"/>
        <item x="587"/>
        <item x="448"/>
        <item x="141"/>
        <item x="283"/>
        <item x="301"/>
        <item x="315"/>
        <item x="257"/>
        <item x="581"/>
        <item x="413"/>
        <item x="319"/>
        <item x="46"/>
        <item x="251"/>
        <item x="193"/>
        <item x="197"/>
        <item x="480"/>
        <item x="86"/>
        <item x="274"/>
        <item x="370"/>
        <item x="79"/>
        <item x="349"/>
        <item x="668"/>
        <item x="551"/>
        <item x="69"/>
        <item x="119"/>
        <item x="203"/>
        <item x="585"/>
        <item x="680"/>
        <item x="122"/>
        <item x="224"/>
        <item x="92"/>
        <item x="557"/>
        <item x="89"/>
        <item x="326"/>
        <item x="490"/>
        <item x="435"/>
        <item x="646"/>
        <item x="556"/>
        <item x="163"/>
        <item x="153"/>
        <item x="70"/>
        <item x="192"/>
        <item x="399"/>
        <item x="182"/>
        <item x="221"/>
        <item x="407"/>
        <item x="256"/>
        <item x="531"/>
        <item x="602"/>
        <item x="333"/>
        <item x="337"/>
        <item x="227"/>
        <item x="653"/>
        <item x="154"/>
        <item x="649"/>
        <item x="179"/>
        <item x="291"/>
        <item x="569"/>
        <item x="191"/>
        <item x="187"/>
        <item x="249"/>
        <item x="327"/>
        <item x="190"/>
        <item x="317"/>
        <item x="541"/>
        <item x="362"/>
        <item x="231"/>
        <item x="539"/>
        <item x="639"/>
        <item x="429"/>
        <item x="0"/>
        <item x="7"/>
        <item x="172"/>
        <item x="387"/>
        <item x="120"/>
        <item x="467"/>
        <item x="140"/>
        <item x="340"/>
        <item x="233"/>
        <item x="67"/>
        <item x="212"/>
        <item x="2"/>
        <item x="514"/>
        <item x="23"/>
        <item x="107"/>
        <item x="65"/>
        <item x="165"/>
        <item x="134"/>
        <item x="613"/>
        <item x="375"/>
        <item x="439"/>
        <item x="562"/>
        <item x="526"/>
        <item x="538"/>
        <item x="584"/>
        <item x="323"/>
        <item x="269"/>
        <item x="377"/>
        <item x="565"/>
        <item x="329"/>
        <item x="38"/>
        <item x="6"/>
        <item x="479"/>
        <item x="85"/>
        <item x="510"/>
        <item x="580"/>
        <item x="345"/>
        <item x="111"/>
        <item x="509"/>
        <item x="58"/>
        <item x="11"/>
        <item x="619"/>
        <item x="168"/>
        <item x="645"/>
        <item x="117"/>
        <item x="162"/>
        <item x="685"/>
        <item x="145"/>
        <item x="573"/>
        <item x="230"/>
        <item x="56"/>
        <item x="42"/>
        <item x="576"/>
        <item x="124"/>
        <item x="229"/>
        <item x="211"/>
        <item x="66"/>
        <item x="391"/>
        <item x="364"/>
        <item x="63"/>
        <item x="642"/>
        <item x="259"/>
        <item x="344"/>
        <item x="188"/>
        <item x="452"/>
        <item x="436"/>
        <item x="207"/>
        <item x="144"/>
        <item x="444"/>
        <item x="638"/>
        <item x="566"/>
        <item x="263"/>
        <item x="278"/>
        <item t="default"/>
      </items>
    </pivotField>
    <pivotField axis="axisRow" showAll="0" sortType="descending">
      <items count="11">
        <item x="9"/>
        <item x="5"/>
        <item x="1"/>
        <item x="7"/>
        <item x="0"/>
        <item x="4"/>
        <item x="3"/>
        <item x="6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3"/>
        <item x="5"/>
        <item x="1"/>
        <item x="4"/>
        <item x="2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numFmtId="1" showAll="0"/>
    <pivotField showAll="0"/>
    <pivotField showAll="0"/>
    <pivotField dataField="1"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11">
    <i>
      <x v="9"/>
    </i>
    <i>
      <x v="3"/>
    </i>
    <i>
      <x v="6"/>
    </i>
    <i>
      <x v="1"/>
    </i>
    <i>
      <x v="7"/>
    </i>
    <i>
      <x/>
    </i>
    <i>
      <x v="2"/>
    </i>
    <i>
      <x v="8"/>
    </i>
    <i>
      <x v="5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CA_Net" fld="10" baseField="2" baseItem="1"/>
    <dataField name="Nombre de ID_Commande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BEE55-1D9F-46C5-A4B2-6EC8395446DD}" name="'Classement des vendeurs par CA Net'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11" rowHeaderCaption="VENDEUR">
  <location ref="E3:F14" firstHeaderRow="1" firstDataRow="1" firstDataCol="1"/>
  <pivotFields count="21">
    <pivotField showAll="0"/>
    <pivotField numFmtId="14" showAll="0">
      <items count="693">
        <item x="62"/>
        <item x="603"/>
        <item x="88"/>
        <item x="414"/>
        <item x="657"/>
        <item x="629"/>
        <item x="688"/>
        <item x="19"/>
        <item x="592"/>
        <item x="578"/>
        <item x="271"/>
        <item x="261"/>
        <item x="321"/>
        <item x="549"/>
        <item x="574"/>
        <item x="604"/>
        <item x="567"/>
        <item x="552"/>
        <item x="61"/>
        <item x="515"/>
        <item x="449"/>
        <item x="178"/>
        <item x="512"/>
        <item x="235"/>
        <item x="64"/>
        <item x="529"/>
        <item x="280"/>
        <item x="90"/>
        <item x="276"/>
        <item x="381"/>
        <item x="506"/>
        <item x="78"/>
        <item x="93"/>
        <item x="13"/>
        <item x="210"/>
        <item x="530"/>
        <item x="209"/>
        <item x="177"/>
        <item x="376"/>
        <item x="564"/>
        <item x="158"/>
        <item x="472"/>
        <item x="265"/>
        <item x="160"/>
        <item x="572"/>
        <item x="593"/>
        <item x="624"/>
        <item x="33"/>
        <item x="544"/>
        <item x="245"/>
        <item x="21"/>
        <item x="132"/>
        <item x="100"/>
        <item x="618"/>
        <item x="672"/>
        <item x="164"/>
        <item x="216"/>
        <item x="99"/>
        <item x="27"/>
        <item x="478"/>
        <item x="689"/>
        <item x="406"/>
        <item x="570"/>
        <item x="501"/>
        <item x="507"/>
        <item x="40"/>
        <item x="415"/>
        <item x="392"/>
        <item x="29"/>
        <item x="223"/>
        <item x="683"/>
        <item x="341"/>
        <item x="469"/>
        <item x="386"/>
        <item x="15"/>
        <item x="423"/>
        <item x="121"/>
        <item x="143"/>
        <item x="519"/>
        <item x="559"/>
        <item x="47"/>
        <item x="575"/>
        <item x="268"/>
        <item x="277"/>
        <item x="690"/>
        <item x="482"/>
        <item x="495"/>
        <item x="527"/>
        <item x="600"/>
        <item x="128"/>
        <item x="36"/>
        <item x="384"/>
        <item x="558"/>
        <item x="492"/>
        <item x="396"/>
        <item x="106"/>
        <item x="281"/>
        <item x="241"/>
        <item x="332"/>
        <item x="307"/>
        <item x="272"/>
        <item x="50"/>
        <item x="126"/>
        <item x="189"/>
        <item x="440"/>
        <item x="568"/>
        <item x="543"/>
        <item x="636"/>
        <item x="91"/>
        <item x="12"/>
        <item x="114"/>
        <item x="358"/>
        <item x="303"/>
        <item x="287"/>
        <item x="185"/>
        <item x="475"/>
        <item x="605"/>
        <item x="608"/>
        <item x="644"/>
        <item x="60"/>
        <item x="548"/>
        <item x="513"/>
        <item x="316"/>
        <item x="675"/>
        <item x="175"/>
        <item x="306"/>
        <item x="424"/>
        <item x="51"/>
        <item x="305"/>
        <item x="677"/>
        <item x="441"/>
        <item x="459"/>
        <item x="353"/>
        <item x="152"/>
        <item x="601"/>
        <item x="176"/>
        <item x="82"/>
        <item x="465"/>
        <item x="155"/>
        <item x="426"/>
        <item x="250"/>
        <item x="563"/>
        <item x="665"/>
        <item x="610"/>
        <item x="667"/>
        <item x="499"/>
        <item x="468"/>
        <item x="68"/>
        <item x="159"/>
        <item x="486"/>
        <item x="378"/>
        <item x="205"/>
        <item x="275"/>
        <item x="194"/>
        <item x="87"/>
        <item x="628"/>
        <item x="37"/>
        <item x="24"/>
        <item x="504"/>
        <item x="451"/>
        <item x="331"/>
        <item x="540"/>
        <item x="355"/>
        <item x="678"/>
        <item x="219"/>
        <item x="242"/>
        <item x="325"/>
        <item x="45"/>
        <item x="101"/>
        <item x="582"/>
        <item x="215"/>
        <item x="232"/>
        <item x="643"/>
        <item x="682"/>
        <item x="547"/>
        <item x="546"/>
        <item x="243"/>
        <item x="434"/>
        <item x="238"/>
        <item x="617"/>
        <item x="497"/>
        <item x="687"/>
        <item x="94"/>
        <item x="25"/>
        <item x="648"/>
        <item x="463"/>
        <item x="288"/>
        <item x="75"/>
        <item x="299"/>
        <item x="632"/>
        <item x="659"/>
        <item x="48"/>
        <item x="462"/>
        <item x="466"/>
        <item x="354"/>
        <item x="253"/>
        <item x="174"/>
        <item x="28"/>
        <item x="419"/>
        <item x="343"/>
        <item x="133"/>
        <item x="671"/>
        <item x="304"/>
        <item x="254"/>
        <item x="171"/>
        <item x="115"/>
        <item x="366"/>
        <item x="173"/>
        <item x="586"/>
        <item x="500"/>
        <item x="118"/>
        <item x="10"/>
        <item x="18"/>
        <item x="113"/>
        <item x="400"/>
        <item x="267"/>
        <item x="151"/>
        <item x="445"/>
        <item x="432"/>
        <item x="521"/>
        <item x="681"/>
        <item x="361"/>
        <item x="611"/>
        <item x="612"/>
        <item x="5"/>
        <item x="673"/>
        <item x="623"/>
        <item x="686"/>
        <item x="104"/>
        <item x="520"/>
        <item x="8"/>
        <item x="218"/>
        <item x="461"/>
        <item x="260"/>
        <item x="405"/>
        <item x="503"/>
        <item x="589"/>
        <item x="363"/>
        <item x="483"/>
        <item x="438"/>
        <item x="511"/>
        <item x="149"/>
        <item x="324"/>
        <item x="295"/>
        <item x="157"/>
        <item x="102"/>
        <item x="208"/>
        <item x="285"/>
        <item x="71"/>
        <item x="431"/>
        <item x="450"/>
        <item x="41"/>
        <item x="258"/>
        <item x="308"/>
        <item x="502"/>
        <item x="9"/>
        <item x="595"/>
        <item x="310"/>
        <item x="237"/>
        <item x="108"/>
        <item x="516"/>
        <item x="395"/>
        <item x="454"/>
        <item x="346"/>
        <item x="537"/>
        <item x="202"/>
        <item x="616"/>
        <item x="596"/>
        <item x="676"/>
        <item x="292"/>
        <item x="32"/>
        <item x="380"/>
        <item x="428"/>
        <item x="356"/>
        <item x="553"/>
        <item x="373"/>
        <item x="360"/>
        <item x="458"/>
        <item x="408"/>
        <item x="369"/>
        <item x="374"/>
        <item x="328"/>
        <item x="73"/>
        <item x="630"/>
        <item x="658"/>
        <item x="234"/>
        <item x="181"/>
        <item x="397"/>
        <item x="336"/>
        <item x="437"/>
        <item x="264"/>
        <item x="161"/>
        <item x="204"/>
        <item x="195"/>
        <item x="455"/>
        <item x="146"/>
        <item x="44"/>
        <item x="136"/>
        <item x="412"/>
        <item x="236"/>
        <item x="255"/>
        <item x="314"/>
        <item x="220"/>
        <item x="620"/>
        <item x="282"/>
        <item x="420"/>
        <item x="634"/>
        <item x="213"/>
        <item x="228"/>
        <item x="266"/>
        <item x="84"/>
        <item x="14"/>
        <item x="129"/>
        <item x="371"/>
        <item x="583"/>
        <item x="389"/>
        <item x="30"/>
        <item x="142"/>
        <item x="523"/>
        <item x="302"/>
        <item x="522"/>
        <item x="198"/>
        <item x="534"/>
        <item x="453"/>
        <item x="273"/>
        <item x="641"/>
        <item x="561"/>
        <item x="359"/>
        <item x="647"/>
        <item x="418"/>
        <item x="252"/>
        <item x="496"/>
        <item x="103"/>
        <item x="590"/>
        <item x="284"/>
        <item x="201"/>
        <item x="137"/>
        <item x="615"/>
        <item x="248"/>
        <item x="105"/>
        <item x="597"/>
        <item x="409"/>
        <item x="422"/>
        <item x="417"/>
        <item x="684"/>
        <item x="166"/>
        <item x="109"/>
        <item x="404"/>
        <item x="169"/>
        <item x="493"/>
        <item x="289"/>
        <item x="320"/>
        <item x="385"/>
        <item x="313"/>
        <item x="112"/>
        <item x="35"/>
        <item x="262"/>
        <item x="125"/>
        <item x="622"/>
        <item x="517"/>
        <item x="222"/>
        <item x="470"/>
        <item x="621"/>
        <item x="286"/>
        <item x="651"/>
        <item x="609"/>
        <item x="95"/>
        <item x="200"/>
        <item x="416"/>
        <item x="631"/>
        <item x="311"/>
        <item x="180"/>
        <item x="279"/>
        <item x="297"/>
        <item x="206"/>
        <item x="425"/>
        <item x="464"/>
        <item x="411"/>
        <item x="351"/>
        <item x="403"/>
        <item x="588"/>
        <item x="226"/>
        <item x="138"/>
        <item x="246"/>
        <item x="489"/>
        <item x="550"/>
        <item x="484"/>
        <item x="498"/>
        <item x="357"/>
        <item x="239"/>
        <item x="640"/>
        <item x="72"/>
        <item x="55"/>
        <item x="481"/>
        <item x="300"/>
        <item x="598"/>
        <item x="398"/>
        <item x="655"/>
        <item x="402"/>
        <item x="49"/>
        <item x="3"/>
        <item x="312"/>
        <item x="656"/>
        <item x="607"/>
        <item x="533"/>
        <item x="433"/>
        <item x="338"/>
        <item x="372"/>
        <item x="98"/>
        <item x="654"/>
        <item x="456"/>
        <item x="430"/>
        <item x="542"/>
        <item x="240"/>
        <item x="131"/>
        <item x="43"/>
        <item x="367"/>
        <item x="594"/>
        <item x="388"/>
        <item x="225"/>
        <item x="536"/>
        <item x="579"/>
        <item x="147"/>
        <item x="379"/>
        <item x="96"/>
        <item x="76"/>
        <item x="34"/>
        <item x="130"/>
        <item x="116"/>
        <item x="625"/>
        <item x="339"/>
        <item x="591"/>
        <item x="691"/>
        <item x="22"/>
        <item x="674"/>
        <item x="330"/>
        <item x="535"/>
        <item x="524"/>
        <item x="350"/>
        <item x="139"/>
        <item x="421"/>
        <item x="81"/>
        <item x="447"/>
        <item x="290"/>
        <item x="186"/>
        <item x="39"/>
        <item x="457"/>
        <item x="477"/>
        <item x="443"/>
        <item x="293"/>
        <item x="394"/>
        <item x="662"/>
        <item x="83"/>
        <item x="97"/>
        <item x="487"/>
        <item x="393"/>
        <item x="199"/>
        <item x="20"/>
        <item x="294"/>
        <item x="156"/>
        <item x="334"/>
        <item x="577"/>
        <item x="627"/>
        <item x="170"/>
        <item x="460"/>
        <item x="545"/>
        <item x="488"/>
        <item x="555"/>
        <item x="528"/>
        <item x="318"/>
        <item x="184"/>
        <item x="244"/>
        <item x="669"/>
        <item x="599"/>
        <item x="382"/>
        <item x="167"/>
        <item x="77"/>
        <item x="637"/>
        <item x="471"/>
        <item x="494"/>
        <item x="474"/>
        <item x="518"/>
        <item x="532"/>
        <item x="476"/>
        <item x="508"/>
        <item x="446"/>
        <item x="663"/>
        <item x="635"/>
        <item x="442"/>
        <item x="365"/>
        <item x="666"/>
        <item x="348"/>
        <item x="150"/>
        <item x="661"/>
        <item x="660"/>
        <item x="342"/>
        <item x="296"/>
        <item x="560"/>
        <item x="347"/>
        <item x="80"/>
        <item x="17"/>
        <item x="525"/>
        <item x="401"/>
        <item x="270"/>
        <item x="53"/>
        <item x="505"/>
        <item x="633"/>
        <item x="614"/>
        <item x="410"/>
        <item x="485"/>
        <item x="491"/>
        <item x="16"/>
        <item x="679"/>
        <item x="217"/>
        <item x="26"/>
        <item x="427"/>
        <item x="148"/>
        <item x="626"/>
        <item x="390"/>
        <item x="606"/>
        <item x="123"/>
        <item x="309"/>
        <item x="247"/>
        <item x="54"/>
        <item x="473"/>
        <item x="664"/>
        <item x="368"/>
        <item x="670"/>
        <item x="135"/>
        <item x="57"/>
        <item x="196"/>
        <item x="52"/>
        <item x="74"/>
        <item x="571"/>
        <item x="4"/>
        <item x="214"/>
        <item x="31"/>
        <item x="335"/>
        <item x="352"/>
        <item x="383"/>
        <item x="298"/>
        <item x="554"/>
        <item x="127"/>
        <item x="650"/>
        <item x="183"/>
        <item x="59"/>
        <item x="652"/>
        <item x="1"/>
        <item x="322"/>
        <item x="110"/>
        <item x="587"/>
        <item x="448"/>
        <item x="141"/>
        <item x="283"/>
        <item x="301"/>
        <item x="315"/>
        <item x="257"/>
        <item x="581"/>
        <item x="413"/>
        <item x="319"/>
        <item x="46"/>
        <item x="251"/>
        <item x="193"/>
        <item x="197"/>
        <item x="480"/>
        <item x="86"/>
        <item x="274"/>
        <item x="370"/>
        <item x="79"/>
        <item x="349"/>
        <item x="668"/>
        <item x="551"/>
        <item x="69"/>
        <item x="119"/>
        <item x="203"/>
        <item x="585"/>
        <item x="680"/>
        <item x="122"/>
        <item x="224"/>
        <item x="92"/>
        <item x="557"/>
        <item x="89"/>
        <item x="326"/>
        <item x="490"/>
        <item x="435"/>
        <item x="646"/>
        <item x="556"/>
        <item x="163"/>
        <item x="153"/>
        <item x="70"/>
        <item x="192"/>
        <item x="399"/>
        <item x="182"/>
        <item x="221"/>
        <item x="407"/>
        <item x="256"/>
        <item x="531"/>
        <item x="602"/>
        <item x="333"/>
        <item x="337"/>
        <item x="227"/>
        <item x="653"/>
        <item x="154"/>
        <item x="649"/>
        <item x="179"/>
        <item x="291"/>
        <item x="569"/>
        <item x="191"/>
        <item x="187"/>
        <item x="249"/>
        <item x="327"/>
        <item x="190"/>
        <item x="317"/>
        <item x="541"/>
        <item x="362"/>
        <item x="231"/>
        <item x="539"/>
        <item x="639"/>
        <item x="429"/>
        <item x="0"/>
        <item x="7"/>
        <item x="172"/>
        <item x="387"/>
        <item x="120"/>
        <item x="467"/>
        <item x="140"/>
        <item x="340"/>
        <item x="233"/>
        <item x="67"/>
        <item x="212"/>
        <item x="2"/>
        <item x="514"/>
        <item x="23"/>
        <item x="107"/>
        <item x="65"/>
        <item x="165"/>
        <item x="134"/>
        <item x="613"/>
        <item x="375"/>
        <item x="439"/>
        <item x="562"/>
        <item x="526"/>
        <item x="538"/>
        <item x="584"/>
        <item x="323"/>
        <item x="269"/>
        <item x="377"/>
        <item x="565"/>
        <item x="329"/>
        <item x="38"/>
        <item x="6"/>
        <item x="479"/>
        <item x="85"/>
        <item x="510"/>
        <item x="580"/>
        <item x="345"/>
        <item x="111"/>
        <item x="509"/>
        <item x="58"/>
        <item x="11"/>
        <item x="619"/>
        <item x="168"/>
        <item x="645"/>
        <item x="117"/>
        <item x="162"/>
        <item x="685"/>
        <item x="145"/>
        <item x="573"/>
        <item x="230"/>
        <item x="56"/>
        <item x="42"/>
        <item x="576"/>
        <item x="124"/>
        <item x="229"/>
        <item x="211"/>
        <item x="66"/>
        <item x="391"/>
        <item x="364"/>
        <item x="63"/>
        <item x="642"/>
        <item x="259"/>
        <item x="344"/>
        <item x="188"/>
        <item x="452"/>
        <item x="436"/>
        <item x="207"/>
        <item x="144"/>
        <item x="444"/>
        <item x="638"/>
        <item x="566"/>
        <item x="263"/>
        <item x="278"/>
        <item t="default"/>
      </items>
    </pivotField>
    <pivotField axis="axisRow" showAll="0" sortType="descending">
      <items count="11">
        <item x="9"/>
        <item x="5"/>
        <item x="1"/>
        <item x="7"/>
        <item x="0"/>
        <item x="4"/>
        <item x="3"/>
        <item x="6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3"/>
        <item x="5"/>
        <item x="1"/>
        <item x="4"/>
        <item x="2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numFmtId="1" showAll="0"/>
    <pivotField showAll="0"/>
    <pivotField showAll="0"/>
    <pivotField dataField="1"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11">
    <i>
      <x v="9"/>
    </i>
    <i>
      <x v="3"/>
    </i>
    <i>
      <x v="6"/>
    </i>
    <i>
      <x v="1"/>
    </i>
    <i>
      <x v="7"/>
    </i>
    <i>
      <x/>
    </i>
    <i>
      <x v="2"/>
    </i>
    <i>
      <x v="8"/>
    </i>
    <i>
      <x v="5"/>
    </i>
    <i>
      <x v="4"/>
    </i>
    <i t="grand">
      <x/>
    </i>
  </rowItems>
  <colItems count="1">
    <i/>
  </colItems>
  <dataFields count="1">
    <dataField name="Somme de CA_Net" fld="10" baseField="2" baseItem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116F6-4D3E-4A42-8FBD-BA8F2C325BC9}" name="Évolution du CA Net mensuel TradeCo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 rowHeaderCaption="MOIS">
  <location ref="M17:N30" firstHeaderRow="1" firstDataRow="1" firstDataCol="1"/>
  <pivotFields count="21">
    <pivotField showAll="0"/>
    <pivotField numFmtId="14" showAll="0">
      <items count="693">
        <item x="62"/>
        <item x="603"/>
        <item x="88"/>
        <item x="414"/>
        <item x="657"/>
        <item x="629"/>
        <item x="688"/>
        <item x="19"/>
        <item x="592"/>
        <item x="578"/>
        <item x="271"/>
        <item x="261"/>
        <item x="321"/>
        <item x="549"/>
        <item x="574"/>
        <item x="604"/>
        <item x="567"/>
        <item x="552"/>
        <item x="61"/>
        <item x="515"/>
        <item x="449"/>
        <item x="178"/>
        <item x="512"/>
        <item x="235"/>
        <item x="64"/>
        <item x="529"/>
        <item x="280"/>
        <item x="90"/>
        <item x="276"/>
        <item x="381"/>
        <item x="506"/>
        <item x="78"/>
        <item x="93"/>
        <item x="13"/>
        <item x="210"/>
        <item x="530"/>
        <item x="209"/>
        <item x="177"/>
        <item x="376"/>
        <item x="564"/>
        <item x="158"/>
        <item x="472"/>
        <item x="265"/>
        <item x="160"/>
        <item x="572"/>
        <item x="593"/>
        <item x="624"/>
        <item x="33"/>
        <item x="544"/>
        <item x="245"/>
        <item x="21"/>
        <item x="132"/>
        <item x="100"/>
        <item x="618"/>
        <item x="672"/>
        <item x="164"/>
        <item x="216"/>
        <item x="99"/>
        <item x="27"/>
        <item x="478"/>
        <item x="689"/>
        <item x="406"/>
        <item x="570"/>
        <item x="501"/>
        <item x="507"/>
        <item x="40"/>
        <item x="415"/>
        <item x="392"/>
        <item x="29"/>
        <item x="223"/>
        <item x="683"/>
        <item x="341"/>
        <item x="469"/>
        <item x="386"/>
        <item x="15"/>
        <item x="423"/>
        <item x="121"/>
        <item x="143"/>
        <item x="519"/>
        <item x="559"/>
        <item x="47"/>
        <item x="575"/>
        <item x="268"/>
        <item x="277"/>
        <item x="690"/>
        <item x="482"/>
        <item x="495"/>
        <item x="527"/>
        <item x="600"/>
        <item x="128"/>
        <item x="36"/>
        <item x="384"/>
        <item x="558"/>
        <item x="492"/>
        <item x="396"/>
        <item x="106"/>
        <item x="281"/>
        <item x="241"/>
        <item x="332"/>
        <item x="307"/>
        <item x="272"/>
        <item x="50"/>
        <item x="126"/>
        <item x="189"/>
        <item x="440"/>
        <item x="568"/>
        <item x="543"/>
        <item x="636"/>
        <item x="91"/>
        <item x="12"/>
        <item x="114"/>
        <item x="358"/>
        <item x="303"/>
        <item x="287"/>
        <item x="185"/>
        <item x="475"/>
        <item x="605"/>
        <item x="608"/>
        <item x="644"/>
        <item x="60"/>
        <item x="548"/>
        <item x="513"/>
        <item x="316"/>
        <item x="675"/>
        <item x="175"/>
        <item x="306"/>
        <item x="424"/>
        <item x="51"/>
        <item x="305"/>
        <item x="677"/>
        <item x="441"/>
        <item x="459"/>
        <item x="353"/>
        <item x="152"/>
        <item x="601"/>
        <item x="176"/>
        <item x="82"/>
        <item x="465"/>
        <item x="155"/>
        <item x="426"/>
        <item x="250"/>
        <item x="563"/>
        <item x="665"/>
        <item x="610"/>
        <item x="667"/>
        <item x="499"/>
        <item x="468"/>
        <item x="68"/>
        <item x="159"/>
        <item x="486"/>
        <item x="378"/>
        <item x="205"/>
        <item x="275"/>
        <item x="194"/>
        <item x="87"/>
        <item x="628"/>
        <item x="37"/>
        <item x="24"/>
        <item x="504"/>
        <item x="451"/>
        <item x="331"/>
        <item x="540"/>
        <item x="355"/>
        <item x="678"/>
        <item x="219"/>
        <item x="242"/>
        <item x="325"/>
        <item x="45"/>
        <item x="101"/>
        <item x="582"/>
        <item x="215"/>
        <item x="232"/>
        <item x="643"/>
        <item x="682"/>
        <item x="547"/>
        <item x="546"/>
        <item x="243"/>
        <item x="434"/>
        <item x="238"/>
        <item x="617"/>
        <item x="497"/>
        <item x="687"/>
        <item x="94"/>
        <item x="25"/>
        <item x="648"/>
        <item x="463"/>
        <item x="288"/>
        <item x="75"/>
        <item x="299"/>
        <item x="632"/>
        <item x="659"/>
        <item x="48"/>
        <item x="462"/>
        <item x="466"/>
        <item x="354"/>
        <item x="253"/>
        <item x="174"/>
        <item x="28"/>
        <item x="419"/>
        <item x="343"/>
        <item x="133"/>
        <item x="671"/>
        <item x="304"/>
        <item x="254"/>
        <item x="171"/>
        <item x="115"/>
        <item x="366"/>
        <item x="173"/>
        <item x="586"/>
        <item x="500"/>
        <item x="118"/>
        <item x="10"/>
        <item x="18"/>
        <item x="113"/>
        <item x="400"/>
        <item x="267"/>
        <item x="151"/>
        <item x="445"/>
        <item x="432"/>
        <item x="521"/>
        <item x="681"/>
        <item x="361"/>
        <item x="611"/>
        <item x="612"/>
        <item x="5"/>
        <item x="673"/>
        <item x="623"/>
        <item x="686"/>
        <item x="104"/>
        <item x="520"/>
        <item x="8"/>
        <item x="218"/>
        <item x="461"/>
        <item x="260"/>
        <item x="405"/>
        <item x="503"/>
        <item x="589"/>
        <item x="363"/>
        <item x="483"/>
        <item x="438"/>
        <item x="511"/>
        <item x="149"/>
        <item x="324"/>
        <item x="295"/>
        <item x="157"/>
        <item x="102"/>
        <item x="208"/>
        <item x="285"/>
        <item x="71"/>
        <item x="431"/>
        <item x="450"/>
        <item x="41"/>
        <item x="258"/>
        <item x="308"/>
        <item x="502"/>
        <item x="9"/>
        <item x="595"/>
        <item x="310"/>
        <item x="237"/>
        <item x="108"/>
        <item x="516"/>
        <item x="395"/>
        <item x="454"/>
        <item x="346"/>
        <item x="537"/>
        <item x="202"/>
        <item x="616"/>
        <item x="596"/>
        <item x="676"/>
        <item x="292"/>
        <item x="32"/>
        <item x="380"/>
        <item x="428"/>
        <item x="356"/>
        <item x="553"/>
        <item x="373"/>
        <item x="360"/>
        <item x="458"/>
        <item x="408"/>
        <item x="369"/>
        <item x="374"/>
        <item x="328"/>
        <item x="73"/>
        <item x="630"/>
        <item x="658"/>
        <item x="234"/>
        <item x="181"/>
        <item x="397"/>
        <item x="336"/>
        <item x="437"/>
        <item x="264"/>
        <item x="161"/>
        <item x="204"/>
        <item x="195"/>
        <item x="455"/>
        <item x="146"/>
        <item x="44"/>
        <item x="136"/>
        <item x="412"/>
        <item x="236"/>
        <item x="255"/>
        <item x="314"/>
        <item x="220"/>
        <item x="620"/>
        <item x="282"/>
        <item x="420"/>
        <item x="634"/>
        <item x="213"/>
        <item x="228"/>
        <item x="266"/>
        <item x="84"/>
        <item x="14"/>
        <item x="129"/>
        <item x="371"/>
        <item x="583"/>
        <item x="389"/>
        <item x="30"/>
        <item x="142"/>
        <item x="523"/>
        <item x="302"/>
        <item x="522"/>
        <item x="198"/>
        <item x="534"/>
        <item x="453"/>
        <item x="273"/>
        <item x="641"/>
        <item x="561"/>
        <item x="359"/>
        <item x="647"/>
        <item x="418"/>
        <item x="252"/>
        <item x="496"/>
        <item x="103"/>
        <item x="590"/>
        <item x="284"/>
        <item x="201"/>
        <item x="137"/>
        <item x="615"/>
        <item x="248"/>
        <item x="105"/>
        <item x="597"/>
        <item x="409"/>
        <item x="422"/>
        <item x="417"/>
        <item x="684"/>
        <item x="166"/>
        <item x="109"/>
        <item x="404"/>
        <item x="169"/>
        <item x="493"/>
        <item x="289"/>
        <item x="320"/>
        <item x="385"/>
        <item x="313"/>
        <item x="112"/>
        <item x="35"/>
        <item x="262"/>
        <item x="125"/>
        <item x="622"/>
        <item x="517"/>
        <item x="222"/>
        <item x="470"/>
        <item x="621"/>
        <item x="286"/>
        <item x="651"/>
        <item x="609"/>
        <item x="95"/>
        <item x="200"/>
        <item x="416"/>
        <item x="631"/>
        <item x="311"/>
        <item x="180"/>
        <item x="279"/>
        <item x="297"/>
        <item x="206"/>
        <item x="425"/>
        <item x="464"/>
        <item x="411"/>
        <item x="351"/>
        <item x="403"/>
        <item x="588"/>
        <item x="226"/>
        <item x="138"/>
        <item x="246"/>
        <item x="489"/>
        <item x="550"/>
        <item x="484"/>
        <item x="498"/>
        <item x="357"/>
        <item x="239"/>
        <item x="640"/>
        <item x="72"/>
        <item x="55"/>
        <item x="481"/>
        <item x="300"/>
        <item x="598"/>
        <item x="398"/>
        <item x="655"/>
        <item x="402"/>
        <item x="49"/>
        <item x="3"/>
        <item x="312"/>
        <item x="656"/>
        <item x="607"/>
        <item x="533"/>
        <item x="433"/>
        <item x="338"/>
        <item x="372"/>
        <item x="98"/>
        <item x="654"/>
        <item x="456"/>
        <item x="430"/>
        <item x="542"/>
        <item x="240"/>
        <item x="131"/>
        <item x="43"/>
        <item x="367"/>
        <item x="594"/>
        <item x="388"/>
        <item x="225"/>
        <item x="536"/>
        <item x="579"/>
        <item x="147"/>
        <item x="379"/>
        <item x="96"/>
        <item x="76"/>
        <item x="34"/>
        <item x="130"/>
        <item x="116"/>
        <item x="625"/>
        <item x="339"/>
        <item x="591"/>
        <item x="691"/>
        <item x="22"/>
        <item x="674"/>
        <item x="330"/>
        <item x="535"/>
        <item x="524"/>
        <item x="350"/>
        <item x="139"/>
        <item x="421"/>
        <item x="81"/>
        <item x="447"/>
        <item x="290"/>
        <item x="186"/>
        <item x="39"/>
        <item x="457"/>
        <item x="477"/>
        <item x="443"/>
        <item x="293"/>
        <item x="394"/>
        <item x="662"/>
        <item x="83"/>
        <item x="97"/>
        <item x="487"/>
        <item x="393"/>
        <item x="199"/>
        <item x="20"/>
        <item x="294"/>
        <item x="156"/>
        <item x="334"/>
        <item x="577"/>
        <item x="627"/>
        <item x="170"/>
        <item x="460"/>
        <item x="545"/>
        <item x="488"/>
        <item x="555"/>
        <item x="528"/>
        <item x="318"/>
        <item x="184"/>
        <item x="244"/>
        <item x="669"/>
        <item x="599"/>
        <item x="382"/>
        <item x="167"/>
        <item x="77"/>
        <item x="637"/>
        <item x="471"/>
        <item x="494"/>
        <item x="474"/>
        <item x="518"/>
        <item x="532"/>
        <item x="476"/>
        <item x="508"/>
        <item x="446"/>
        <item x="663"/>
        <item x="635"/>
        <item x="442"/>
        <item x="365"/>
        <item x="666"/>
        <item x="348"/>
        <item x="150"/>
        <item x="661"/>
        <item x="660"/>
        <item x="342"/>
        <item x="296"/>
        <item x="560"/>
        <item x="347"/>
        <item x="80"/>
        <item x="17"/>
        <item x="525"/>
        <item x="401"/>
        <item x="270"/>
        <item x="53"/>
        <item x="505"/>
        <item x="633"/>
        <item x="614"/>
        <item x="410"/>
        <item x="485"/>
        <item x="491"/>
        <item x="16"/>
        <item x="679"/>
        <item x="217"/>
        <item x="26"/>
        <item x="427"/>
        <item x="148"/>
        <item x="626"/>
        <item x="390"/>
        <item x="606"/>
        <item x="123"/>
        <item x="309"/>
        <item x="247"/>
        <item x="54"/>
        <item x="473"/>
        <item x="664"/>
        <item x="368"/>
        <item x="670"/>
        <item x="135"/>
        <item x="57"/>
        <item x="196"/>
        <item x="52"/>
        <item x="74"/>
        <item x="571"/>
        <item x="4"/>
        <item x="214"/>
        <item x="31"/>
        <item x="335"/>
        <item x="352"/>
        <item x="383"/>
        <item x="298"/>
        <item x="554"/>
        <item x="127"/>
        <item x="650"/>
        <item x="183"/>
        <item x="59"/>
        <item x="652"/>
        <item x="1"/>
        <item x="322"/>
        <item x="110"/>
        <item x="587"/>
        <item x="448"/>
        <item x="141"/>
        <item x="283"/>
        <item x="301"/>
        <item x="315"/>
        <item x="257"/>
        <item x="581"/>
        <item x="413"/>
        <item x="319"/>
        <item x="46"/>
        <item x="251"/>
        <item x="193"/>
        <item x="197"/>
        <item x="480"/>
        <item x="86"/>
        <item x="274"/>
        <item x="370"/>
        <item x="79"/>
        <item x="349"/>
        <item x="668"/>
        <item x="551"/>
        <item x="69"/>
        <item x="119"/>
        <item x="203"/>
        <item x="585"/>
        <item x="680"/>
        <item x="122"/>
        <item x="224"/>
        <item x="92"/>
        <item x="557"/>
        <item x="89"/>
        <item x="326"/>
        <item x="490"/>
        <item x="435"/>
        <item x="646"/>
        <item x="556"/>
        <item x="163"/>
        <item x="153"/>
        <item x="70"/>
        <item x="192"/>
        <item x="399"/>
        <item x="182"/>
        <item x="221"/>
        <item x="407"/>
        <item x="256"/>
        <item x="531"/>
        <item x="602"/>
        <item x="333"/>
        <item x="337"/>
        <item x="227"/>
        <item x="653"/>
        <item x="154"/>
        <item x="649"/>
        <item x="179"/>
        <item x="291"/>
        <item x="569"/>
        <item x="191"/>
        <item x="187"/>
        <item x="249"/>
        <item x="327"/>
        <item x="190"/>
        <item x="317"/>
        <item x="541"/>
        <item x="362"/>
        <item x="231"/>
        <item x="539"/>
        <item x="639"/>
        <item x="429"/>
        <item x="0"/>
        <item x="7"/>
        <item x="172"/>
        <item x="387"/>
        <item x="120"/>
        <item x="467"/>
        <item x="140"/>
        <item x="340"/>
        <item x="233"/>
        <item x="67"/>
        <item x="212"/>
        <item x="2"/>
        <item x="514"/>
        <item x="23"/>
        <item x="107"/>
        <item x="65"/>
        <item x="165"/>
        <item x="134"/>
        <item x="613"/>
        <item x="375"/>
        <item x="439"/>
        <item x="562"/>
        <item x="526"/>
        <item x="538"/>
        <item x="584"/>
        <item x="323"/>
        <item x="269"/>
        <item x="377"/>
        <item x="565"/>
        <item x="329"/>
        <item x="38"/>
        <item x="6"/>
        <item x="479"/>
        <item x="85"/>
        <item x="510"/>
        <item x="580"/>
        <item x="345"/>
        <item x="111"/>
        <item x="509"/>
        <item x="58"/>
        <item x="11"/>
        <item x="619"/>
        <item x="168"/>
        <item x="645"/>
        <item x="117"/>
        <item x="162"/>
        <item x="685"/>
        <item x="145"/>
        <item x="573"/>
        <item x="230"/>
        <item x="56"/>
        <item x="42"/>
        <item x="576"/>
        <item x="124"/>
        <item x="229"/>
        <item x="211"/>
        <item x="66"/>
        <item x="391"/>
        <item x="364"/>
        <item x="63"/>
        <item x="642"/>
        <item x="259"/>
        <item x="344"/>
        <item x="188"/>
        <item x="452"/>
        <item x="436"/>
        <item x="207"/>
        <item x="144"/>
        <item x="444"/>
        <item x="638"/>
        <item x="566"/>
        <item x="263"/>
        <item x="278"/>
        <item t="default"/>
      </items>
    </pivotField>
    <pivotField showAll="0"/>
    <pivotField showAll="0">
      <items count="7">
        <item x="0"/>
        <item x="3"/>
        <item x="5"/>
        <item x="1"/>
        <item x="4"/>
        <item x="2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numFmtId="1" showAll="0"/>
    <pivotField showAll="0"/>
    <pivotField showAll="0"/>
    <pivotField dataField="1" showAll="0"/>
    <pivotField showAll="0">
      <items count="5">
        <item x="2"/>
        <item x="3"/>
        <item x="1"/>
        <item x="0"/>
        <item t="default"/>
      </items>
    </pivotField>
    <pivotField showAll="0"/>
    <pivotField showAll="0">
      <items count="13">
        <item x="9"/>
        <item x="7"/>
        <item x="2"/>
        <item x="6"/>
        <item x="11"/>
        <item x="8"/>
        <item x="3"/>
        <item x="1"/>
        <item x="5"/>
        <item x="0"/>
        <item x="4"/>
        <item x="10"/>
        <item t="default"/>
      </items>
    </pivotField>
    <pivotField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me de CA_Net" fld="10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00C9C-E474-485F-9F9F-A7A44F057814}" name="Tableau croisé dynamique4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rowHeaderCaption="STATUT_COMMANDE">
  <location ref="T3:V8" firstHeaderRow="0" firstDataRow="1" firstDataCol="1"/>
  <pivotFields count="21">
    <pivotField dataField="1" showAll="0"/>
    <pivotField numFmtId="14" showAll="0">
      <items count="693">
        <item x="62"/>
        <item x="603"/>
        <item x="88"/>
        <item x="414"/>
        <item x="657"/>
        <item x="629"/>
        <item x="688"/>
        <item x="19"/>
        <item x="592"/>
        <item x="578"/>
        <item x="271"/>
        <item x="261"/>
        <item x="321"/>
        <item x="549"/>
        <item x="574"/>
        <item x="604"/>
        <item x="567"/>
        <item x="552"/>
        <item x="61"/>
        <item x="515"/>
        <item x="449"/>
        <item x="178"/>
        <item x="512"/>
        <item x="235"/>
        <item x="64"/>
        <item x="529"/>
        <item x="280"/>
        <item x="90"/>
        <item x="276"/>
        <item x="381"/>
        <item x="506"/>
        <item x="78"/>
        <item x="93"/>
        <item x="13"/>
        <item x="210"/>
        <item x="530"/>
        <item x="209"/>
        <item x="177"/>
        <item x="376"/>
        <item x="564"/>
        <item x="158"/>
        <item x="472"/>
        <item x="265"/>
        <item x="160"/>
        <item x="572"/>
        <item x="593"/>
        <item x="624"/>
        <item x="33"/>
        <item x="544"/>
        <item x="245"/>
        <item x="21"/>
        <item x="132"/>
        <item x="100"/>
        <item x="618"/>
        <item x="672"/>
        <item x="164"/>
        <item x="216"/>
        <item x="99"/>
        <item x="27"/>
        <item x="478"/>
        <item x="689"/>
        <item x="406"/>
        <item x="570"/>
        <item x="501"/>
        <item x="507"/>
        <item x="40"/>
        <item x="415"/>
        <item x="392"/>
        <item x="29"/>
        <item x="223"/>
        <item x="683"/>
        <item x="341"/>
        <item x="469"/>
        <item x="386"/>
        <item x="15"/>
        <item x="423"/>
        <item x="121"/>
        <item x="143"/>
        <item x="519"/>
        <item x="559"/>
        <item x="47"/>
        <item x="575"/>
        <item x="268"/>
        <item x="277"/>
        <item x="690"/>
        <item x="482"/>
        <item x="495"/>
        <item x="527"/>
        <item x="600"/>
        <item x="128"/>
        <item x="36"/>
        <item x="384"/>
        <item x="558"/>
        <item x="492"/>
        <item x="396"/>
        <item x="106"/>
        <item x="281"/>
        <item x="241"/>
        <item x="332"/>
        <item x="307"/>
        <item x="272"/>
        <item x="50"/>
        <item x="126"/>
        <item x="189"/>
        <item x="440"/>
        <item x="568"/>
        <item x="543"/>
        <item x="636"/>
        <item x="91"/>
        <item x="12"/>
        <item x="114"/>
        <item x="358"/>
        <item x="303"/>
        <item x="287"/>
        <item x="185"/>
        <item x="475"/>
        <item x="605"/>
        <item x="608"/>
        <item x="644"/>
        <item x="60"/>
        <item x="548"/>
        <item x="513"/>
        <item x="316"/>
        <item x="675"/>
        <item x="175"/>
        <item x="306"/>
        <item x="424"/>
        <item x="51"/>
        <item x="305"/>
        <item x="677"/>
        <item x="441"/>
        <item x="459"/>
        <item x="353"/>
        <item x="152"/>
        <item x="601"/>
        <item x="176"/>
        <item x="82"/>
        <item x="465"/>
        <item x="155"/>
        <item x="426"/>
        <item x="250"/>
        <item x="563"/>
        <item x="665"/>
        <item x="610"/>
        <item x="667"/>
        <item x="499"/>
        <item x="468"/>
        <item x="68"/>
        <item x="159"/>
        <item x="486"/>
        <item x="378"/>
        <item x="205"/>
        <item x="275"/>
        <item x="194"/>
        <item x="87"/>
        <item x="628"/>
        <item x="37"/>
        <item x="24"/>
        <item x="504"/>
        <item x="451"/>
        <item x="331"/>
        <item x="540"/>
        <item x="355"/>
        <item x="678"/>
        <item x="219"/>
        <item x="242"/>
        <item x="325"/>
        <item x="45"/>
        <item x="101"/>
        <item x="582"/>
        <item x="215"/>
        <item x="232"/>
        <item x="643"/>
        <item x="682"/>
        <item x="547"/>
        <item x="546"/>
        <item x="243"/>
        <item x="434"/>
        <item x="238"/>
        <item x="617"/>
        <item x="497"/>
        <item x="687"/>
        <item x="94"/>
        <item x="25"/>
        <item x="648"/>
        <item x="463"/>
        <item x="288"/>
        <item x="75"/>
        <item x="299"/>
        <item x="632"/>
        <item x="659"/>
        <item x="48"/>
        <item x="462"/>
        <item x="466"/>
        <item x="354"/>
        <item x="253"/>
        <item x="174"/>
        <item x="28"/>
        <item x="419"/>
        <item x="343"/>
        <item x="133"/>
        <item x="671"/>
        <item x="304"/>
        <item x="254"/>
        <item x="171"/>
        <item x="115"/>
        <item x="366"/>
        <item x="173"/>
        <item x="586"/>
        <item x="500"/>
        <item x="118"/>
        <item x="10"/>
        <item x="18"/>
        <item x="113"/>
        <item x="400"/>
        <item x="267"/>
        <item x="151"/>
        <item x="445"/>
        <item x="432"/>
        <item x="521"/>
        <item x="681"/>
        <item x="361"/>
        <item x="611"/>
        <item x="612"/>
        <item x="5"/>
        <item x="673"/>
        <item x="623"/>
        <item x="686"/>
        <item x="104"/>
        <item x="520"/>
        <item x="8"/>
        <item x="218"/>
        <item x="461"/>
        <item x="260"/>
        <item x="405"/>
        <item x="503"/>
        <item x="589"/>
        <item x="363"/>
        <item x="483"/>
        <item x="438"/>
        <item x="511"/>
        <item x="149"/>
        <item x="324"/>
        <item x="295"/>
        <item x="157"/>
        <item x="102"/>
        <item x="208"/>
        <item x="285"/>
        <item x="71"/>
        <item x="431"/>
        <item x="450"/>
        <item x="41"/>
        <item x="258"/>
        <item x="308"/>
        <item x="502"/>
        <item x="9"/>
        <item x="595"/>
        <item x="310"/>
        <item x="237"/>
        <item x="108"/>
        <item x="516"/>
        <item x="395"/>
        <item x="454"/>
        <item x="346"/>
        <item x="537"/>
        <item x="202"/>
        <item x="616"/>
        <item x="596"/>
        <item x="676"/>
        <item x="292"/>
        <item x="32"/>
        <item x="380"/>
        <item x="428"/>
        <item x="356"/>
        <item x="553"/>
        <item x="373"/>
        <item x="360"/>
        <item x="458"/>
        <item x="408"/>
        <item x="369"/>
        <item x="374"/>
        <item x="328"/>
        <item x="73"/>
        <item x="630"/>
        <item x="658"/>
        <item x="234"/>
        <item x="181"/>
        <item x="397"/>
        <item x="336"/>
        <item x="437"/>
        <item x="264"/>
        <item x="161"/>
        <item x="204"/>
        <item x="195"/>
        <item x="455"/>
        <item x="146"/>
        <item x="44"/>
        <item x="136"/>
        <item x="412"/>
        <item x="236"/>
        <item x="255"/>
        <item x="314"/>
        <item x="220"/>
        <item x="620"/>
        <item x="282"/>
        <item x="420"/>
        <item x="634"/>
        <item x="213"/>
        <item x="228"/>
        <item x="266"/>
        <item x="84"/>
        <item x="14"/>
        <item x="129"/>
        <item x="371"/>
        <item x="583"/>
        <item x="389"/>
        <item x="30"/>
        <item x="142"/>
        <item x="523"/>
        <item x="302"/>
        <item x="522"/>
        <item x="198"/>
        <item x="534"/>
        <item x="453"/>
        <item x="273"/>
        <item x="641"/>
        <item x="561"/>
        <item x="359"/>
        <item x="647"/>
        <item x="418"/>
        <item x="252"/>
        <item x="496"/>
        <item x="103"/>
        <item x="590"/>
        <item x="284"/>
        <item x="201"/>
        <item x="137"/>
        <item x="615"/>
        <item x="248"/>
        <item x="105"/>
        <item x="597"/>
        <item x="409"/>
        <item x="422"/>
        <item x="417"/>
        <item x="684"/>
        <item x="166"/>
        <item x="109"/>
        <item x="404"/>
        <item x="169"/>
        <item x="493"/>
        <item x="289"/>
        <item x="320"/>
        <item x="385"/>
        <item x="313"/>
        <item x="112"/>
        <item x="35"/>
        <item x="262"/>
        <item x="125"/>
        <item x="622"/>
        <item x="517"/>
        <item x="222"/>
        <item x="470"/>
        <item x="621"/>
        <item x="286"/>
        <item x="651"/>
        <item x="609"/>
        <item x="95"/>
        <item x="200"/>
        <item x="416"/>
        <item x="631"/>
        <item x="311"/>
        <item x="180"/>
        <item x="279"/>
        <item x="297"/>
        <item x="206"/>
        <item x="425"/>
        <item x="464"/>
        <item x="411"/>
        <item x="351"/>
        <item x="403"/>
        <item x="588"/>
        <item x="226"/>
        <item x="138"/>
        <item x="246"/>
        <item x="489"/>
        <item x="550"/>
        <item x="484"/>
        <item x="498"/>
        <item x="357"/>
        <item x="239"/>
        <item x="640"/>
        <item x="72"/>
        <item x="55"/>
        <item x="481"/>
        <item x="300"/>
        <item x="598"/>
        <item x="398"/>
        <item x="655"/>
        <item x="402"/>
        <item x="49"/>
        <item x="3"/>
        <item x="312"/>
        <item x="656"/>
        <item x="607"/>
        <item x="533"/>
        <item x="433"/>
        <item x="338"/>
        <item x="372"/>
        <item x="98"/>
        <item x="654"/>
        <item x="456"/>
        <item x="430"/>
        <item x="542"/>
        <item x="240"/>
        <item x="131"/>
        <item x="43"/>
        <item x="367"/>
        <item x="594"/>
        <item x="388"/>
        <item x="225"/>
        <item x="536"/>
        <item x="579"/>
        <item x="147"/>
        <item x="379"/>
        <item x="96"/>
        <item x="76"/>
        <item x="34"/>
        <item x="130"/>
        <item x="116"/>
        <item x="625"/>
        <item x="339"/>
        <item x="591"/>
        <item x="691"/>
        <item x="22"/>
        <item x="674"/>
        <item x="330"/>
        <item x="535"/>
        <item x="524"/>
        <item x="350"/>
        <item x="139"/>
        <item x="421"/>
        <item x="81"/>
        <item x="447"/>
        <item x="290"/>
        <item x="186"/>
        <item x="39"/>
        <item x="457"/>
        <item x="477"/>
        <item x="443"/>
        <item x="293"/>
        <item x="394"/>
        <item x="662"/>
        <item x="83"/>
        <item x="97"/>
        <item x="487"/>
        <item x="393"/>
        <item x="199"/>
        <item x="20"/>
        <item x="294"/>
        <item x="156"/>
        <item x="334"/>
        <item x="577"/>
        <item x="627"/>
        <item x="170"/>
        <item x="460"/>
        <item x="545"/>
        <item x="488"/>
        <item x="555"/>
        <item x="528"/>
        <item x="318"/>
        <item x="184"/>
        <item x="244"/>
        <item x="669"/>
        <item x="599"/>
        <item x="382"/>
        <item x="167"/>
        <item x="77"/>
        <item x="637"/>
        <item x="471"/>
        <item x="494"/>
        <item x="474"/>
        <item x="518"/>
        <item x="532"/>
        <item x="476"/>
        <item x="508"/>
        <item x="446"/>
        <item x="663"/>
        <item x="635"/>
        <item x="442"/>
        <item x="365"/>
        <item x="666"/>
        <item x="348"/>
        <item x="150"/>
        <item x="661"/>
        <item x="660"/>
        <item x="342"/>
        <item x="296"/>
        <item x="560"/>
        <item x="347"/>
        <item x="80"/>
        <item x="17"/>
        <item x="525"/>
        <item x="401"/>
        <item x="270"/>
        <item x="53"/>
        <item x="505"/>
        <item x="633"/>
        <item x="614"/>
        <item x="410"/>
        <item x="485"/>
        <item x="491"/>
        <item x="16"/>
        <item x="679"/>
        <item x="217"/>
        <item x="26"/>
        <item x="427"/>
        <item x="148"/>
        <item x="626"/>
        <item x="390"/>
        <item x="606"/>
        <item x="123"/>
        <item x="309"/>
        <item x="247"/>
        <item x="54"/>
        <item x="473"/>
        <item x="664"/>
        <item x="368"/>
        <item x="670"/>
        <item x="135"/>
        <item x="57"/>
        <item x="196"/>
        <item x="52"/>
        <item x="74"/>
        <item x="571"/>
        <item x="4"/>
        <item x="214"/>
        <item x="31"/>
        <item x="335"/>
        <item x="352"/>
        <item x="383"/>
        <item x="298"/>
        <item x="554"/>
        <item x="127"/>
        <item x="650"/>
        <item x="183"/>
        <item x="59"/>
        <item x="652"/>
        <item x="1"/>
        <item x="322"/>
        <item x="110"/>
        <item x="587"/>
        <item x="448"/>
        <item x="141"/>
        <item x="283"/>
        <item x="301"/>
        <item x="315"/>
        <item x="257"/>
        <item x="581"/>
        <item x="413"/>
        <item x="319"/>
        <item x="46"/>
        <item x="251"/>
        <item x="193"/>
        <item x="197"/>
        <item x="480"/>
        <item x="86"/>
        <item x="274"/>
        <item x="370"/>
        <item x="79"/>
        <item x="349"/>
        <item x="668"/>
        <item x="551"/>
        <item x="69"/>
        <item x="119"/>
        <item x="203"/>
        <item x="585"/>
        <item x="680"/>
        <item x="122"/>
        <item x="224"/>
        <item x="92"/>
        <item x="557"/>
        <item x="89"/>
        <item x="326"/>
        <item x="490"/>
        <item x="435"/>
        <item x="646"/>
        <item x="556"/>
        <item x="163"/>
        <item x="153"/>
        <item x="70"/>
        <item x="192"/>
        <item x="399"/>
        <item x="182"/>
        <item x="221"/>
        <item x="407"/>
        <item x="256"/>
        <item x="531"/>
        <item x="602"/>
        <item x="333"/>
        <item x="337"/>
        <item x="227"/>
        <item x="653"/>
        <item x="154"/>
        <item x="649"/>
        <item x="179"/>
        <item x="291"/>
        <item x="569"/>
        <item x="191"/>
        <item x="187"/>
        <item x="249"/>
        <item x="327"/>
        <item x="190"/>
        <item x="317"/>
        <item x="541"/>
        <item x="362"/>
        <item x="231"/>
        <item x="539"/>
        <item x="639"/>
        <item x="429"/>
        <item x="0"/>
        <item x="7"/>
        <item x="172"/>
        <item x="387"/>
        <item x="120"/>
        <item x="467"/>
        <item x="140"/>
        <item x="340"/>
        <item x="233"/>
        <item x="67"/>
        <item x="212"/>
        <item x="2"/>
        <item x="514"/>
        <item x="23"/>
        <item x="107"/>
        <item x="65"/>
        <item x="165"/>
        <item x="134"/>
        <item x="613"/>
        <item x="375"/>
        <item x="439"/>
        <item x="562"/>
        <item x="526"/>
        <item x="538"/>
        <item x="584"/>
        <item x="323"/>
        <item x="269"/>
        <item x="377"/>
        <item x="565"/>
        <item x="329"/>
        <item x="38"/>
        <item x="6"/>
        <item x="479"/>
        <item x="85"/>
        <item x="510"/>
        <item x="580"/>
        <item x="345"/>
        <item x="111"/>
        <item x="509"/>
        <item x="58"/>
        <item x="11"/>
        <item x="619"/>
        <item x="168"/>
        <item x="645"/>
        <item x="117"/>
        <item x="162"/>
        <item x="685"/>
        <item x="145"/>
        <item x="573"/>
        <item x="230"/>
        <item x="56"/>
        <item x="42"/>
        <item x="576"/>
        <item x="124"/>
        <item x="229"/>
        <item x="211"/>
        <item x="66"/>
        <item x="391"/>
        <item x="364"/>
        <item x="63"/>
        <item x="642"/>
        <item x="259"/>
        <item x="344"/>
        <item x="188"/>
        <item x="452"/>
        <item x="436"/>
        <item x="207"/>
        <item x="144"/>
        <item x="444"/>
        <item x="638"/>
        <item x="566"/>
        <item x="263"/>
        <item x="278"/>
        <item t="default"/>
      </items>
    </pivotField>
    <pivotField showAll="0"/>
    <pivotField showAll="0">
      <items count="7">
        <item x="0"/>
        <item x="3"/>
        <item x="5"/>
        <item x="1"/>
        <item x="4"/>
        <item x="2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numFmtId="1" showAll="0"/>
    <pivotField showAll="0"/>
    <pivotField showAll="0"/>
    <pivotField dataField="1"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ID_Commande" fld="0" subtotal="count" baseField="11" baseItem="0"/>
    <dataField name="Somme de CA_Net" fld="10" showDataAs="percentOfTotal" baseField="11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474EF-303F-4F4C-B8EF-CE0D9F83EE69}" name="Tableau croisé dynamique1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8" rowHeaderCaption="REGION" colHeaderCaption="ANNEE">
  <location ref="A3:C10" firstHeaderRow="0" firstDataRow="1" firstDataCol="1"/>
  <pivotFields count="21">
    <pivotField dataField="1" showAll="0"/>
    <pivotField numFmtId="14" showAll="0">
      <items count="693">
        <item x="62"/>
        <item x="603"/>
        <item x="88"/>
        <item x="414"/>
        <item x="657"/>
        <item x="629"/>
        <item x="688"/>
        <item x="19"/>
        <item x="592"/>
        <item x="578"/>
        <item x="271"/>
        <item x="261"/>
        <item x="321"/>
        <item x="549"/>
        <item x="574"/>
        <item x="604"/>
        <item x="567"/>
        <item x="552"/>
        <item x="61"/>
        <item x="515"/>
        <item x="449"/>
        <item x="178"/>
        <item x="512"/>
        <item x="235"/>
        <item x="64"/>
        <item x="529"/>
        <item x="280"/>
        <item x="90"/>
        <item x="276"/>
        <item x="381"/>
        <item x="506"/>
        <item x="78"/>
        <item x="93"/>
        <item x="13"/>
        <item x="210"/>
        <item x="530"/>
        <item x="209"/>
        <item x="177"/>
        <item x="376"/>
        <item x="564"/>
        <item x="158"/>
        <item x="472"/>
        <item x="265"/>
        <item x="160"/>
        <item x="572"/>
        <item x="593"/>
        <item x="624"/>
        <item x="33"/>
        <item x="544"/>
        <item x="245"/>
        <item x="21"/>
        <item x="132"/>
        <item x="100"/>
        <item x="618"/>
        <item x="672"/>
        <item x="164"/>
        <item x="216"/>
        <item x="99"/>
        <item x="27"/>
        <item x="478"/>
        <item x="689"/>
        <item x="406"/>
        <item x="570"/>
        <item x="501"/>
        <item x="507"/>
        <item x="40"/>
        <item x="415"/>
        <item x="392"/>
        <item x="29"/>
        <item x="223"/>
        <item x="683"/>
        <item x="341"/>
        <item x="469"/>
        <item x="386"/>
        <item x="15"/>
        <item x="423"/>
        <item x="121"/>
        <item x="143"/>
        <item x="519"/>
        <item x="559"/>
        <item x="47"/>
        <item x="575"/>
        <item x="268"/>
        <item x="277"/>
        <item x="690"/>
        <item x="482"/>
        <item x="495"/>
        <item x="527"/>
        <item x="600"/>
        <item x="128"/>
        <item x="36"/>
        <item x="384"/>
        <item x="558"/>
        <item x="492"/>
        <item x="396"/>
        <item x="106"/>
        <item x="281"/>
        <item x="241"/>
        <item x="332"/>
        <item x="307"/>
        <item x="272"/>
        <item x="50"/>
        <item x="126"/>
        <item x="189"/>
        <item x="440"/>
        <item x="568"/>
        <item x="543"/>
        <item x="636"/>
        <item x="91"/>
        <item x="12"/>
        <item x="114"/>
        <item x="358"/>
        <item x="303"/>
        <item x="287"/>
        <item x="185"/>
        <item x="475"/>
        <item x="605"/>
        <item x="608"/>
        <item x="644"/>
        <item x="60"/>
        <item x="548"/>
        <item x="513"/>
        <item x="316"/>
        <item x="675"/>
        <item x="175"/>
        <item x="306"/>
        <item x="424"/>
        <item x="51"/>
        <item x="305"/>
        <item x="677"/>
        <item x="441"/>
        <item x="459"/>
        <item x="353"/>
        <item x="152"/>
        <item x="601"/>
        <item x="176"/>
        <item x="82"/>
        <item x="465"/>
        <item x="155"/>
        <item x="426"/>
        <item x="250"/>
        <item x="563"/>
        <item x="665"/>
        <item x="610"/>
        <item x="667"/>
        <item x="499"/>
        <item x="468"/>
        <item x="68"/>
        <item x="159"/>
        <item x="486"/>
        <item x="378"/>
        <item x="205"/>
        <item x="275"/>
        <item x="194"/>
        <item x="87"/>
        <item x="628"/>
        <item x="37"/>
        <item x="24"/>
        <item x="504"/>
        <item x="451"/>
        <item x="331"/>
        <item x="540"/>
        <item x="355"/>
        <item x="678"/>
        <item x="219"/>
        <item x="242"/>
        <item x="325"/>
        <item x="45"/>
        <item x="101"/>
        <item x="582"/>
        <item x="215"/>
        <item x="232"/>
        <item x="643"/>
        <item x="682"/>
        <item x="547"/>
        <item x="546"/>
        <item x="243"/>
        <item x="434"/>
        <item x="238"/>
        <item x="617"/>
        <item x="497"/>
        <item x="687"/>
        <item x="94"/>
        <item x="25"/>
        <item x="648"/>
        <item x="463"/>
        <item x="288"/>
        <item x="75"/>
        <item x="299"/>
        <item x="632"/>
        <item x="659"/>
        <item x="48"/>
        <item x="462"/>
        <item x="466"/>
        <item x="354"/>
        <item x="253"/>
        <item x="174"/>
        <item x="28"/>
        <item x="419"/>
        <item x="343"/>
        <item x="133"/>
        <item x="671"/>
        <item x="304"/>
        <item x="254"/>
        <item x="171"/>
        <item x="115"/>
        <item x="366"/>
        <item x="173"/>
        <item x="586"/>
        <item x="500"/>
        <item x="118"/>
        <item x="10"/>
        <item x="18"/>
        <item x="113"/>
        <item x="400"/>
        <item x="267"/>
        <item x="151"/>
        <item x="445"/>
        <item x="432"/>
        <item x="521"/>
        <item x="681"/>
        <item x="361"/>
        <item x="611"/>
        <item x="612"/>
        <item x="5"/>
        <item x="673"/>
        <item x="623"/>
        <item x="686"/>
        <item x="104"/>
        <item x="520"/>
        <item x="8"/>
        <item x="218"/>
        <item x="461"/>
        <item x="260"/>
        <item x="405"/>
        <item x="503"/>
        <item x="589"/>
        <item x="363"/>
        <item x="483"/>
        <item x="438"/>
        <item x="511"/>
        <item x="149"/>
        <item x="324"/>
        <item x="295"/>
        <item x="157"/>
        <item x="102"/>
        <item x="208"/>
        <item x="285"/>
        <item x="71"/>
        <item x="431"/>
        <item x="450"/>
        <item x="41"/>
        <item x="258"/>
        <item x="308"/>
        <item x="502"/>
        <item x="9"/>
        <item x="595"/>
        <item x="310"/>
        <item x="237"/>
        <item x="108"/>
        <item x="516"/>
        <item x="395"/>
        <item x="454"/>
        <item x="346"/>
        <item x="537"/>
        <item x="202"/>
        <item x="616"/>
        <item x="596"/>
        <item x="676"/>
        <item x="292"/>
        <item x="32"/>
        <item x="380"/>
        <item x="428"/>
        <item x="356"/>
        <item x="553"/>
        <item x="373"/>
        <item x="360"/>
        <item x="458"/>
        <item x="408"/>
        <item x="369"/>
        <item x="374"/>
        <item x="328"/>
        <item x="73"/>
        <item x="630"/>
        <item x="658"/>
        <item x="234"/>
        <item x="181"/>
        <item x="397"/>
        <item x="336"/>
        <item x="437"/>
        <item x="264"/>
        <item x="161"/>
        <item x="204"/>
        <item x="195"/>
        <item x="455"/>
        <item x="146"/>
        <item x="44"/>
        <item x="136"/>
        <item x="412"/>
        <item x="236"/>
        <item x="255"/>
        <item x="314"/>
        <item x="220"/>
        <item x="620"/>
        <item x="282"/>
        <item x="420"/>
        <item x="634"/>
        <item x="213"/>
        <item x="228"/>
        <item x="266"/>
        <item x="84"/>
        <item x="14"/>
        <item x="129"/>
        <item x="371"/>
        <item x="583"/>
        <item x="389"/>
        <item x="30"/>
        <item x="142"/>
        <item x="523"/>
        <item x="302"/>
        <item x="522"/>
        <item x="198"/>
        <item x="534"/>
        <item x="453"/>
        <item x="273"/>
        <item x="641"/>
        <item x="561"/>
        <item x="359"/>
        <item x="647"/>
        <item x="418"/>
        <item x="252"/>
        <item x="496"/>
        <item x="103"/>
        <item x="590"/>
        <item x="284"/>
        <item x="201"/>
        <item x="137"/>
        <item x="615"/>
        <item x="248"/>
        <item x="105"/>
        <item x="597"/>
        <item x="409"/>
        <item x="422"/>
        <item x="417"/>
        <item x="684"/>
        <item x="166"/>
        <item x="109"/>
        <item x="404"/>
        <item x="169"/>
        <item x="493"/>
        <item x="289"/>
        <item x="320"/>
        <item x="385"/>
        <item x="313"/>
        <item x="112"/>
        <item x="35"/>
        <item x="262"/>
        <item x="125"/>
        <item x="622"/>
        <item x="517"/>
        <item x="222"/>
        <item x="470"/>
        <item x="621"/>
        <item x="286"/>
        <item x="651"/>
        <item x="609"/>
        <item x="95"/>
        <item x="200"/>
        <item x="416"/>
        <item x="631"/>
        <item x="311"/>
        <item x="180"/>
        <item x="279"/>
        <item x="297"/>
        <item x="206"/>
        <item x="425"/>
        <item x="464"/>
        <item x="411"/>
        <item x="351"/>
        <item x="403"/>
        <item x="588"/>
        <item x="226"/>
        <item x="138"/>
        <item x="246"/>
        <item x="489"/>
        <item x="550"/>
        <item x="484"/>
        <item x="498"/>
        <item x="357"/>
        <item x="239"/>
        <item x="640"/>
        <item x="72"/>
        <item x="55"/>
        <item x="481"/>
        <item x="300"/>
        <item x="598"/>
        <item x="398"/>
        <item x="655"/>
        <item x="402"/>
        <item x="49"/>
        <item x="3"/>
        <item x="312"/>
        <item x="656"/>
        <item x="607"/>
        <item x="533"/>
        <item x="433"/>
        <item x="338"/>
        <item x="372"/>
        <item x="98"/>
        <item x="654"/>
        <item x="456"/>
        <item x="430"/>
        <item x="542"/>
        <item x="240"/>
        <item x="131"/>
        <item x="43"/>
        <item x="367"/>
        <item x="594"/>
        <item x="388"/>
        <item x="225"/>
        <item x="536"/>
        <item x="579"/>
        <item x="147"/>
        <item x="379"/>
        <item x="96"/>
        <item x="76"/>
        <item x="34"/>
        <item x="130"/>
        <item x="116"/>
        <item x="625"/>
        <item x="339"/>
        <item x="591"/>
        <item x="691"/>
        <item x="22"/>
        <item x="674"/>
        <item x="330"/>
        <item x="535"/>
        <item x="524"/>
        <item x="350"/>
        <item x="139"/>
        <item x="421"/>
        <item x="81"/>
        <item x="447"/>
        <item x="290"/>
        <item x="186"/>
        <item x="39"/>
        <item x="457"/>
        <item x="477"/>
        <item x="443"/>
        <item x="293"/>
        <item x="394"/>
        <item x="662"/>
        <item x="83"/>
        <item x="97"/>
        <item x="487"/>
        <item x="393"/>
        <item x="199"/>
        <item x="20"/>
        <item x="294"/>
        <item x="156"/>
        <item x="334"/>
        <item x="577"/>
        <item x="627"/>
        <item x="170"/>
        <item x="460"/>
        <item x="545"/>
        <item x="488"/>
        <item x="555"/>
        <item x="528"/>
        <item x="318"/>
        <item x="184"/>
        <item x="244"/>
        <item x="669"/>
        <item x="599"/>
        <item x="382"/>
        <item x="167"/>
        <item x="77"/>
        <item x="637"/>
        <item x="471"/>
        <item x="494"/>
        <item x="474"/>
        <item x="518"/>
        <item x="532"/>
        <item x="476"/>
        <item x="508"/>
        <item x="446"/>
        <item x="663"/>
        <item x="635"/>
        <item x="442"/>
        <item x="365"/>
        <item x="666"/>
        <item x="348"/>
        <item x="150"/>
        <item x="661"/>
        <item x="660"/>
        <item x="342"/>
        <item x="296"/>
        <item x="560"/>
        <item x="347"/>
        <item x="80"/>
        <item x="17"/>
        <item x="525"/>
        <item x="401"/>
        <item x="270"/>
        <item x="53"/>
        <item x="505"/>
        <item x="633"/>
        <item x="614"/>
        <item x="410"/>
        <item x="485"/>
        <item x="491"/>
        <item x="16"/>
        <item x="679"/>
        <item x="217"/>
        <item x="26"/>
        <item x="427"/>
        <item x="148"/>
        <item x="626"/>
        <item x="390"/>
        <item x="606"/>
        <item x="123"/>
        <item x="309"/>
        <item x="247"/>
        <item x="54"/>
        <item x="473"/>
        <item x="664"/>
        <item x="368"/>
        <item x="670"/>
        <item x="135"/>
        <item x="57"/>
        <item x="196"/>
        <item x="52"/>
        <item x="74"/>
        <item x="571"/>
        <item x="4"/>
        <item x="214"/>
        <item x="31"/>
        <item x="335"/>
        <item x="352"/>
        <item x="383"/>
        <item x="298"/>
        <item x="554"/>
        <item x="127"/>
        <item x="650"/>
        <item x="183"/>
        <item x="59"/>
        <item x="652"/>
        <item x="1"/>
        <item x="322"/>
        <item x="110"/>
        <item x="587"/>
        <item x="448"/>
        <item x="141"/>
        <item x="283"/>
        <item x="301"/>
        <item x="315"/>
        <item x="257"/>
        <item x="581"/>
        <item x="413"/>
        <item x="319"/>
        <item x="46"/>
        <item x="251"/>
        <item x="193"/>
        <item x="197"/>
        <item x="480"/>
        <item x="86"/>
        <item x="274"/>
        <item x="370"/>
        <item x="79"/>
        <item x="349"/>
        <item x="668"/>
        <item x="551"/>
        <item x="69"/>
        <item x="119"/>
        <item x="203"/>
        <item x="585"/>
        <item x="680"/>
        <item x="122"/>
        <item x="224"/>
        <item x="92"/>
        <item x="557"/>
        <item x="89"/>
        <item x="326"/>
        <item x="490"/>
        <item x="435"/>
        <item x="646"/>
        <item x="556"/>
        <item x="163"/>
        <item x="153"/>
        <item x="70"/>
        <item x="192"/>
        <item x="399"/>
        <item x="182"/>
        <item x="221"/>
        <item x="407"/>
        <item x="256"/>
        <item x="531"/>
        <item x="602"/>
        <item x="333"/>
        <item x="337"/>
        <item x="227"/>
        <item x="653"/>
        <item x="154"/>
        <item x="649"/>
        <item x="179"/>
        <item x="291"/>
        <item x="569"/>
        <item x="191"/>
        <item x="187"/>
        <item x="249"/>
        <item x="327"/>
        <item x="190"/>
        <item x="317"/>
        <item x="541"/>
        <item x="362"/>
        <item x="231"/>
        <item x="539"/>
        <item x="639"/>
        <item x="429"/>
        <item x="0"/>
        <item x="7"/>
        <item x="172"/>
        <item x="387"/>
        <item x="120"/>
        <item x="467"/>
        <item x="140"/>
        <item x="340"/>
        <item x="233"/>
        <item x="67"/>
        <item x="212"/>
        <item x="2"/>
        <item x="514"/>
        <item x="23"/>
        <item x="107"/>
        <item x="65"/>
        <item x="165"/>
        <item x="134"/>
        <item x="613"/>
        <item x="375"/>
        <item x="439"/>
        <item x="562"/>
        <item x="526"/>
        <item x="538"/>
        <item x="584"/>
        <item x="323"/>
        <item x="269"/>
        <item x="377"/>
        <item x="565"/>
        <item x="329"/>
        <item x="38"/>
        <item x="6"/>
        <item x="479"/>
        <item x="85"/>
        <item x="510"/>
        <item x="580"/>
        <item x="345"/>
        <item x="111"/>
        <item x="509"/>
        <item x="58"/>
        <item x="11"/>
        <item x="619"/>
        <item x="168"/>
        <item x="645"/>
        <item x="117"/>
        <item x="162"/>
        <item x="685"/>
        <item x="145"/>
        <item x="573"/>
        <item x="230"/>
        <item x="56"/>
        <item x="42"/>
        <item x="576"/>
        <item x="124"/>
        <item x="229"/>
        <item x="211"/>
        <item x="66"/>
        <item x="391"/>
        <item x="364"/>
        <item x="63"/>
        <item x="642"/>
        <item x="259"/>
        <item x="344"/>
        <item x="188"/>
        <item x="452"/>
        <item x="436"/>
        <item x="207"/>
        <item x="144"/>
        <item x="444"/>
        <item x="638"/>
        <item x="566"/>
        <item x="263"/>
        <item x="278"/>
        <item t="default"/>
      </items>
    </pivotField>
    <pivotField showAll="0"/>
    <pivotField axis="axisRow" showAll="0">
      <items count="7">
        <item x="0"/>
        <item x="3"/>
        <item x="5"/>
        <item x="1"/>
        <item x="4"/>
        <item x="2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numFmtId="1" showAll="0"/>
    <pivotField showAll="0"/>
    <pivotField showAll="0"/>
    <pivotField dataField="1"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CA_Net" fld="10" baseField="3" baseItem="0"/>
    <dataField name="Nombre de ID_Commande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3A193-A1EA-453F-B93D-7B92AFB16785}" name="Tableau croisé dynamique8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X17:X18" firstHeaderRow="1" firstDataRow="1" firstDataCol="0"/>
  <pivotFields count="21">
    <pivotField showAll="0"/>
    <pivotField numFmtId="14" showAll="0">
      <items count="693">
        <item x="62"/>
        <item x="603"/>
        <item x="88"/>
        <item x="414"/>
        <item x="657"/>
        <item x="629"/>
        <item x="688"/>
        <item x="19"/>
        <item x="592"/>
        <item x="578"/>
        <item x="271"/>
        <item x="261"/>
        <item x="321"/>
        <item x="549"/>
        <item x="574"/>
        <item x="604"/>
        <item x="567"/>
        <item x="552"/>
        <item x="61"/>
        <item x="515"/>
        <item x="449"/>
        <item x="178"/>
        <item x="512"/>
        <item x="235"/>
        <item x="64"/>
        <item x="529"/>
        <item x="280"/>
        <item x="90"/>
        <item x="276"/>
        <item x="381"/>
        <item x="506"/>
        <item x="78"/>
        <item x="93"/>
        <item x="13"/>
        <item x="210"/>
        <item x="530"/>
        <item x="209"/>
        <item x="177"/>
        <item x="376"/>
        <item x="564"/>
        <item x="158"/>
        <item x="472"/>
        <item x="265"/>
        <item x="160"/>
        <item x="572"/>
        <item x="593"/>
        <item x="624"/>
        <item x="33"/>
        <item x="544"/>
        <item x="245"/>
        <item x="21"/>
        <item x="132"/>
        <item x="100"/>
        <item x="618"/>
        <item x="672"/>
        <item x="164"/>
        <item x="216"/>
        <item x="99"/>
        <item x="27"/>
        <item x="478"/>
        <item x="689"/>
        <item x="406"/>
        <item x="570"/>
        <item x="501"/>
        <item x="507"/>
        <item x="40"/>
        <item x="415"/>
        <item x="392"/>
        <item x="29"/>
        <item x="223"/>
        <item x="683"/>
        <item x="341"/>
        <item x="469"/>
        <item x="386"/>
        <item x="15"/>
        <item x="423"/>
        <item x="121"/>
        <item x="143"/>
        <item x="519"/>
        <item x="559"/>
        <item x="47"/>
        <item x="575"/>
        <item x="268"/>
        <item x="277"/>
        <item x="690"/>
        <item x="482"/>
        <item x="495"/>
        <item x="527"/>
        <item x="600"/>
        <item x="128"/>
        <item x="36"/>
        <item x="384"/>
        <item x="558"/>
        <item x="492"/>
        <item x="396"/>
        <item x="106"/>
        <item x="281"/>
        <item x="241"/>
        <item x="332"/>
        <item x="307"/>
        <item x="272"/>
        <item x="50"/>
        <item x="126"/>
        <item x="189"/>
        <item x="440"/>
        <item x="568"/>
        <item x="543"/>
        <item x="636"/>
        <item x="91"/>
        <item x="12"/>
        <item x="114"/>
        <item x="358"/>
        <item x="303"/>
        <item x="287"/>
        <item x="185"/>
        <item x="475"/>
        <item x="605"/>
        <item x="608"/>
        <item x="644"/>
        <item x="60"/>
        <item x="548"/>
        <item x="513"/>
        <item x="316"/>
        <item x="675"/>
        <item x="175"/>
        <item x="306"/>
        <item x="424"/>
        <item x="51"/>
        <item x="305"/>
        <item x="677"/>
        <item x="441"/>
        <item x="459"/>
        <item x="353"/>
        <item x="152"/>
        <item x="601"/>
        <item x="176"/>
        <item x="82"/>
        <item x="465"/>
        <item x="155"/>
        <item x="426"/>
        <item x="250"/>
        <item x="563"/>
        <item x="665"/>
        <item x="610"/>
        <item x="667"/>
        <item x="499"/>
        <item x="468"/>
        <item x="68"/>
        <item x="159"/>
        <item x="486"/>
        <item x="378"/>
        <item x="205"/>
        <item x="275"/>
        <item x="194"/>
        <item x="87"/>
        <item x="628"/>
        <item x="37"/>
        <item x="24"/>
        <item x="504"/>
        <item x="451"/>
        <item x="331"/>
        <item x="540"/>
        <item x="355"/>
        <item x="678"/>
        <item x="219"/>
        <item x="242"/>
        <item x="325"/>
        <item x="45"/>
        <item x="101"/>
        <item x="582"/>
        <item x="215"/>
        <item x="232"/>
        <item x="643"/>
        <item x="682"/>
        <item x="547"/>
        <item x="546"/>
        <item x="243"/>
        <item x="434"/>
        <item x="238"/>
        <item x="617"/>
        <item x="497"/>
        <item x="687"/>
        <item x="94"/>
        <item x="25"/>
        <item x="648"/>
        <item x="463"/>
        <item x="288"/>
        <item x="75"/>
        <item x="299"/>
        <item x="632"/>
        <item x="659"/>
        <item x="48"/>
        <item x="462"/>
        <item x="466"/>
        <item x="354"/>
        <item x="253"/>
        <item x="174"/>
        <item x="28"/>
        <item x="419"/>
        <item x="343"/>
        <item x="133"/>
        <item x="671"/>
        <item x="304"/>
        <item x="254"/>
        <item x="171"/>
        <item x="115"/>
        <item x="366"/>
        <item x="173"/>
        <item x="586"/>
        <item x="500"/>
        <item x="118"/>
        <item x="10"/>
        <item x="18"/>
        <item x="113"/>
        <item x="400"/>
        <item x="267"/>
        <item x="151"/>
        <item x="445"/>
        <item x="432"/>
        <item x="521"/>
        <item x="681"/>
        <item x="361"/>
        <item x="611"/>
        <item x="612"/>
        <item x="5"/>
        <item x="673"/>
        <item x="623"/>
        <item x="686"/>
        <item x="104"/>
        <item x="520"/>
        <item x="8"/>
        <item x="218"/>
        <item x="461"/>
        <item x="260"/>
        <item x="405"/>
        <item x="503"/>
        <item x="589"/>
        <item x="363"/>
        <item x="483"/>
        <item x="438"/>
        <item x="511"/>
        <item x="149"/>
        <item x="324"/>
        <item x="295"/>
        <item x="157"/>
        <item x="102"/>
        <item x="208"/>
        <item x="285"/>
        <item x="71"/>
        <item x="431"/>
        <item x="450"/>
        <item x="41"/>
        <item x="258"/>
        <item x="308"/>
        <item x="502"/>
        <item x="9"/>
        <item x="595"/>
        <item x="310"/>
        <item x="237"/>
        <item x="108"/>
        <item x="516"/>
        <item x="395"/>
        <item x="454"/>
        <item x="346"/>
        <item x="537"/>
        <item x="202"/>
        <item x="616"/>
        <item x="596"/>
        <item x="676"/>
        <item x="292"/>
        <item x="32"/>
        <item x="380"/>
        <item x="428"/>
        <item x="356"/>
        <item x="553"/>
        <item x="373"/>
        <item x="360"/>
        <item x="458"/>
        <item x="408"/>
        <item x="369"/>
        <item x="374"/>
        <item x="328"/>
        <item x="73"/>
        <item x="630"/>
        <item x="658"/>
        <item x="234"/>
        <item x="181"/>
        <item x="397"/>
        <item x="336"/>
        <item x="437"/>
        <item x="264"/>
        <item x="161"/>
        <item x="204"/>
        <item x="195"/>
        <item x="455"/>
        <item x="146"/>
        <item x="44"/>
        <item x="136"/>
        <item x="412"/>
        <item x="236"/>
        <item x="255"/>
        <item x="314"/>
        <item x="220"/>
        <item x="620"/>
        <item x="282"/>
        <item x="420"/>
        <item x="634"/>
        <item x="213"/>
        <item x="228"/>
        <item x="266"/>
        <item x="84"/>
        <item x="14"/>
        <item x="129"/>
        <item x="371"/>
        <item x="583"/>
        <item x="389"/>
        <item x="30"/>
        <item x="142"/>
        <item x="523"/>
        <item x="302"/>
        <item x="522"/>
        <item x="198"/>
        <item x="534"/>
        <item x="453"/>
        <item x="273"/>
        <item x="641"/>
        <item x="561"/>
        <item x="359"/>
        <item x="647"/>
        <item x="418"/>
        <item x="252"/>
        <item x="496"/>
        <item x="103"/>
        <item x="590"/>
        <item x="284"/>
        <item x="201"/>
        <item x="137"/>
        <item x="615"/>
        <item x="248"/>
        <item x="105"/>
        <item x="597"/>
        <item x="409"/>
        <item x="422"/>
        <item x="417"/>
        <item x="684"/>
        <item x="166"/>
        <item x="109"/>
        <item x="404"/>
        <item x="169"/>
        <item x="493"/>
        <item x="289"/>
        <item x="320"/>
        <item x="385"/>
        <item x="313"/>
        <item x="112"/>
        <item x="35"/>
        <item x="262"/>
        <item x="125"/>
        <item x="622"/>
        <item x="517"/>
        <item x="222"/>
        <item x="470"/>
        <item x="621"/>
        <item x="286"/>
        <item x="651"/>
        <item x="609"/>
        <item x="95"/>
        <item x="200"/>
        <item x="416"/>
        <item x="631"/>
        <item x="311"/>
        <item x="180"/>
        <item x="279"/>
        <item x="297"/>
        <item x="206"/>
        <item x="425"/>
        <item x="464"/>
        <item x="411"/>
        <item x="351"/>
        <item x="403"/>
        <item x="588"/>
        <item x="226"/>
        <item x="138"/>
        <item x="246"/>
        <item x="489"/>
        <item x="550"/>
        <item x="484"/>
        <item x="498"/>
        <item x="357"/>
        <item x="239"/>
        <item x="640"/>
        <item x="72"/>
        <item x="55"/>
        <item x="481"/>
        <item x="300"/>
        <item x="598"/>
        <item x="398"/>
        <item x="655"/>
        <item x="402"/>
        <item x="49"/>
        <item x="3"/>
        <item x="312"/>
        <item x="656"/>
        <item x="607"/>
        <item x="533"/>
        <item x="433"/>
        <item x="338"/>
        <item x="372"/>
        <item x="98"/>
        <item x="654"/>
        <item x="456"/>
        <item x="430"/>
        <item x="542"/>
        <item x="240"/>
        <item x="131"/>
        <item x="43"/>
        <item x="367"/>
        <item x="594"/>
        <item x="388"/>
        <item x="225"/>
        <item x="536"/>
        <item x="579"/>
        <item x="147"/>
        <item x="379"/>
        <item x="96"/>
        <item x="76"/>
        <item x="34"/>
        <item x="130"/>
        <item x="116"/>
        <item x="625"/>
        <item x="339"/>
        <item x="591"/>
        <item x="691"/>
        <item x="22"/>
        <item x="674"/>
        <item x="330"/>
        <item x="535"/>
        <item x="524"/>
        <item x="350"/>
        <item x="139"/>
        <item x="421"/>
        <item x="81"/>
        <item x="447"/>
        <item x="290"/>
        <item x="186"/>
        <item x="39"/>
        <item x="457"/>
        <item x="477"/>
        <item x="443"/>
        <item x="293"/>
        <item x="394"/>
        <item x="662"/>
        <item x="83"/>
        <item x="97"/>
        <item x="487"/>
        <item x="393"/>
        <item x="199"/>
        <item x="20"/>
        <item x="294"/>
        <item x="156"/>
        <item x="334"/>
        <item x="577"/>
        <item x="627"/>
        <item x="170"/>
        <item x="460"/>
        <item x="545"/>
        <item x="488"/>
        <item x="555"/>
        <item x="528"/>
        <item x="318"/>
        <item x="184"/>
        <item x="244"/>
        <item x="669"/>
        <item x="599"/>
        <item x="382"/>
        <item x="167"/>
        <item x="77"/>
        <item x="637"/>
        <item x="471"/>
        <item x="494"/>
        <item x="474"/>
        <item x="518"/>
        <item x="532"/>
        <item x="476"/>
        <item x="508"/>
        <item x="446"/>
        <item x="663"/>
        <item x="635"/>
        <item x="442"/>
        <item x="365"/>
        <item x="666"/>
        <item x="348"/>
        <item x="150"/>
        <item x="661"/>
        <item x="660"/>
        <item x="342"/>
        <item x="296"/>
        <item x="560"/>
        <item x="347"/>
        <item x="80"/>
        <item x="17"/>
        <item x="525"/>
        <item x="401"/>
        <item x="270"/>
        <item x="53"/>
        <item x="505"/>
        <item x="633"/>
        <item x="614"/>
        <item x="410"/>
        <item x="485"/>
        <item x="491"/>
        <item x="16"/>
        <item x="679"/>
        <item x="217"/>
        <item x="26"/>
        <item x="427"/>
        <item x="148"/>
        <item x="626"/>
        <item x="390"/>
        <item x="606"/>
        <item x="123"/>
        <item x="309"/>
        <item x="247"/>
        <item x="54"/>
        <item x="473"/>
        <item x="664"/>
        <item x="368"/>
        <item x="670"/>
        <item x="135"/>
        <item x="57"/>
        <item x="196"/>
        <item x="52"/>
        <item x="74"/>
        <item x="571"/>
        <item x="4"/>
        <item x="214"/>
        <item x="31"/>
        <item x="335"/>
        <item x="352"/>
        <item x="383"/>
        <item x="298"/>
        <item x="554"/>
        <item x="127"/>
        <item x="650"/>
        <item x="183"/>
        <item x="59"/>
        <item x="652"/>
        <item x="1"/>
        <item x="322"/>
        <item x="110"/>
        <item x="587"/>
        <item x="448"/>
        <item x="141"/>
        <item x="283"/>
        <item x="301"/>
        <item x="315"/>
        <item x="257"/>
        <item x="581"/>
        <item x="413"/>
        <item x="319"/>
        <item x="46"/>
        <item x="251"/>
        <item x="193"/>
        <item x="197"/>
        <item x="480"/>
        <item x="86"/>
        <item x="274"/>
        <item x="370"/>
        <item x="79"/>
        <item x="349"/>
        <item x="668"/>
        <item x="551"/>
        <item x="69"/>
        <item x="119"/>
        <item x="203"/>
        <item x="585"/>
        <item x="680"/>
        <item x="122"/>
        <item x="224"/>
        <item x="92"/>
        <item x="557"/>
        <item x="89"/>
        <item x="326"/>
        <item x="490"/>
        <item x="435"/>
        <item x="646"/>
        <item x="556"/>
        <item x="163"/>
        <item x="153"/>
        <item x="70"/>
        <item x="192"/>
        <item x="399"/>
        <item x="182"/>
        <item x="221"/>
        <item x="407"/>
        <item x="256"/>
        <item x="531"/>
        <item x="602"/>
        <item x="333"/>
        <item x="337"/>
        <item x="227"/>
        <item x="653"/>
        <item x="154"/>
        <item x="649"/>
        <item x="179"/>
        <item x="291"/>
        <item x="569"/>
        <item x="191"/>
        <item x="187"/>
        <item x="249"/>
        <item x="327"/>
        <item x="190"/>
        <item x="317"/>
        <item x="541"/>
        <item x="362"/>
        <item x="231"/>
        <item x="539"/>
        <item x="639"/>
        <item x="429"/>
        <item x="0"/>
        <item x="7"/>
        <item x="172"/>
        <item x="387"/>
        <item x="120"/>
        <item x="467"/>
        <item x="140"/>
        <item x="340"/>
        <item x="233"/>
        <item x="67"/>
        <item x="212"/>
        <item x="2"/>
        <item x="514"/>
        <item x="23"/>
        <item x="107"/>
        <item x="65"/>
        <item x="165"/>
        <item x="134"/>
        <item x="613"/>
        <item x="375"/>
        <item x="439"/>
        <item x="562"/>
        <item x="526"/>
        <item x="538"/>
        <item x="584"/>
        <item x="323"/>
        <item x="269"/>
        <item x="377"/>
        <item x="565"/>
        <item x="329"/>
        <item x="38"/>
        <item x="6"/>
        <item x="479"/>
        <item x="85"/>
        <item x="510"/>
        <item x="580"/>
        <item x="345"/>
        <item x="111"/>
        <item x="509"/>
        <item x="58"/>
        <item x="11"/>
        <item x="619"/>
        <item x="168"/>
        <item x="645"/>
        <item x="117"/>
        <item x="162"/>
        <item x="685"/>
        <item x="145"/>
        <item x="573"/>
        <item x="230"/>
        <item x="56"/>
        <item x="42"/>
        <item x="576"/>
        <item x="124"/>
        <item x="229"/>
        <item x="211"/>
        <item x="66"/>
        <item x="391"/>
        <item x="364"/>
        <item x="63"/>
        <item x="642"/>
        <item x="259"/>
        <item x="344"/>
        <item x="188"/>
        <item x="452"/>
        <item x="436"/>
        <item x="207"/>
        <item x="144"/>
        <item x="444"/>
        <item x="638"/>
        <item x="566"/>
        <item x="263"/>
        <item x="278"/>
        <item t="default"/>
      </items>
    </pivotField>
    <pivotField showAll="0"/>
    <pivotField showAll="0">
      <items count="7">
        <item x="0"/>
        <item x="3"/>
        <item x="5"/>
        <item x="1"/>
        <item x="4"/>
        <item x="2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numFmtId="1" showAll="0"/>
    <pivotField showAll="0"/>
    <pivotField showAll="0"/>
    <pivotField dataField="1"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Items count="1">
    <i/>
  </colItems>
  <dataFields count="1">
    <dataField name="Somme de CA_Ne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80DF3A-C18F-4559-BAD4-365BDA132BAE}" name="Tableau croisé dynamique11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10" rowHeaderCaption="REGION">
  <location ref="B30:D37" firstHeaderRow="0" firstDataRow="1" firstDataCol="1"/>
  <pivotFields count="21">
    <pivotField showAll="0"/>
    <pivotField numFmtId="14" showAll="0">
      <items count="693">
        <item x="62"/>
        <item x="603"/>
        <item x="88"/>
        <item x="414"/>
        <item x="657"/>
        <item x="629"/>
        <item x="688"/>
        <item x="19"/>
        <item x="592"/>
        <item x="578"/>
        <item x="271"/>
        <item x="261"/>
        <item x="321"/>
        <item x="549"/>
        <item x="574"/>
        <item x="604"/>
        <item x="567"/>
        <item x="552"/>
        <item x="61"/>
        <item x="515"/>
        <item x="449"/>
        <item x="178"/>
        <item x="512"/>
        <item x="235"/>
        <item x="64"/>
        <item x="529"/>
        <item x="280"/>
        <item x="90"/>
        <item x="276"/>
        <item x="381"/>
        <item x="506"/>
        <item x="78"/>
        <item x="93"/>
        <item x="13"/>
        <item x="210"/>
        <item x="530"/>
        <item x="209"/>
        <item x="177"/>
        <item x="376"/>
        <item x="564"/>
        <item x="158"/>
        <item x="472"/>
        <item x="265"/>
        <item x="160"/>
        <item x="572"/>
        <item x="593"/>
        <item x="624"/>
        <item x="33"/>
        <item x="544"/>
        <item x="245"/>
        <item x="21"/>
        <item x="132"/>
        <item x="100"/>
        <item x="618"/>
        <item x="672"/>
        <item x="164"/>
        <item x="216"/>
        <item x="99"/>
        <item x="27"/>
        <item x="478"/>
        <item x="689"/>
        <item x="406"/>
        <item x="570"/>
        <item x="501"/>
        <item x="507"/>
        <item x="40"/>
        <item x="415"/>
        <item x="392"/>
        <item x="29"/>
        <item x="223"/>
        <item x="683"/>
        <item x="341"/>
        <item x="469"/>
        <item x="386"/>
        <item x="15"/>
        <item x="423"/>
        <item x="121"/>
        <item x="143"/>
        <item x="519"/>
        <item x="559"/>
        <item x="47"/>
        <item x="575"/>
        <item x="268"/>
        <item x="277"/>
        <item x="690"/>
        <item x="482"/>
        <item x="495"/>
        <item x="527"/>
        <item x="600"/>
        <item x="128"/>
        <item x="36"/>
        <item x="384"/>
        <item x="558"/>
        <item x="492"/>
        <item x="396"/>
        <item x="106"/>
        <item x="281"/>
        <item x="241"/>
        <item x="332"/>
        <item x="307"/>
        <item x="272"/>
        <item x="50"/>
        <item x="126"/>
        <item x="189"/>
        <item x="440"/>
        <item x="568"/>
        <item x="543"/>
        <item x="636"/>
        <item x="91"/>
        <item x="12"/>
        <item x="114"/>
        <item x="358"/>
        <item x="303"/>
        <item x="287"/>
        <item x="185"/>
        <item x="475"/>
        <item x="605"/>
        <item x="608"/>
        <item x="644"/>
        <item x="60"/>
        <item x="548"/>
        <item x="513"/>
        <item x="316"/>
        <item x="675"/>
        <item x="175"/>
        <item x="306"/>
        <item x="424"/>
        <item x="51"/>
        <item x="305"/>
        <item x="677"/>
        <item x="441"/>
        <item x="459"/>
        <item x="353"/>
        <item x="152"/>
        <item x="601"/>
        <item x="176"/>
        <item x="82"/>
        <item x="465"/>
        <item x="155"/>
        <item x="426"/>
        <item x="250"/>
        <item x="563"/>
        <item x="665"/>
        <item x="610"/>
        <item x="667"/>
        <item x="499"/>
        <item x="468"/>
        <item x="68"/>
        <item x="159"/>
        <item x="486"/>
        <item x="378"/>
        <item x="205"/>
        <item x="275"/>
        <item x="194"/>
        <item x="87"/>
        <item x="628"/>
        <item x="37"/>
        <item x="24"/>
        <item x="504"/>
        <item x="451"/>
        <item x="331"/>
        <item x="540"/>
        <item x="355"/>
        <item x="678"/>
        <item x="219"/>
        <item x="242"/>
        <item x="325"/>
        <item x="45"/>
        <item x="101"/>
        <item x="582"/>
        <item x="215"/>
        <item x="232"/>
        <item x="643"/>
        <item x="682"/>
        <item x="547"/>
        <item x="546"/>
        <item x="243"/>
        <item x="434"/>
        <item x="238"/>
        <item x="617"/>
        <item x="497"/>
        <item x="687"/>
        <item x="94"/>
        <item x="25"/>
        <item x="648"/>
        <item x="463"/>
        <item x="288"/>
        <item x="75"/>
        <item x="299"/>
        <item x="632"/>
        <item x="659"/>
        <item x="48"/>
        <item x="462"/>
        <item x="466"/>
        <item x="354"/>
        <item x="253"/>
        <item x="174"/>
        <item x="28"/>
        <item x="419"/>
        <item x="343"/>
        <item x="133"/>
        <item x="671"/>
        <item x="304"/>
        <item x="254"/>
        <item x="171"/>
        <item x="115"/>
        <item x="366"/>
        <item x="173"/>
        <item x="586"/>
        <item x="500"/>
        <item x="118"/>
        <item x="10"/>
        <item x="18"/>
        <item x="113"/>
        <item x="400"/>
        <item x="267"/>
        <item x="151"/>
        <item x="445"/>
        <item x="432"/>
        <item x="521"/>
        <item x="681"/>
        <item x="361"/>
        <item x="611"/>
        <item x="612"/>
        <item x="5"/>
        <item x="673"/>
        <item x="623"/>
        <item x="686"/>
        <item x="104"/>
        <item x="520"/>
        <item x="8"/>
        <item x="218"/>
        <item x="461"/>
        <item x="260"/>
        <item x="405"/>
        <item x="503"/>
        <item x="589"/>
        <item x="363"/>
        <item x="483"/>
        <item x="438"/>
        <item x="511"/>
        <item x="149"/>
        <item x="324"/>
        <item x="295"/>
        <item x="157"/>
        <item x="102"/>
        <item x="208"/>
        <item x="285"/>
        <item x="71"/>
        <item x="431"/>
        <item x="450"/>
        <item x="41"/>
        <item x="258"/>
        <item x="308"/>
        <item x="502"/>
        <item x="9"/>
        <item x="595"/>
        <item x="310"/>
        <item x="237"/>
        <item x="108"/>
        <item x="516"/>
        <item x="395"/>
        <item x="454"/>
        <item x="346"/>
        <item x="537"/>
        <item x="202"/>
        <item x="616"/>
        <item x="596"/>
        <item x="676"/>
        <item x="292"/>
        <item x="32"/>
        <item x="380"/>
        <item x="428"/>
        <item x="356"/>
        <item x="553"/>
        <item x="373"/>
        <item x="360"/>
        <item x="458"/>
        <item x="408"/>
        <item x="369"/>
        <item x="374"/>
        <item x="328"/>
        <item x="73"/>
        <item x="630"/>
        <item x="658"/>
        <item x="234"/>
        <item x="181"/>
        <item x="397"/>
        <item x="336"/>
        <item x="437"/>
        <item x="264"/>
        <item x="161"/>
        <item x="204"/>
        <item x="195"/>
        <item x="455"/>
        <item x="146"/>
        <item x="44"/>
        <item x="136"/>
        <item x="412"/>
        <item x="236"/>
        <item x="255"/>
        <item x="314"/>
        <item x="220"/>
        <item x="620"/>
        <item x="282"/>
        <item x="420"/>
        <item x="634"/>
        <item x="213"/>
        <item x="228"/>
        <item x="266"/>
        <item x="84"/>
        <item x="14"/>
        <item x="129"/>
        <item x="371"/>
        <item x="583"/>
        <item x="389"/>
        <item x="30"/>
        <item x="142"/>
        <item x="523"/>
        <item x="302"/>
        <item x="522"/>
        <item x="198"/>
        <item x="534"/>
        <item x="453"/>
        <item x="273"/>
        <item x="641"/>
        <item x="561"/>
        <item x="359"/>
        <item x="647"/>
        <item x="418"/>
        <item x="252"/>
        <item x="496"/>
        <item x="103"/>
        <item x="590"/>
        <item x="284"/>
        <item x="201"/>
        <item x="137"/>
        <item x="615"/>
        <item x="248"/>
        <item x="105"/>
        <item x="597"/>
        <item x="409"/>
        <item x="422"/>
        <item x="417"/>
        <item x="684"/>
        <item x="166"/>
        <item x="109"/>
        <item x="404"/>
        <item x="169"/>
        <item x="493"/>
        <item x="289"/>
        <item x="320"/>
        <item x="385"/>
        <item x="313"/>
        <item x="112"/>
        <item x="35"/>
        <item x="262"/>
        <item x="125"/>
        <item x="622"/>
        <item x="517"/>
        <item x="222"/>
        <item x="470"/>
        <item x="621"/>
        <item x="286"/>
        <item x="651"/>
        <item x="609"/>
        <item x="95"/>
        <item x="200"/>
        <item x="416"/>
        <item x="631"/>
        <item x="311"/>
        <item x="180"/>
        <item x="279"/>
        <item x="297"/>
        <item x="206"/>
        <item x="425"/>
        <item x="464"/>
        <item x="411"/>
        <item x="351"/>
        <item x="403"/>
        <item x="588"/>
        <item x="226"/>
        <item x="138"/>
        <item x="246"/>
        <item x="489"/>
        <item x="550"/>
        <item x="484"/>
        <item x="498"/>
        <item x="357"/>
        <item x="239"/>
        <item x="640"/>
        <item x="72"/>
        <item x="55"/>
        <item x="481"/>
        <item x="300"/>
        <item x="598"/>
        <item x="398"/>
        <item x="655"/>
        <item x="402"/>
        <item x="49"/>
        <item x="3"/>
        <item x="312"/>
        <item x="656"/>
        <item x="607"/>
        <item x="533"/>
        <item x="433"/>
        <item x="338"/>
        <item x="372"/>
        <item x="98"/>
        <item x="654"/>
        <item x="456"/>
        <item x="430"/>
        <item x="542"/>
        <item x="240"/>
        <item x="131"/>
        <item x="43"/>
        <item x="367"/>
        <item x="594"/>
        <item x="388"/>
        <item x="225"/>
        <item x="536"/>
        <item x="579"/>
        <item x="147"/>
        <item x="379"/>
        <item x="96"/>
        <item x="76"/>
        <item x="34"/>
        <item x="130"/>
        <item x="116"/>
        <item x="625"/>
        <item x="339"/>
        <item x="591"/>
        <item x="691"/>
        <item x="22"/>
        <item x="674"/>
        <item x="330"/>
        <item x="535"/>
        <item x="524"/>
        <item x="350"/>
        <item x="139"/>
        <item x="421"/>
        <item x="81"/>
        <item x="447"/>
        <item x="290"/>
        <item x="186"/>
        <item x="39"/>
        <item x="457"/>
        <item x="477"/>
        <item x="443"/>
        <item x="293"/>
        <item x="394"/>
        <item x="662"/>
        <item x="83"/>
        <item x="97"/>
        <item x="487"/>
        <item x="393"/>
        <item x="199"/>
        <item x="20"/>
        <item x="294"/>
        <item x="156"/>
        <item x="334"/>
        <item x="577"/>
        <item x="627"/>
        <item x="170"/>
        <item x="460"/>
        <item x="545"/>
        <item x="488"/>
        <item x="555"/>
        <item x="528"/>
        <item x="318"/>
        <item x="184"/>
        <item x="244"/>
        <item x="669"/>
        <item x="599"/>
        <item x="382"/>
        <item x="167"/>
        <item x="77"/>
        <item x="637"/>
        <item x="471"/>
        <item x="494"/>
        <item x="474"/>
        <item x="518"/>
        <item x="532"/>
        <item x="476"/>
        <item x="508"/>
        <item x="446"/>
        <item x="663"/>
        <item x="635"/>
        <item x="442"/>
        <item x="365"/>
        <item x="666"/>
        <item x="348"/>
        <item x="150"/>
        <item x="661"/>
        <item x="660"/>
        <item x="342"/>
        <item x="296"/>
        <item x="560"/>
        <item x="347"/>
        <item x="80"/>
        <item x="17"/>
        <item x="525"/>
        <item x="401"/>
        <item x="270"/>
        <item x="53"/>
        <item x="505"/>
        <item x="633"/>
        <item x="614"/>
        <item x="410"/>
        <item x="485"/>
        <item x="491"/>
        <item x="16"/>
        <item x="679"/>
        <item x="217"/>
        <item x="26"/>
        <item x="427"/>
        <item x="148"/>
        <item x="626"/>
        <item x="390"/>
        <item x="606"/>
        <item x="123"/>
        <item x="309"/>
        <item x="247"/>
        <item x="54"/>
        <item x="473"/>
        <item x="664"/>
        <item x="368"/>
        <item x="670"/>
        <item x="135"/>
        <item x="57"/>
        <item x="196"/>
        <item x="52"/>
        <item x="74"/>
        <item x="571"/>
        <item x="4"/>
        <item x="214"/>
        <item x="31"/>
        <item x="335"/>
        <item x="352"/>
        <item x="383"/>
        <item x="298"/>
        <item x="554"/>
        <item x="127"/>
        <item x="650"/>
        <item x="183"/>
        <item x="59"/>
        <item x="652"/>
        <item x="1"/>
        <item x="322"/>
        <item x="110"/>
        <item x="587"/>
        <item x="448"/>
        <item x="141"/>
        <item x="283"/>
        <item x="301"/>
        <item x="315"/>
        <item x="257"/>
        <item x="581"/>
        <item x="413"/>
        <item x="319"/>
        <item x="46"/>
        <item x="251"/>
        <item x="193"/>
        <item x="197"/>
        <item x="480"/>
        <item x="86"/>
        <item x="274"/>
        <item x="370"/>
        <item x="79"/>
        <item x="349"/>
        <item x="668"/>
        <item x="551"/>
        <item x="69"/>
        <item x="119"/>
        <item x="203"/>
        <item x="585"/>
        <item x="680"/>
        <item x="122"/>
        <item x="224"/>
        <item x="92"/>
        <item x="557"/>
        <item x="89"/>
        <item x="326"/>
        <item x="490"/>
        <item x="435"/>
        <item x="646"/>
        <item x="556"/>
        <item x="163"/>
        <item x="153"/>
        <item x="70"/>
        <item x="192"/>
        <item x="399"/>
        <item x="182"/>
        <item x="221"/>
        <item x="407"/>
        <item x="256"/>
        <item x="531"/>
        <item x="602"/>
        <item x="333"/>
        <item x="337"/>
        <item x="227"/>
        <item x="653"/>
        <item x="154"/>
        <item x="649"/>
        <item x="179"/>
        <item x="291"/>
        <item x="569"/>
        <item x="191"/>
        <item x="187"/>
        <item x="249"/>
        <item x="327"/>
        <item x="190"/>
        <item x="317"/>
        <item x="541"/>
        <item x="362"/>
        <item x="231"/>
        <item x="539"/>
        <item x="639"/>
        <item x="429"/>
        <item x="0"/>
        <item x="7"/>
        <item x="172"/>
        <item x="387"/>
        <item x="120"/>
        <item x="467"/>
        <item x="140"/>
        <item x="340"/>
        <item x="233"/>
        <item x="67"/>
        <item x="212"/>
        <item x="2"/>
        <item x="514"/>
        <item x="23"/>
        <item x="107"/>
        <item x="65"/>
        <item x="165"/>
        <item x="134"/>
        <item x="613"/>
        <item x="375"/>
        <item x="439"/>
        <item x="562"/>
        <item x="526"/>
        <item x="538"/>
        <item x="584"/>
        <item x="323"/>
        <item x="269"/>
        <item x="377"/>
        <item x="565"/>
        <item x="329"/>
        <item x="38"/>
        <item x="6"/>
        <item x="479"/>
        <item x="85"/>
        <item x="510"/>
        <item x="580"/>
        <item x="345"/>
        <item x="111"/>
        <item x="509"/>
        <item x="58"/>
        <item x="11"/>
        <item x="619"/>
        <item x="168"/>
        <item x="645"/>
        <item x="117"/>
        <item x="162"/>
        <item x="685"/>
        <item x="145"/>
        <item x="573"/>
        <item x="230"/>
        <item x="56"/>
        <item x="42"/>
        <item x="576"/>
        <item x="124"/>
        <item x="229"/>
        <item x="211"/>
        <item x="66"/>
        <item x="391"/>
        <item x="364"/>
        <item x="63"/>
        <item x="642"/>
        <item x="259"/>
        <item x="344"/>
        <item x="188"/>
        <item x="452"/>
        <item x="436"/>
        <item x="207"/>
        <item x="144"/>
        <item x="444"/>
        <item x="638"/>
        <item x="566"/>
        <item x="263"/>
        <item x="278"/>
        <item t="default"/>
      </items>
    </pivotField>
    <pivotField showAll="0">
      <items count="11">
        <item x="9"/>
        <item x="5"/>
        <item x="1"/>
        <item x="7"/>
        <item x="0"/>
        <item x="4"/>
        <item x="3"/>
        <item x="6"/>
        <item x="2"/>
        <item x="8"/>
        <item t="default"/>
      </items>
    </pivotField>
    <pivotField axis="axisRow" showAll="0" sortType="descending">
      <items count="7">
        <item x="0"/>
        <item x="3"/>
        <item x="5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numFmtId="1" showAll="0"/>
    <pivotField showAll="0"/>
    <pivotField showAll="0"/>
    <pivotField dataField="1" showAll="0">
      <items count="1756">
        <item x="1467"/>
        <item x="1149"/>
        <item x="1450"/>
        <item x="18"/>
        <item x="1259"/>
        <item x="1190"/>
        <item x="969"/>
        <item x="1323"/>
        <item x="930"/>
        <item x="495"/>
        <item x="46"/>
        <item x="78"/>
        <item x="2"/>
        <item x="879"/>
        <item x="477"/>
        <item x="885"/>
        <item x="254"/>
        <item x="597"/>
        <item x="783"/>
        <item x="513"/>
        <item x="888"/>
        <item x="454"/>
        <item x="1705"/>
        <item x="785"/>
        <item x="1659"/>
        <item x="153"/>
        <item x="1405"/>
        <item x="484"/>
        <item x="1215"/>
        <item x="921"/>
        <item x="83"/>
        <item x="917"/>
        <item x="1349"/>
        <item x="1291"/>
        <item x="1505"/>
        <item x="766"/>
        <item x="337"/>
        <item x="1634"/>
        <item x="1401"/>
        <item x="696"/>
        <item x="1680"/>
        <item x="401"/>
        <item x="971"/>
        <item x="27"/>
        <item x="509"/>
        <item x="896"/>
        <item x="1166"/>
        <item x="939"/>
        <item x="120"/>
        <item x="966"/>
        <item x="1195"/>
        <item x="400"/>
        <item x="526"/>
        <item x="171"/>
        <item x="155"/>
        <item x="586"/>
        <item x="1231"/>
        <item x="478"/>
        <item x="995"/>
        <item x="1372"/>
        <item x="852"/>
        <item x="129"/>
        <item x="634"/>
        <item x="1541"/>
        <item x="1256"/>
        <item x="571"/>
        <item x="1013"/>
        <item x="1036"/>
        <item x="1702"/>
        <item x="240"/>
        <item x="1292"/>
        <item x="172"/>
        <item x="1580"/>
        <item x="39"/>
        <item x="664"/>
        <item x="40"/>
        <item x="238"/>
        <item x="724"/>
        <item x="55"/>
        <item x="593"/>
        <item x="1066"/>
        <item x="1374"/>
        <item x="1394"/>
        <item x="237"/>
        <item x="1406"/>
        <item x="1496"/>
        <item x="795"/>
        <item x="990"/>
        <item x="504"/>
        <item x="1105"/>
        <item x="1532"/>
        <item x="828"/>
        <item x="572"/>
        <item x="997"/>
        <item x="1544"/>
        <item x="670"/>
        <item x="19"/>
        <item x="635"/>
        <item x="428"/>
        <item x="394"/>
        <item x="855"/>
        <item x="1754"/>
        <item x="1526"/>
        <item x="1667"/>
        <item x="884"/>
        <item x="1741"/>
        <item x="162"/>
        <item x="910"/>
        <item x="1246"/>
        <item x="190"/>
        <item x="1286"/>
        <item x="1604"/>
        <item x="550"/>
        <item x="1029"/>
        <item x="134"/>
        <item x="1463"/>
        <item x="1696"/>
        <item x="1154"/>
        <item x="257"/>
        <item x="710"/>
        <item x="253"/>
        <item x="397"/>
        <item x="1125"/>
        <item x="541"/>
        <item x="592"/>
        <item x="30"/>
        <item x="1510"/>
        <item x="794"/>
        <item x="1139"/>
        <item x="118"/>
        <item x="1508"/>
        <item x="1318"/>
        <item x="1206"/>
        <item x="1169"/>
        <item x="1354"/>
        <item x="1071"/>
        <item x="281"/>
        <item x="1747"/>
        <item x="1710"/>
        <item x="928"/>
        <item x="1343"/>
        <item x="804"/>
        <item x="758"/>
        <item x="157"/>
        <item x="1021"/>
        <item x="886"/>
        <item x="1321"/>
        <item x="978"/>
        <item x="194"/>
        <item x="963"/>
        <item x="856"/>
        <item x="1683"/>
        <item x="877"/>
        <item x="227"/>
        <item x="695"/>
        <item x="630"/>
        <item x="1098"/>
        <item x="1583"/>
        <item x="787"/>
        <item x="1068"/>
        <item x="1557"/>
        <item x="1293"/>
        <item x="706"/>
        <item x="76"/>
        <item x="314"/>
        <item x="436"/>
        <item x="525"/>
        <item x="1527"/>
        <item x="1737"/>
        <item x="282"/>
        <item x="342"/>
        <item x="268"/>
        <item x="979"/>
        <item x="1454"/>
        <item x="1198"/>
        <item x="211"/>
        <item x="1136"/>
        <item x="611"/>
        <item x="1341"/>
        <item x="1607"/>
        <item x="860"/>
        <item x="1461"/>
        <item x="329"/>
        <item x="1670"/>
        <item x="679"/>
        <item x="580"/>
        <item x="442"/>
        <item x="543"/>
        <item x="1713"/>
        <item x="1155"/>
        <item x="1336"/>
        <item x="457"/>
        <item x="521"/>
        <item x="1266"/>
        <item x="1408"/>
        <item x="272"/>
        <item x="519"/>
        <item x="1435"/>
        <item x="1197"/>
        <item x="1245"/>
        <item x="832"/>
        <item x="339"/>
        <item x="1375"/>
        <item x="233"/>
        <item x="173"/>
        <item x="1451"/>
        <item x="1038"/>
        <item x="473"/>
        <item x="503"/>
        <item x="745"/>
        <item x="187"/>
        <item x="1673"/>
        <item x="1227"/>
        <item x="1418"/>
        <item x="3"/>
        <item x="753"/>
        <item x="1060"/>
        <item x="1015"/>
        <item x="280"/>
        <item x="17"/>
        <item x="1119"/>
        <item x="1387"/>
        <item x="647"/>
        <item x="116"/>
        <item x="1299"/>
        <item x="1011"/>
        <item x="1420"/>
        <item x="289"/>
        <item x="1724"/>
        <item x="1058"/>
        <item x="1280"/>
        <item x="23"/>
        <item x="520"/>
        <item x="323"/>
        <item x="547"/>
        <item x="1653"/>
        <item x="576"/>
        <item x="1536"/>
        <item x="648"/>
        <item x="126"/>
        <item x="170"/>
        <item x="1560"/>
        <item x="1452"/>
        <item x="788"/>
        <item x="704"/>
        <item x="295"/>
        <item x="1131"/>
        <item x="889"/>
        <item x="549"/>
        <item x="651"/>
        <item x="1632"/>
        <item x="22"/>
        <item x="168"/>
        <item x="555"/>
        <item x="1331"/>
        <item x="142"/>
        <item x="566"/>
        <item x="366"/>
        <item x="539"/>
        <item x="150"/>
        <item x="221"/>
        <item x="260"/>
        <item x="287"/>
        <item x="686"/>
        <item x="1277"/>
        <item x="902"/>
        <item x="1100"/>
        <item x="1089"/>
        <item x="1748"/>
        <item x="1193"/>
        <item x="1609"/>
        <item x="1633"/>
        <item x="1590"/>
        <item x="556"/>
        <item x="475"/>
        <item x="956"/>
        <item x="1025"/>
        <item x="461"/>
        <item x="1338"/>
        <item x="64"/>
        <item x="1598"/>
        <item x="1495"/>
        <item x="1333"/>
        <item x="1370"/>
        <item x="204"/>
        <item x="54"/>
        <item x="876"/>
        <item x="1007"/>
        <item x="250"/>
        <item x="767"/>
        <item x="356"/>
        <item x="699"/>
        <item x="883"/>
        <item x="32"/>
        <item x="1043"/>
        <item x="736"/>
        <item x="1063"/>
        <item x="1668"/>
        <item x="803"/>
        <item x="1046"/>
        <item x="1440"/>
        <item x="1111"/>
        <item x="1053"/>
        <item x="1037"/>
        <item x="1385"/>
        <item x="1603"/>
        <item x="1116"/>
        <item x="201"/>
        <item x="351"/>
        <item x="673"/>
        <item x="1546"/>
        <item x="688"/>
        <item x="898"/>
        <item x="410"/>
        <item x="315"/>
        <item x="487"/>
        <item x="1200"/>
        <item x="290"/>
        <item x="347"/>
        <item x="1114"/>
        <item x="1414"/>
        <item x="1645"/>
        <item x="1009"/>
        <item x="668"/>
        <item x="324"/>
        <item x="854"/>
        <item x="371"/>
        <item x="143"/>
        <item x="286"/>
        <item x="560"/>
        <item x="431"/>
        <item x="1260"/>
        <item x="5"/>
        <item x="163"/>
        <item x="1592"/>
        <item x="916"/>
        <item x="111"/>
        <item x="1588"/>
        <item x="139"/>
        <item x="219"/>
        <item x="1525"/>
        <item x="559"/>
        <item x="735"/>
        <item x="183"/>
        <item x="793"/>
        <item x="270"/>
        <item x="434"/>
        <item x="1072"/>
        <item x="1686"/>
        <item x="882"/>
        <item x="51"/>
        <item x="878"/>
        <item x="275"/>
        <item x="951"/>
        <item x="456"/>
        <item x="1223"/>
        <item x="393"/>
        <item x="1359"/>
        <item x="1085"/>
        <item x="1542"/>
        <item x="929"/>
        <item x="1675"/>
        <item x="1159"/>
        <item x="1224"/>
        <item x="271"/>
        <item x="945"/>
        <item x="1017"/>
        <item x="666"/>
        <item x="1167"/>
        <item x="1194"/>
        <item x="1115"/>
        <item x="846"/>
        <item x="325"/>
        <item x="584"/>
        <item x="432"/>
        <item x="505"/>
        <item x="1431"/>
        <item x="829"/>
        <item x="1616"/>
        <item x="908"/>
        <item x="291"/>
        <item x="1189"/>
        <item x="1020"/>
        <item x="608"/>
        <item x="749"/>
        <item x="1003"/>
        <item x="79"/>
        <item x="514"/>
        <item x="1515"/>
        <item x="1257"/>
        <item x="1022"/>
        <item x="380"/>
        <item x="1743"/>
        <item x="494"/>
        <item x="1577"/>
        <item x="1457"/>
        <item x="989"/>
        <item x="947"/>
        <item x="1647"/>
        <item x="1597"/>
        <item x="1264"/>
        <item x="1694"/>
        <item x="923"/>
        <item x="6"/>
        <item x="1251"/>
        <item x="1255"/>
        <item x="1441"/>
        <item x="166"/>
        <item x="1230"/>
        <item x="970"/>
        <item x="1388"/>
        <item x="36"/>
        <item x="245"/>
        <item x="960"/>
        <item x="544"/>
        <item x="415"/>
        <item x="1605"/>
        <item x="518"/>
        <item x="1635"/>
        <item x="44"/>
        <item x="772"/>
        <item x="603"/>
        <item x="1282"/>
        <item x="838"/>
        <item x="331"/>
        <item x="561"/>
        <item x="229"/>
        <item x="1549"/>
        <item x="653"/>
        <item x="486"/>
        <item x="119"/>
        <item x="1498"/>
        <item x="1649"/>
        <item x="1235"/>
        <item x="948"/>
        <item x="483"/>
        <item x="800"/>
        <item x="50"/>
        <item x="747"/>
        <item x="1103"/>
        <item x="1357"/>
        <item x="968"/>
        <item x="985"/>
        <item x="1130"/>
        <item x="1073"/>
        <item x="574"/>
        <item x="1057"/>
        <item x="1304"/>
        <item x="1717"/>
        <item x="998"/>
        <item x="1000"/>
        <item x="1750"/>
        <item x="693"/>
        <item x="8"/>
        <item x="1624"/>
        <item x="1008"/>
        <item x="516"/>
        <item x="208"/>
        <item x="1173"/>
        <item x="891"/>
        <item x="1399"/>
        <item x="1700"/>
        <item x="1445"/>
        <item x="862"/>
        <item x="765"/>
        <item x="357"/>
        <item x="588"/>
        <item x="849"/>
        <item x="320"/>
        <item x="675"/>
        <item x="622"/>
        <item x="1061"/>
        <item x="1220"/>
        <item x="1695"/>
        <item x="1455"/>
        <item x="1657"/>
        <item x="202"/>
        <item x="387"/>
        <item x="1652"/>
        <item x="873"/>
        <item x="1490"/>
        <item x="554"/>
        <item x="1575"/>
        <item x="872"/>
        <item x="96"/>
        <item x="376"/>
        <item x="1340"/>
        <item x="1704"/>
        <item x="382"/>
        <item x="1290"/>
        <item x="1735"/>
        <item x="839"/>
        <item x="61"/>
        <item x="1281"/>
        <item x="1332"/>
        <item x="215"/>
        <item x="1513"/>
        <item x="830"/>
        <item x="414"/>
        <item x="220"/>
        <item x="757"/>
        <item x="936"/>
        <item x="496"/>
        <item x="524"/>
        <item x="1353"/>
        <item x="411"/>
        <item x="1083"/>
        <item x="1161"/>
        <item x="1520"/>
        <item x="209"/>
        <item x="349"/>
        <item x="660"/>
        <item x="231"/>
        <item x="515"/>
        <item x="15"/>
        <item x="1275"/>
        <item x="1366"/>
        <item x="462"/>
        <item x="1570"/>
        <item x="618"/>
        <item x="81"/>
        <item x="1033"/>
        <item x="843"/>
        <item x="452"/>
        <item x="954"/>
        <item x="1144"/>
        <item x="927"/>
        <item x="1184"/>
        <item x="493"/>
        <item x="269"/>
        <item x="1721"/>
        <item x="1180"/>
        <item x="663"/>
        <item x="392"/>
        <item x="448"/>
        <item x="1093"/>
        <item x="1314"/>
        <item x="130"/>
        <item x="932"/>
        <item x="1424"/>
        <item x="826"/>
        <item x="379"/>
        <item x="1325"/>
        <item x="796"/>
        <item x="1324"/>
        <item x="937"/>
        <item x="57"/>
        <item x="313"/>
        <item x="1393"/>
        <item x="952"/>
        <item x="1472"/>
        <item x="1742"/>
        <item x="1566"/>
        <item x="446"/>
        <item x="1539"/>
        <item x="1534"/>
        <item x="676"/>
        <item x="805"/>
        <item x="20"/>
        <item x="1334"/>
        <item x="1186"/>
        <item x="466"/>
        <item x="1373"/>
        <item x="1055"/>
        <item x="1484"/>
        <item x="1124"/>
        <item x="203"/>
        <item x="140"/>
        <item x="1479"/>
        <item x="984"/>
        <item x="672"/>
        <item x="147"/>
        <item x="87"/>
        <item x="1249"/>
        <item x="1030"/>
        <item x="345"/>
        <item x="1315"/>
        <item x="718"/>
        <item x="1449"/>
        <item x="135"/>
        <item x="70"/>
        <item x="455"/>
        <item x="1356"/>
        <item x="681"/>
        <item x="1729"/>
        <item x="741"/>
        <item x="174"/>
        <item x="29"/>
        <item x="106"/>
        <item x="1381"/>
        <item x="1464"/>
        <item x="1203"/>
        <item x="1619"/>
        <item x="416"/>
        <item x="47"/>
        <item x="967"/>
        <item x="777"/>
        <item x="903"/>
        <item x="585"/>
        <item x="817"/>
        <item x="789"/>
        <item x="850"/>
        <item x="1708"/>
        <item x="986"/>
        <item x="900"/>
        <item x="614"/>
        <item x="1328"/>
        <item x="53"/>
        <item x="1715"/>
        <item x="344"/>
        <item x="191"/>
        <item x="451"/>
        <item x="1342"/>
        <item x="160"/>
        <item x="425"/>
        <item x="192"/>
        <item x="242"/>
        <item x="517"/>
        <item x="1563"/>
        <item x="409"/>
        <item x="1228"/>
        <item x="942"/>
        <item x="1416"/>
        <item x="318"/>
        <item x="1511"/>
        <item x="1379"/>
        <item x="818"/>
        <item x="459"/>
        <item x="343"/>
        <item x="1082"/>
        <item x="742"/>
        <item x="1732"/>
        <item x="1153"/>
        <item x="1614"/>
        <item x="919"/>
        <item x="422"/>
        <item x="367"/>
        <item x="1150"/>
        <item x="481"/>
        <item x="1745"/>
        <item x="1092"/>
        <item x="1032"/>
        <item x="1428"/>
        <item x="1262"/>
        <item x="274"/>
        <item x="463"/>
        <item x="85"/>
        <item x="610"/>
        <item x="652"/>
        <item x="933"/>
        <item x="180"/>
        <item x="1523"/>
        <item x="893"/>
        <item x="768"/>
        <item x="914"/>
        <item x="871"/>
        <item x="1439"/>
        <item x="683"/>
        <item x="814"/>
        <item x="125"/>
        <item x="1430"/>
        <item x="7"/>
        <item x="1002"/>
        <item x="654"/>
        <item x="918"/>
        <item x="643"/>
        <item x="835"/>
        <item x="708"/>
        <item x="1595"/>
        <item x="1261"/>
        <item x="740"/>
        <item x="133"/>
        <item x="703"/>
        <item x="853"/>
        <item x="1371"/>
        <item x="1148"/>
        <item x="1664"/>
        <item x="1411"/>
        <item x="733"/>
        <item x="244"/>
        <item x="558"/>
        <item x="906"/>
        <item x="1134"/>
        <item x="1048"/>
        <item x="1669"/>
        <item x="1448"/>
        <item x="722"/>
        <item x="1535"/>
        <item x="389"/>
        <item x="1165"/>
        <item x="996"/>
        <item x="1672"/>
        <item x="813"/>
        <item x="386"/>
        <item x="798"/>
        <item x="905"/>
        <item x="1687"/>
        <item x="782"/>
        <item x="1067"/>
        <item x="1147"/>
        <item x="222"/>
        <item x="869"/>
        <item x="1283"/>
        <item x="1253"/>
        <item x="1443"/>
        <item x="684"/>
        <item x="103"/>
        <item x="1723"/>
        <item x="748"/>
        <item x="834"/>
        <item x="870"/>
        <item x="1637"/>
        <item x="1214"/>
        <item x="1599"/>
        <item x="1044"/>
        <item x="179"/>
        <item x="306"/>
        <item x="831"/>
        <item x="1501"/>
        <item x="73"/>
        <item x="874"/>
        <item x="1294"/>
        <item x="1080"/>
        <item x="346"/>
        <item x="507"/>
        <item x="682"/>
        <item x="1504"/>
        <item x="756"/>
        <item x="1689"/>
        <item x="943"/>
        <item x="1693"/>
        <item x="1719"/>
        <item x="28"/>
        <item x="1237"/>
        <item x="674"/>
        <item x="1644"/>
        <item x="1423"/>
        <item x="924"/>
        <item x="1128"/>
        <item x="1157"/>
        <item x="769"/>
        <item x="1674"/>
        <item x="1629"/>
        <item x="628"/>
        <item x="279"/>
        <item x="1660"/>
        <item x="977"/>
        <item x="404"/>
        <item x="553"/>
        <item x="1608"/>
        <item x="931"/>
        <item x="1162"/>
        <item x="1240"/>
        <item x="1711"/>
        <item x="145"/>
        <item x="1120"/>
        <item x="1243"/>
        <item x="1499"/>
        <item x="131"/>
        <item x="564"/>
        <item x="1222"/>
        <item x="1001"/>
        <item x="620"/>
        <item x="1311"/>
        <item x="37"/>
        <item x="1267"/>
        <item x="623"/>
        <item x="375"/>
        <item x="1087"/>
        <item x="1242"/>
        <item x="213"/>
        <item x="480"/>
        <item x="1631"/>
        <item x="1571"/>
        <item x="185"/>
        <item x="328"/>
        <item x="175"/>
        <item x="1483"/>
        <item x="1064"/>
        <item x="992"/>
        <item x="1701"/>
        <item x="820"/>
        <item x="1751"/>
        <item x="857"/>
        <item x="690"/>
        <item x="372"/>
        <item x="511"/>
        <item x="582"/>
        <item x="1561"/>
        <item x="189"/>
        <item x="775"/>
        <item x="573"/>
        <item x="786"/>
        <item x="644"/>
        <item x="321"/>
        <item x="895"/>
        <item x="1163"/>
        <item x="249"/>
        <item x="815"/>
        <item x="226"/>
        <item x="926"/>
        <item x="1143"/>
        <item x="1524"/>
        <item x="121"/>
        <item x="408"/>
        <item x="725"/>
        <item x="267"/>
        <item x="1208"/>
        <item x="1049"/>
        <item x="1475"/>
        <item x="1473"/>
        <item x="453"/>
        <item x="284"/>
        <item x="1564"/>
        <item x="433"/>
        <item x="35"/>
        <item x="533"/>
        <item x="1151"/>
        <item x="362"/>
        <item x="419"/>
        <item x="656"/>
        <item x="1391"/>
        <item x="1565"/>
        <item x="1518"/>
        <item x="1376"/>
        <item x="1236"/>
        <item x="1307"/>
        <item x="127"/>
        <item x="999"/>
        <item x="470"/>
        <item x="263"/>
        <item x="719"/>
        <item x="297"/>
        <item x="68"/>
        <item x="602"/>
        <item x="1382"/>
        <item x="117"/>
        <item x="360"/>
        <item x="743"/>
        <item x="1358"/>
        <item x="685"/>
        <item x="1468"/>
        <item x="12"/>
        <item x="506"/>
        <item x="961"/>
        <item x="1476"/>
        <item x="1268"/>
        <item x="591"/>
        <item x="604"/>
        <item x="405"/>
        <item x="303"/>
        <item x="74"/>
        <item x="1023"/>
        <item x="358"/>
        <item x="266"/>
        <item x="1417"/>
        <item x="1655"/>
        <item x="799"/>
        <item x="1641"/>
        <item x="305"/>
        <item x="420"/>
        <item x="536"/>
        <item x="1045"/>
        <item x="361"/>
        <item x="406"/>
        <item x="1529"/>
        <item x="570"/>
        <item x="540"/>
        <item x="1602"/>
        <item x="136"/>
        <item x="972"/>
        <item x="730"/>
        <item x="1432"/>
        <item x="678"/>
        <item x="1303"/>
        <item x="823"/>
        <item x="764"/>
        <item x="335"/>
        <item x="176"/>
        <item x="677"/>
        <item x="1041"/>
        <item x="1112"/>
        <item x="1209"/>
        <item x="1258"/>
        <item x="1567"/>
        <item x="1329"/>
        <item x="938"/>
        <item x="811"/>
        <item x="440"/>
        <item x="310"/>
        <item x="468"/>
        <item x="24"/>
        <item x="637"/>
        <item x="1312"/>
        <item x="1297"/>
        <item x="1035"/>
        <item x="881"/>
        <item x="1051"/>
        <item x="154"/>
        <item x="1522"/>
        <item x="1698"/>
        <item x="1313"/>
        <item x="499"/>
        <item x="841"/>
        <item x="467"/>
        <item x="1118"/>
        <item x="334"/>
        <item x="615"/>
        <item x="1133"/>
        <item x="490"/>
        <item x="1409"/>
        <item x="1661"/>
        <item x="65"/>
        <item x="230"/>
        <item x="579"/>
        <item x="1502"/>
        <item x="156"/>
        <item x="71"/>
        <item x="1554"/>
        <item x="458"/>
        <item x="744"/>
        <item x="1"/>
        <item x="1573"/>
        <item x="385"/>
        <item x="1654"/>
        <item x="1205"/>
        <item x="13"/>
        <item x="338"/>
        <item x="1056"/>
        <item x="364"/>
        <item x="538"/>
        <item x="662"/>
        <item x="701"/>
        <item x="780"/>
        <item x="465"/>
        <item x="557"/>
        <item x="1192"/>
        <item x="605"/>
        <item x="851"/>
        <item x="82"/>
        <item x="178"/>
        <item x="1404"/>
        <item x="41"/>
        <item x="642"/>
        <item x="982"/>
        <item x="694"/>
        <item x="1221"/>
        <item x="93"/>
        <item x="717"/>
        <item x="1113"/>
        <item x="424"/>
        <item x="492"/>
        <item x="398"/>
        <item x="1572"/>
        <item x="1638"/>
        <item x="940"/>
        <item x="95"/>
        <item x="224"/>
        <item x="423"/>
        <item x="1140"/>
        <item x="1656"/>
        <item x="236"/>
        <item x="1699"/>
        <item x="1568"/>
        <item x="864"/>
        <item x="808"/>
        <item x="899"/>
        <item x="138"/>
        <item x="1610"/>
        <item x="197"/>
        <item x="1477"/>
        <item x="1685"/>
        <item x="206"/>
        <item x="352"/>
        <item x="1141"/>
        <item x="1219"/>
        <item x="1168"/>
        <item x="1386"/>
        <item x="1600"/>
        <item x="974"/>
        <item x="732"/>
        <item x="1027"/>
        <item x="1587"/>
        <item x="530"/>
        <item x="1550"/>
        <item x="1138"/>
        <item x="658"/>
        <item x="975"/>
        <item x="650"/>
        <item x="599"/>
        <item x="523"/>
        <item x="822"/>
        <item x="1503"/>
        <item x="1090"/>
        <item x="1135"/>
        <item x="590"/>
        <item x="214"/>
        <item x="1692"/>
        <item x="625"/>
        <item x="1519"/>
        <item x="867"/>
        <item x="824"/>
        <item x="276"/>
        <item x="447"/>
        <item x="273"/>
        <item x="713"/>
        <item x="594"/>
        <item x="33"/>
        <item x="1202"/>
        <item x="94"/>
        <item x="1412"/>
        <item x="987"/>
        <item x="388"/>
        <item x="632"/>
        <item x="124"/>
        <item x="1548"/>
        <item x="665"/>
        <item x="1018"/>
        <item x="186"/>
        <item x="469"/>
        <item x="1213"/>
        <item x="218"/>
        <item x="806"/>
        <item x="607"/>
        <item x="1233"/>
        <item x="821"/>
        <item x="26"/>
        <item x="161"/>
        <item x="114"/>
        <item x="661"/>
        <item x="1728"/>
        <item x="527"/>
        <item x="1218"/>
        <item x="1026"/>
        <item x="1191"/>
        <item x="988"/>
        <item x="377"/>
        <item x="1579"/>
        <item x="1392"/>
        <item x="464"/>
        <item x="38"/>
        <item x="880"/>
        <item x="1582"/>
        <item x="1273"/>
        <item x="1419"/>
        <item x="485"/>
        <item x="1397"/>
        <item x="110"/>
        <item x="439"/>
        <item x="1642"/>
        <item x="1497"/>
        <item x="299"/>
        <item x="711"/>
        <item x="1556"/>
        <item x="1712"/>
        <item x="1676"/>
        <item x="698"/>
        <item x="403"/>
        <item x="595"/>
        <item x="56"/>
        <item x="1509"/>
        <item x="833"/>
        <item x="317"/>
        <item x="1429"/>
        <item x="31"/>
        <item x="149"/>
        <item x="892"/>
        <item x="1456"/>
        <item x="1422"/>
        <item x="1201"/>
        <item x="99"/>
        <item x="1512"/>
        <item x="1316"/>
        <item x="1086"/>
        <item x="983"/>
        <item x="911"/>
        <item x="122"/>
        <item x="49"/>
        <item x="1753"/>
        <item x="1586"/>
        <item x="184"/>
        <item x="243"/>
        <item x="298"/>
        <item x="548"/>
        <item x="606"/>
        <item x="863"/>
        <item x="86"/>
        <item x="60"/>
        <item x="1593"/>
        <item x="1734"/>
        <item x="1006"/>
        <item x="255"/>
        <item x="1244"/>
        <item x="1094"/>
        <item x="1010"/>
        <item x="565"/>
        <item x="373"/>
        <item x="348"/>
        <item x="779"/>
        <item x="1107"/>
        <item x="333"/>
        <item x="1171"/>
        <item x="288"/>
        <item x="1137"/>
        <item x="691"/>
        <item x="1122"/>
        <item x="278"/>
        <item x="627"/>
        <item x="445"/>
        <item x="1749"/>
        <item x="1317"/>
        <item x="52"/>
        <item x="396"/>
        <item x="866"/>
        <item x="1438"/>
        <item x="497"/>
        <item x="277"/>
        <item x="449"/>
        <item x="858"/>
        <item x="1625"/>
        <item x="727"/>
        <item x="1471"/>
        <item x="763"/>
        <item x="188"/>
        <item x="1225"/>
        <item x="1730"/>
        <item x="196"/>
        <item x="1360"/>
        <item x="1217"/>
        <item x="1636"/>
        <item x="1679"/>
        <item x="195"/>
        <item x="754"/>
        <item x="1623"/>
        <item x="646"/>
        <item x="1400"/>
        <item x="825"/>
        <item x="1272"/>
        <item x="293"/>
        <item x="962"/>
        <item x="1421"/>
        <item x="1458"/>
        <item x="1537"/>
        <item x="577"/>
        <item x="330"/>
        <item x="1500"/>
        <item x="845"/>
        <item x="1040"/>
        <item x="309"/>
        <item x="692"/>
        <item x="1320"/>
        <item x="90"/>
        <item x="791"/>
        <item x="1663"/>
        <item x="443"/>
        <item x="301"/>
        <item x="354"/>
        <item x="1355"/>
        <item x="264"/>
        <item x="1682"/>
        <item x="1716"/>
        <item x="807"/>
        <item x="1319"/>
        <item x="311"/>
        <item x="827"/>
        <item x="491"/>
        <item x="1345"/>
        <item x="1538"/>
        <item x="368"/>
        <item x="1628"/>
        <item x="1426"/>
        <item x="535"/>
        <item x="737"/>
        <item x="1746"/>
        <item x="1677"/>
        <item x="657"/>
        <item x="1639"/>
        <item x="731"/>
        <item x="11"/>
        <item x="225"/>
        <item x="1232"/>
        <item x="890"/>
        <item x="760"/>
        <item x="479"/>
        <item x="395"/>
        <item x="246"/>
        <item x="1081"/>
        <item x="421"/>
        <item x="1028"/>
        <item x="1410"/>
        <item x="105"/>
        <item x="1075"/>
        <item x="259"/>
        <item x="482"/>
        <item x="413"/>
        <item x="1279"/>
        <item x="1460"/>
        <item x="575"/>
        <item x="1658"/>
        <item x="1433"/>
        <item x="1646"/>
        <item x="512"/>
        <item x="258"/>
        <item x="1078"/>
        <item x="1507"/>
        <item x="1062"/>
        <item x="619"/>
        <item x="1367"/>
        <item x="1506"/>
        <item x="950"/>
        <item x="262"/>
        <item x="848"/>
        <item x="1050"/>
        <item x="1142"/>
        <item x="750"/>
        <item x="1584"/>
        <item x="1132"/>
        <item x="1005"/>
        <item x="1088"/>
        <item x="177"/>
        <item x="912"/>
        <item x="1390"/>
        <item x="812"/>
        <item x="562"/>
        <item x="1101"/>
        <item x="907"/>
        <item x="1569"/>
        <item x="146"/>
        <item x="1145"/>
        <item x="1547"/>
        <item x="430"/>
        <item x="1709"/>
        <item x="63"/>
        <item x="993"/>
        <item x="151"/>
        <item x="1436"/>
        <item x="697"/>
        <item x="819"/>
        <item x="784"/>
        <item x="217"/>
        <item x="16"/>
        <item x="1620"/>
        <item x="1052"/>
        <item x="498"/>
        <item x="1199"/>
        <item x="1327"/>
        <item x="567"/>
        <item x="1403"/>
        <item x="66"/>
        <item x="1615"/>
        <item x="98"/>
        <item x="77"/>
        <item x="216"/>
        <item x="48"/>
        <item x="542"/>
        <item x="353"/>
        <item x="739"/>
        <item x="1276"/>
        <item x="294"/>
        <item x="1487"/>
        <item x="1752"/>
        <item x="228"/>
        <item x="802"/>
        <item x="629"/>
        <item x="1703"/>
        <item x="1212"/>
        <item x="771"/>
        <item x="1466"/>
        <item x="252"/>
        <item x="1270"/>
        <item x="655"/>
        <item x="1365"/>
        <item x="534"/>
        <item x="1395"/>
        <item x="1034"/>
        <item x="1077"/>
        <item x="1339"/>
        <item x="583"/>
        <item x="355"/>
        <item x="810"/>
        <item x="1688"/>
        <item x="113"/>
        <item x="598"/>
        <item x="721"/>
        <item x="1129"/>
        <item x="1444"/>
        <item x="836"/>
        <item x="1181"/>
        <item x="1488"/>
        <item x="875"/>
        <item x="450"/>
        <item x="9"/>
        <item x="935"/>
        <item x="435"/>
        <item x="1425"/>
        <item x="1170"/>
        <item x="680"/>
        <item x="1337"/>
        <item x="715"/>
        <item x="80"/>
        <item x="1196"/>
        <item x="292"/>
        <item x="1486"/>
        <item x="809"/>
        <item x="1187"/>
        <item x="1470"/>
        <item x="1517"/>
        <item x="1278"/>
        <item x="958"/>
        <item x="285"/>
        <item x="563"/>
        <item x="316"/>
        <item x="1014"/>
        <item x="1576"/>
        <item x="1076"/>
        <item x="522"/>
        <item x="10"/>
        <item x="1640"/>
        <item x="589"/>
        <item x="1065"/>
        <item x="1521"/>
        <item x="1172"/>
        <item x="1733"/>
        <item x="847"/>
        <item x="1091"/>
        <item x="374"/>
        <item x="712"/>
        <item x="1627"/>
        <item x="532"/>
        <item x="476"/>
        <item x="955"/>
        <item x="1665"/>
        <item x="581"/>
        <item x="709"/>
        <item x="609"/>
        <item x="797"/>
        <item x="1585"/>
        <item x="546"/>
        <item x="510"/>
        <item x="438"/>
        <item x="205"/>
        <item x="915"/>
        <item x="1678"/>
        <item x="1684"/>
        <item x="132"/>
        <item x="1558"/>
        <item x="1545"/>
        <item x="537"/>
        <item x="1378"/>
        <item x="761"/>
        <item x="1650"/>
        <item x="402"/>
        <item x="755"/>
        <item x="1216"/>
        <item x="200"/>
        <item x="1613"/>
        <item x="1622"/>
        <item x="626"/>
        <item x="959"/>
        <item x="1533"/>
        <item x="1326"/>
        <item x="636"/>
        <item x="1239"/>
        <item x="365"/>
        <item x="1480"/>
        <item x="1099"/>
        <item x="1352"/>
        <item x="1110"/>
        <item x="1559"/>
        <item x="1589"/>
        <item x="624"/>
        <item x="837"/>
        <item x="669"/>
        <item x="1574"/>
        <item x="89"/>
        <item x="123"/>
        <item x="69"/>
        <item x="587"/>
        <item x="1156"/>
        <item x="72"/>
        <item x="1492"/>
        <item x="1047"/>
        <item x="381"/>
        <item x="897"/>
        <item x="1651"/>
        <item x="1310"/>
        <item x="1485"/>
        <item x="752"/>
        <item x="1368"/>
        <item x="957"/>
        <item x="612"/>
        <item x="384"/>
        <item x="944"/>
        <item x="965"/>
        <item x="1720"/>
        <item x="1126"/>
        <item x="1666"/>
        <item x="1481"/>
        <item x="1442"/>
        <item x="92"/>
        <item x="1731"/>
        <item x="568"/>
        <item x="1175"/>
        <item x="1226"/>
        <item x="1363"/>
        <item x="1718"/>
        <item x="707"/>
        <item x="980"/>
        <item x="790"/>
        <item x="1413"/>
        <item x="1543"/>
        <item x="1697"/>
        <item x="472"/>
        <item x="1578"/>
        <item x="474"/>
        <item x="1298"/>
        <item x="42"/>
        <item x="1069"/>
        <item x="1398"/>
        <item x="1489"/>
        <item x="751"/>
        <item x="97"/>
        <item x="633"/>
        <item x="1109"/>
        <item x="904"/>
        <item x="460"/>
        <item x="1210"/>
        <item x="762"/>
        <item x="1744"/>
        <item x="312"/>
        <item x="1531"/>
        <item x="1247"/>
        <item x="640"/>
        <item x="426"/>
        <item x="137"/>
        <item x="383"/>
        <item x="1177"/>
        <item x="0"/>
        <item x="14"/>
        <item x="308"/>
        <item x="418"/>
        <item x="1726"/>
        <item x="1152"/>
        <item x="1528"/>
        <item x="1516"/>
        <item x="1553"/>
        <item x="304"/>
        <item x="199"/>
        <item x="62"/>
        <item x="112"/>
        <item x="1095"/>
        <item x="1427"/>
        <item x="1182"/>
        <item x="1681"/>
        <item x="1296"/>
        <item x="1174"/>
        <item x="1350"/>
        <item x="265"/>
        <item x="1346"/>
        <item x="489"/>
        <item x="207"/>
        <item x="1562"/>
        <item x="1643"/>
        <item x="1727"/>
        <item x="1621"/>
        <item x="1108"/>
        <item x="1555"/>
        <item x="1606"/>
        <item x="239"/>
        <item x="909"/>
        <item x="946"/>
        <item x="182"/>
        <item x="1285"/>
        <item x="1207"/>
        <item x="1295"/>
        <item x="1601"/>
        <item x="164"/>
        <item x="59"/>
        <item x="1530"/>
        <item x="1121"/>
        <item x="167"/>
        <item x="1012"/>
        <item x="1097"/>
        <item x="1074"/>
        <item x="949"/>
        <item x="1612"/>
        <item x="1630"/>
        <item x="728"/>
        <item x="100"/>
        <item x="1322"/>
        <item x="1706"/>
        <item x="391"/>
        <item x="1611"/>
        <item x="1591"/>
        <item x="1551"/>
        <item x="1369"/>
        <item x="528"/>
        <item x="1482"/>
        <item x="501"/>
        <item x="842"/>
        <item x="1070"/>
        <item x="1402"/>
        <item x="726"/>
        <item x="840"/>
        <item x="1104"/>
        <item x="1514"/>
        <item x="390"/>
        <item x="1459"/>
        <item x="1179"/>
        <item x="729"/>
        <item x="738"/>
        <item x="223"/>
        <item x="613"/>
        <item x="1493"/>
        <item x="108"/>
        <item x="144"/>
        <item x="714"/>
        <item x="1707"/>
        <item x="399"/>
        <item x="1648"/>
        <item x="1383"/>
        <item x="1274"/>
        <item x="1305"/>
        <item x="621"/>
        <item x="193"/>
        <item x="1252"/>
        <item x="964"/>
        <item x="500"/>
        <item x="1738"/>
        <item x="529"/>
        <item x="1691"/>
        <item x="1396"/>
        <item x="165"/>
        <item x="1079"/>
        <item x="1117"/>
        <item x="1306"/>
        <item x="901"/>
        <item x="991"/>
        <item x="1241"/>
        <item x="1229"/>
        <item x="1263"/>
        <item x="58"/>
        <item x="868"/>
        <item x="1377"/>
        <item x="326"/>
        <item x="45"/>
        <item x="4"/>
        <item x="1462"/>
        <item x="865"/>
        <item x="471"/>
        <item x="1039"/>
        <item x="596"/>
        <item x="1494"/>
        <item x="327"/>
        <item x="107"/>
        <item x="1446"/>
        <item x="1725"/>
        <item x="1204"/>
        <item x="859"/>
        <item x="705"/>
        <item x="770"/>
        <item x="1617"/>
        <item x="159"/>
        <item x="641"/>
        <item x="720"/>
        <item x="417"/>
        <item x="181"/>
        <item x="1380"/>
        <item x="1289"/>
        <item x="1176"/>
        <item x="234"/>
        <item x="1335"/>
        <item x="84"/>
        <item x="953"/>
        <item x="1384"/>
        <item x="759"/>
        <item x="34"/>
        <item x="667"/>
        <item x="925"/>
        <item x="689"/>
        <item x="801"/>
        <item x="256"/>
        <item x="1540"/>
        <item x="369"/>
        <item x="1469"/>
        <item x="75"/>
        <item x="1347"/>
        <item x="1362"/>
        <item x="1284"/>
        <item x="1300"/>
        <item x="261"/>
        <item x="427"/>
        <item x="1102"/>
        <item x="1019"/>
        <item x="981"/>
        <item x="319"/>
        <item x="412"/>
        <item x="407"/>
        <item x="545"/>
        <item x="1004"/>
        <item x="781"/>
        <item x="1054"/>
        <item x="43"/>
        <item x="109"/>
        <item x="1330"/>
        <item x="1127"/>
        <item x="1238"/>
        <item x="887"/>
        <item x="1344"/>
        <item x="1474"/>
        <item x="1059"/>
        <item x="247"/>
        <item x="128"/>
        <item x="778"/>
        <item x="1552"/>
        <item x="894"/>
        <item x="638"/>
        <item x="488"/>
        <item x="1581"/>
        <item x="973"/>
        <item x="378"/>
        <item x="67"/>
        <item x="1478"/>
        <item x="1158"/>
        <item x="639"/>
        <item x="332"/>
        <item x="251"/>
        <item x="148"/>
        <item x="1123"/>
        <item x="248"/>
        <item x="169"/>
        <item x="1185"/>
        <item x="444"/>
        <item x="1287"/>
        <item x="1164"/>
        <item x="322"/>
        <item x="552"/>
        <item x="734"/>
        <item x="1434"/>
        <item x="21"/>
        <item x="296"/>
        <item x="920"/>
        <item x="1271"/>
        <item x="152"/>
        <item x="631"/>
        <item x="235"/>
        <item x="1594"/>
        <item x="1626"/>
        <item x="1722"/>
        <item x="1736"/>
        <item x="816"/>
        <item x="359"/>
        <item x="101"/>
        <item x="363"/>
        <item x="1084"/>
        <item x="1714"/>
        <item x="232"/>
        <item x="1096"/>
        <item x="102"/>
        <item x="1106"/>
        <item x="1265"/>
        <item x="792"/>
        <item x="671"/>
        <item x="370"/>
        <item x="601"/>
        <item x="1740"/>
        <item x="1671"/>
        <item x="976"/>
        <item x="569"/>
        <item x="716"/>
        <item x="302"/>
        <item x="645"/>
        <item x="913"/>
        <item x="91"/>
        <item x="1234"/>
        <item x="1690"/>
        <item x="1407"/>
        <item x="746"/>
        <item x="723"/>
        <item x="1364"/>
        <item x="700"/>
        <item x="429"/>
        <item x="774"/>
        <item x="341"/>
        <item x="1042"/>
        <item x="1348"/>
        <item x="1662"/>
        <item x="1361"/>
        <item x="283"/>
        <item x="210"/>
        <item x="617"/>
        <item x="441"/>
        <item x="941"/>
        <item x="1302"/>
        <item x="1739"/>
        <item x="1254"/>
        <item x="1351"/>
        <item x="531"/>
        <item x="1301"/>
        <item x="437"/>
        <item x="508"/>
        <item x="1031"/>
        <item x="198"/>
        <item x="241"/>
        <item x="773"/>
        <item x="1250"/>
        <item x="25"/>
        <item x="141"/>
        <item x="1415"/>
        <item x="687"/>
        <item x="1596"/>
        <item x="350"/>
        <item x="1447"/>
        <item x="104"/>
        <item x="1016"/>
        <item x="659"/>
        <item x="649"/>
        <item x="844"/>
        <item x="1160"/>
        <item x="616"/>
        <item x="1437"/>
        <item x="1453"/>
        <item x="1188"/>
        <item x="300"/>
        <item x="115"/>
        <item x="1248"/>
        <item x="1288"/>
        <item x="1465"/>
        <item x="776"/>
        <item x="158"/>
        <item x="340"/>
        <item x="1269"/>
        <item x="1024"/>
        <item x="578"/>
        <item x="1183"/>
        <item x="861"/>
        <item x="336"/>
        <item x="1389"/>
        <item x="1309"/>
        <item x="88"/>
        <item x="1491"/>
        <item x="307"/>
        <item x="551"/>
        <item x="1308"/>
        <item x="702"/>
        <item x="502"/>
        <item x="1178"/>
        <item x="922"/>
        <item x="1211"/>
        <item x="212"/>
        <item x="600"/>
        <item x="934"/>
        <item x="1146"/>
        <item x="994"/>
        <item x="1618"/>
        <item t="default"/>
      </items>
    </pivotField>
    <pivotField dataField="1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7">
    <i>
      <x/>
    </i>
    <i>
      <x v="1"/>
    </i>
    <i>
      <x v="3"/>
    </i>
    <i>
      <x v="4"/>
    </i>
    <i>
      <x v="5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Statut_Commande" fld="11" subtotal="count" baseField="0" baseItem="0"/>
    <dataField name="Somme de CA_Ne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égion" xr10:uid="{002876B8-A66F-4CFD-A916-6B106C205F9C}" sourceName="Région">
  <pivotTables>
    <pivotTable tabId="11" name="Tableau croisé dynamique1"/>
    <pivotTable tabId="11" name="Tableau croisé dynamique2"/>
    <pivotTable tabId="11" name="Tableau croisé dynamique3"/>
    <pivotTable tabId="11" name="Tableau croisé dynamique4"/>
    <pivotTable tabId="11" name="Tableau croisé dynamique5"/>
    <pivotTable tabId="11" name="Tableau croisé dynamique6"/>
    <pivotTable tabId="11" name="'Classement des vendeurs par CA Net'"/>
    <pivotTable tabId="11" name="Tableau croisé dynamique12"/>
    <pivotTable tabId="11" name="Tableau croisé dynamique13"/>
    <pivotTable tabId="11" name="Tableau croisé dynamique14"/>
    <pivotTable tabId="11" name="Tableau croisé dynamique7"/>
    <pivotTable tabId="11" name="Tableau croisé dynamique9"/>
    <pivotTable tabId="11" name="Tableau croisé dynamique10"/>
    <pivotTable tabId="11" name="Évolution du CA Net mensuel TradeCo"/>
    <pivotTable tabId="11" name="Tableau croisé dynamique8"/>
    <pivotTable tabId="7" name="Tableau croisé dynamique11"/>
  </pivotTables>
  <data>
    <tabular pivotCacheId="434960219">
      <items count="6">
        <i x="0" s="1"/>
        <i x="3" s="1"/>
        <i x="5" s="1"/>
        <i x="1" s="1"/>
        <i x="4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égorie" xr10:uid="{ECD5D5F3-55B1-4FEF-AADB-872C06100BAE}" sourceName="Catégorie">
  <pivotTables>
    <pivotTable tabId="11" name="Tableau croisé dynamique1"/>
    <pivotTable tabId="11" name="Tableau croisé dynamique2"/>
    <pivotTable tabId="11" name="Tableau croisé dynamique3"/>
    <pivotTable tabId="11" name="Tableau croisé dynamique4"/>
    <pivotTable tabId="11" name="Tableau croisé dynamique5"/>
    <pivotTable tabId="11" name="Tableau croisé dynamique6"/>
    <pivotTable tabId="11" name="'Classement des vendeurs par CA Net'"/>
    <pivotTable tabId="11" name="Tableau croisé dynamique12"/>
    <pivotTable tabId="11" name="Tableau croisé dynamique13"/>
    <pivotTable tabId="11" name="Tableau croisé dynamique14"/>
    <pivotTable tabId="11" name="Tableau croisé dynamique7"/>
    <pivotTable tabId="11" name="Tableau croisé dynamique9"/>
    <pivotTable tabId="11" name="Tableau croisé dynamique10"/>
    <pivotTable tabId="11" name="Évolution du CA Net mensuel TradeCo"/>
    <pivotTable tabId="11" name="Tableau croisé dynamique8"/>
    <pivotTable tabId="7" name="Tableau croisé dynamique11"/>
  </pivotTables>
  <data>
    <tabular pivotCacheId="434960219">
      <items count="5">
        <i x="2" s="1"/>
        <i x="3" s="1"/>
        <i x="1" s="1"/>
        <i x="0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tatut_Commande" xr10:uid="{4F2F725A-23FB-4733-B293-ED8CB68614A5}" sourceName="Statut_Commande">
  <pivotTables>
    <pivotTable tabId="11" name="Tableau croisé dynamique1"/>
    <pivotTable tabId="11" name="Tableau croisé dynamique2"/>
    <pivotTable tabId="11" name="Tableau croisé dynamique3"/>
    <pivotTable tabId="11" name="Tableau croisé dynamique4"/>
    <pivotTable tabId="11" name="Tableau croisé dynamique5"/>
    <pivotTable tabId="11" name="Tableau croisé dynamique6"/>
    <pivotTable tabId="11" name="'Classement des vendeurs par CA Net'"/>
    <pivotTable tabId="11" name="Tableau croisé dynamique12"/>
    <pivotTable tabId="11" name="Tableau croisé dynamique13"/>
    <pivotTable tabId="11" name="Tableau croisé dynamique14"/>
    <pivotTable tabId="11" name="Tableau croisé dynamique7"/>
    <pivotTable tabId="11" name="Tableau croisé dynamique9"/>
    <pivotTable tabId="11" name="Tableau croisé dynamique10"/>
    <pivotTable tabId="11" name="Évolution du CA Net mensuel TradeCo"/>
    <pivotTable tabId="11" name="Tableau croisé dynamique8"/>
    <pivotTable tabId="7" name="Tableau croisé dynamique11"/>
  </pivotTables>
  <data>
    <tabular pivotCacheId="434960219">
      <items count="4">
        <i x="2" s="1"/>
        <i x="3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égion" xr10:uid="{2863762E-3444-4AEB-B092-488DAABAFE8B}" cache="Segment_Région" caption="Région" rowHeight="241300"/>
  <slicer name="Catégorie" xr10:uid="{AF98376E-85DE-47AB-A1E4-C5166BBA7C5E}" cache="Segment_Catégorie" caption="Catégorie" rowHeight="241300"/>
  <slicer name="Statut_Commande" xr10:uid="{8CF1222C-D882-4D5E-9612-D9A100138764}" cache="Segment_Statut_Commande" caption="Statut_Commande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égion 1" xr10:uid="{5DC34F91-E8C7-4DF9-858C-F7663802F905}" cache="Segment_Région" caption="Région" rowHeight="241300"/>
  <slicer name="Catégorie 1" xr10:uid="{74D6FC43-A652-4AE8-99CE-31ECE12E66B3}" cache="Segment_Catégorie" caption="Catégorie" rowHeight="241300"/>
  <slicer name="Statut_Commande 1" xr10:uid="{8E1DC8B5-BDF4-4AD9-9C25-AB024958722D}" cache="Segment_Statut_Commande" caption="Statut_Commande" startItem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58EEB1-AFAF-46FD-89F7-B3F511566646}" name="Ventes_TradeCo" displayName="Ventes_TradeCo" ref="A1:R2002" totalsRowCount="1" headerRowDxfId="47">
  <autoFilter ref="A1:R2001" xr:uid="{6C58EEB1-AFAF-46FD-89F7-B3F511566646}"/>
  <tableColumns count="18">
    <tableColumn id="1" xr3:uid="{5A7691B4-651D-4EA4-B9C7-A1B1A5731461}" name="ID_Commande" totalsRowFunction="count" dataDxfId="46" totalsRowDxfId="45"/>
    <tableColumn id="2" xr3:uid="{98AC0F25-1C5E-4B54-8302-399D5541675F}" name="Date_Commande" dataDxfId="44" totalsRowDxfId="43"/>
    <tableColumn id="3" xr3:uid="{E0438230-EBBC-4F53-A19A-0730BBDEE56F}" name="Vendeur" dataDxfId="42" totalsRowDxfId="41"/>
    <tableColumn id="4" xr3:uid="{65A89C83-F016-4E6E-A632-F6F3B8B47941}" name="Région" dataDxfId="40" totalsRowDxfId="39"/>
    <tableColumn id="5" xr3:uid="{36749406-CDFE-44D3-8E1A-299F2FFA8A25}" name="Catégorie" dataDxfId="38" totalsRowDxfId="37"/>
    <tableColumn id="6" xr3:uid="{5B255C7A-D46A-4684-A2F5-A44957D487F9}" name="Produit" dataDxfId="36" totalsRowDxfId="35"/>
    <tableColumn id="7" xr3:uid="{EE89D824-F656-429F-8388-50AF75531988}" name="Quantité" totalsRowFunction="sum" dataDxfId="34" totalsRowDxfId="33"/>
    <tableColumn id="8" xr3:uid="{FAF2B0D8-3E71-4C9F-B776-E18B47AE116A}" name="Prix_Unitaire" dataDxfId="32" totalsRowDxfId="31"/>
    <tableColumn id="9" xr3:uid="{F3F83951-76A7-47C5-9184-4F8C57DB4F7D}" name="Remise_%" dataDxfId="30" totalsRowDxfId="29"/>
    <tableColumn id="10" xr3:uid="{43EE3F9F-9528-4D35-AC90-A9390498A5F9}" name="CA_Brut" dataDxfId="28" totalsRowDxfId="27">
      <calculatedColumnFormula>G2*H2</calculatedColumnFormula>
    </tableColumn>
    <tableColumn id="11" xr3:uid="{4DA6CD9C-5261-4D09-8F3D-1FADD299E7C0}" name="CA_Net" totalsRowFunction="sum" dataDxfId="26" totalsRowDxfId="25">
      <calculatedColumnFormula>J2*(1-I2/100)</calculatedColumnFormula>
    </tableColumn>
    <tableColumn id="12" xr3:uid="{B8B1396A-CBED-466E-B9FF-B7DBDDA5885E}" name="Statut_Commande" dataDxfId="24" totalsRowDxfId="23"/>
    <tableColumn id="13" xr3:uid="{23842B69-090E-4DB6-9CE9-A3E7128079BA}" name="Mode_Paiement" dataDxfId="22" totalsRowDxfId="21"/>
    <tableColumn id="14" xr3:uid="{EF7D2573-FD2C-4557-AE70-BF517805E657}" name="Mois_Num"/>
    <tableColumn id="15" xr3:uid="{45E90A29-A0A6-4478-BD3B-649D8150AACE}" name="Année"/>
    <tableColumn id="16" xr3:uid="{7C5098D4-B0A9-42A3-82C9-17AA290A1788}" name="Mois_Année" dataDxfId="20"/>
    <tableColumn id="17" xr3:uid="{510F4253-CF72-4E78-A657-236F9162C317}" name="Trimestre"/>
    <tableColumn id="18" xr3:uid="{0DDEAFFE-7A8F-4A54-9C6D-871BBA27BE23}" name="Tranche_C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FDD751-7E5B-4598-BBD3-0AF636688B1C}" name="TABLEAU_2" displayName="TABLEAU_2" ref="H4:L14" totalsRowShown="0">
  <autoFilter ref="H4:L14" xr:uid="{4EFDD751-7E5B-4598-BBD3-0AF636688B1C}"/>
  <sortState xmlns:xlrd2="http://schemas.microsoft.com/office/spreadsheetml/2017/richdata2" ref="H5:L14">
    <sortCondition ref="L4:L14"/>
  </sortState>
  <tableColumns count="5">
    <tableColumn id="1" xr3:uid="{22EA6B44-6FDC-4918-985E-D4125D97FC1F}" name="Vendeur"/>
    <tableColumn id="2" xr3:uid="{CBAA473B-7428-4C95-B13E-439843757BED}" name="CA_Net_Total "/>
    <tableColumn id="3" xr3:uid="{58567FFB-A210-4707-9A43-D8081CB0B240}" name=" Nb_Commandes "/>
    <tableColumn id="4" xr3:uid="{0C5EC6BD-5571-44CB-BE98-781BAA3FE331}" name="Panier_Moyen Rang" dataDxfId="19">
      <calculatedColumnFormula>TABLEAU_2[[#This Row],[CA_Net_Total ]]/TABLEAU_2[[#This Row],[ Nb_Commandes ]]</calculatedColumnFormula>
    </tableColumn>
    <tableColumn id="5" xr3:uid="{4B7D10F2-3BF2-4070-80A0-A715123B5793}" name="Rang" dataDxfId="18">
      <calculatedColumnFormula>RANK(I5,TABLEAU_2[CA_Net_Total ],0)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1AC9AB-E827-4182-B84C-78674C955A21}" name="Tableau_1" displayName="Tableau_1" ref="E4:F14" totalsRowShown="0">
  <autoFilter ref="E4:F14" xr:uid="{D31AC9AB-E827-4182-B84C-78674C955A21}"/>
  <tableColumns count="2">
    <tableColumn id="1" xr3:uid="{FCA2FA50-C2AE-4A4C-8E5F-671B2137456E}" name="KPIs"/>
    <tableColumn id="2" xr3:uid="{1E5C768F-642E-4556-A327-3B69C8B91EDE}" name="Formule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0FAEB9-6C2B-4396-84BC-42226CA9B512}" name="Tableau_3" displayName="Tableau_3" ref="N4:R9" totalsRowShown="0">
  <autoFilter ref="N4:R9" xr:uid="{020FAEB9-6C2B-4396-84BC-42226CA9B512}"/>
  <tableColumns count="5">
    <tableColumn id="1" xr3:uid="{C854D70E-8C13-4CFA-9A8E-C225172D4CD2}" name="Région" dataDxfId="17"/>
    <tableColumn id="2" xr3:uid="{6EA154DF-7874-4C48-9CA9-95CEC66FB895}" name="CA_Net">
      <calculatedColumnFormula>SUMIF(Ventes_TradeCo[Région],N5,Ventes_TradeCo[CA_Net])</calculatedColumnFormula>
    </tableColumn>
    <tableColumn id="3" xr3:uid="{B293B588-1319-4AFF-88E2-F8C553E3FB89}" name="Nb_commandes">
      <calculatedColumnFormula>COUNTIF(Ventes_TradeCo[Région], N5)</calculatedColumnFormula>
    </tableColumn>
    <tableColumn id="4" xr3:uid="{E1C9DC43-C0E7-46C5-9795-2D64E335BE94}" name=" %_du_CA_total" dataDxfId="16" dataCellStyle="Pourcentage">
      <calculatedColumnFormula>SUMIF(Ventes_TradeCo[Région],N5,Ventes_TradeCo[CA_Net])/SUM(Ventes_TradeCo[CA_Net])</calculatedColumnFormula>
    </tableColumn>
    <tableColumn id="5" xr3:uid="{85C76721-7705-496B-9FB8-B7FEBD2D541C}" name=" Rang">
      <calculatedColumnFormula>RANK(O5,$O$5:$O$9,0)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0DF2CA-4692-4CB5-AA58-1D1C8B2594EA}" name="Tableau_4" displayName="Tableau_4" ref="T4:X9" totalsRowShown="0">
  <autoFilter ref="T4:X9" xr:uid="{460DF2CA-4692-4CB5-AA58-1D1C8B2594EA}"/>
  <tableColumns count="5">
    <tableColumn id="1" xr3:uid="{7B700B03-E6BA-419A-B156-9086BDBCFAB2}" name="Catégorie" dataDxfId="15"/>
    <tableColumn id="2" xr3:uid="{DEC37680-6C6A-4C30-A389-8CC0AAD0D732}" name="CA_NET" dataDxfId="14">
      <calculatedColumnFormula>SUMIF(Ventes_TradeCo[Catégorie], T5,Ventes_TradeCo[CA_Net])</calculatedColumnFormula>
    </tableColumn>
    <tableColumn id="3" xr3:uid="{F2300C4C-3F36-4108-B802-2C57135154D3}" name="Quantité_totale" dataDxfId="13">
      <calculatedColumnFormula>SUMIF(Ventes_TradeCo[Catégorie], T5,Ventes_TradeCo[Quantité])</calculatedColumnFormula>
    </tableColumn>
    <tableColumn id="4" xr3:uid="{43617490-608C-42FF-A527-E2F433B79893}" name="Panier_moyen" dataDxfId="12">
      <calculatedColumnFormula>Tableau_4[[#This Row],[CA_NET]]/Tableau_4[[#This Row],[Quantité_totale]]</calculatedColumnFormula>
    </tableColumn>
    <tableColumn id="5" xr3:uid="{56EF58ED-6024-46B1-BFD6-DA2231CFD58E}" name="%_du_CA_total" dataDxfId="11">
      <calculatedColumnFormula>SUMIF(Ventes_TradeCo[Catégorie],T5,Ventes_TradeCo[CA_Net])/SUM(Ventes_TradeCo[CA_Net])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5F16A7-8D7D-4F02-A951-DB09082CD956}" name="Tableau7" displayName="Tableau7" ref="A3:B13" totalsRowShown="0" dataDxfId="10" tableBorderDxfId="9">
  <autoFilter ref="A3:B13" xr:uid="{1E5F16A7-8D7D-4F02-A951-DB09082CD956}"/>
  <tableColumns count="2">
    <tableColumn id="1" xr3:uid="{51EA7182-E740-4A7E-9361-5F84379CC6B3}" name="KPIs" dataDxfId="8"/>
    <tableColumn id="2" xr3:uid="{5A312369-CD84-47A0-8F0E-2FD4B7252973}" name="Formule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016075-1563-4C08-A016-B44AAE89C625}" name="Tableau3" displayName="Tableau3" ref="K3:K14" totalsRowShown="0" headerRowDxfId="49">
  <autoFilter ref="K3:K14" xr:uid="{8F016075-1563-4C08-A016-B44AAE89C625}"/>
  <tableColumns count="1">
    <tableColumn id="1" xr3:uid="{27BA686F-8822-4D7A-A6C5-C633C5820D92}" name="Panier moyen " dataDxfId="48">
      <calculatedColumnFormula>I4/J4</calculatedColumnFormula>
    </tableColumn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Commande" xr10:uid="{64EE7585-E072-4EC9-A5CC-F09D0ECC6055}" sourceName="Date_Commande">
  <pivotTables>
    <pivotTable tabId="11" name="Tableau croisé dynamique1"/>
    <pivotTable tabId="11" name="Tableau croisé dynamique2"/>
    <pivotTable tabId="11" name="Tableau croisé dynamique3"/>
    <pivotTable tabId="11" name="Tableau croisé dynamique4"/>
    <pivotTable tabId="11" name="Tableau croisé dynamique5"/>
    <pivotTable tabId="11" name="Tableau croisé dynamique6"/>
    <pivotTable tabId="11" name="'Classement des vendeurs par CA Net'"/>
    <pivotTable tabId="11" name="Tableau croisé dynamique12"/>
    <pivotTable tabId="11" name="Tableau croisé dynamique13"/>
    <pivotTable tabId="11" name="Tableau croisé dynamique14"/>
    <pivotTable tabId="11" name="Tableau croisé dynamique7"/>
    <pivotTable tabId="11" name="Tableau croisé dynamique9"/>
    <pivotTable tabId="11" name="Tableau croisé dynamique10"/>
    <pivotTable tabId="7" name="Tableau croisé dynamique11"/>
  </pivotTables>
  <state minimalRefreshVersion="6" lastRefreshVersion="6" pivotCacheId="434960219" filterType="unknown">
    <bounds startDate="2023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_Commande" xr10:uid="{F057632E-7672-49E4-888C-EE966E3B29C3}" cache="ChronologieNative_Date_Commande" caption="Date_Commande" level="0" selectionLevel="0" scrollPosition="2023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table" Target="../tables/table7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3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microsoft.com/office/2011/relationships/timeline" Target="../timelines/timeline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6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4D86-6989-4946-998A-86C6B95CBA2E}">
  <sheetPr>
    <tabColor rgb="FFE65100"/>
  </sheetPr>
  <dimension ref="A1:T2002"/>
  <sheetViews>
    <sheetView zoomScale="73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" sqref="N1"/>
    </sheetView>
  </sheetViews>
  <sheetFormatPr baseColWidth="10" defaultColWidth="8.7109375" defaultRowHeight="15" x14ac:dyDescent="0.25"/>
  <cols>
    <col min="1" max="1" width="17.7109375" customWidth="1"/>
    <col min="2" max="2" width="20.28515625" style="29" customWidth="1"/>
    <col min="3" max="3" width="22" customWidth="1"/>
    <col min="4" max="5" width="16" customWidth="1"/>
    <col min="6" max="6" width="28" customWidth="1"/>
    <col min="7" max="7" width="12" customWidth="1"/>
    <col min="8" max="8" width="16.28515625" style="27" customWidth="1"/>
    <col min="9" max="9" width="13.7109375" customWidth="1"/>
    <col min="10" max="11" width="16" customWidth="1"/>
    <col min="12" max="12" width="21.5703125" customWidth="1"/>
    <col min="13" max="13" width="19.42578125" customWidth="1"/>
    <col min="14" max="14" width="15.85546875" customWidth="1"/>
    <col min="15" max="15" width="14.140625" customWidth="1"/>
    <col min="16" max="16" width="16.5703125" customWidth="1"/>
    <col min="17" max="18" width="16.28515625" customWidth="1"/>
    <col min="19" max="19" width="40.28515625" bestFit="1" customWidth="1"/>
    <col min="20" max="20" width="158.42578125" bestFit="1" customWidth="1"/>
  </cols>
  <sheetData>
    <row r="1" spans="1:20" ht="30" customHeight="1" x14ac:dyDescent="0.25">
      <c r="A1" s="5" t="s">
        <v>45</v>
      </c>
      <c r="B1" s="28" t="s">
        <v>47</v>
      </c>
      <c r="C1" s="14" t="s">
        <v>49</v>
      </c>
      <c r="D1" s="14" t="s">
        <v>51</v>
      </c>
      <c r="E1" s="14" t="s">
        <v>53</v>
      </c>
      <c r="F1" s="5" t="s">
        <v>55</v>
      </c>
      <c r="G1" s="14" t="s">
        <v>57</v>
      </c>
      <c r="H1" s="24" t="s">
        <v>59</v>
      </c>
      <c r="I1" s="5" t="s">
        <v>61</v>
      </c>
      <c r="J1" s="5" t="s">
        <v>63</v>
      </c>
      <c r="K1" s="5" t="s">
        <v>65</v>
      </c>
      <c r="L1" s="14" t="s">
        <v>67</v>
      </c>
      <c r="M1" s="5" t="s">
        <v>69</v>
      </c>
      <c r="N1" s="5" t="s">
        <v>705</v>
      </c>
      <c r="O1" s="5" t="s">
        <v>706</v>
      </c>
      <c r="P1" s="5" t="s">
        <v>707</v>
      </c>
      <c r="Q1" s="14" t="s">
        <v>704</v>
      </c>
      <c r="R1" s="14" t="s">
        <v>708</v>
      </c>
    </row>
    <row r="2" spans="1:20" x14ac:dyDescent="0.25">
      <c r="A2" s="6">
        <v>1</v>
      </c>
      <c r="B2" s="7">
        <v>45581</v>
      </c>
      <c r="C2" s="8" t="s">
        <v>97</v>
      </c>
      <c r="D2" s="8" t="s">
        <v>73</v>
      </c>
      <c r="E2" s="8" t="s">
        <v>74</v>
      </c>
      <c r="F2" s="8" t="s">
        <v>75</v>
      </c>
      <c r="G2" s="6">
        <v>48</v>
      </c>
      <c r="H2" s="25">
        <v>21000</v>
      </c>
      <c r="I2" s="6">
        <v>10</v>
      </c>
      <c r="J2" s="6">
        <f t="shared" ref="J2:J65" si="0">G2*H2</f>
        <v>1008000</v>
      </c>
      <c r="K2" s="6">
        <f t="shared" ref="K2:K65" si="1">J2*(1-I2/100)</f>
        <v>907200</v>
      </c>
      <c r="L2" s="8" t="s">
        <v>76</v>
      </c>
      <c r="M2" s="8" t="s">
        <v>77</v>
      </c>
      <c r="N2">
        <v>10</v>
      </c>
      <c r="O2">
        <v>2024</v>
      </c>
      <c r="P2" s="29" t="s">
        <v>709</v>
      </c>
      <c r="Q2" t="s">
        <v>733</v>
      </c>
      <c r="R2" t="s">
        <v>737</v>
      </c>
    </row>
    <row r="3" spans="1:20" x14ac:dyDescent="0.25">
      <c r="A3" s="9">
        <v>2</v>
      </c>
      <c r="B3" s="10">
        <v>45507</v>
      </c>
      <c r="C3" s="11" t="s">
        <v>78</v>
      </c>
      <c r="D3" s="11" t="s">
        <v>73</v>
      </c>
      <c r="E3" s="11" t="s">
        <v>79</v>
      </c>
      <c r="F3" s="11" t="s">
        <v>80</v>
      </c>
      <c r="G3" s="9">
        <v>39</v>
      </c>
      <c r="H3" s="26">
        <v>8100</v>
      </c>
      <c r="I3" s="9">
        <v>15</v>
      </c>
      <c r="J3" s="9">
        <f t="shared" si="0"/>
        <v>315900</v>
      </c>
      <c r="K3" s="9">
        <f t="shared" si="1"/>
        <v>268515</v>
      </c>
      <c r="L3" s="11" t="s">
        <v>76</v>
      </c>
      <c r="M3" s="11" t="s">
        <v>81</v>
      </c>
      <c r="N3">
        <v>8</v>
      </c>
      <c r="O3">
        <v>2024</v>
      </c>
      <c r="P3" s="29" t="s">
        <v>710</v>
      </c>
      <c r="Q3" t="s">
        <v>734</v>
      </c>
      <c r="R3" t="s">
        <v>737</v>
      </c>
      <c r="S3" s="74" t="s">
        <v>696</v>
      </c>
      <c r="T3" s="75"/>
    </row>
    <row r="4" spans="1:20" x14ac:dyDescent="0.25">
      <c r="A4" s="6">
        <v>3</v>
      </c>
      <c r="B4" s="7">
        <v>45592</v>
      </c>
      <c r="C4" s="8" t="s">
        <v>82</v>
      </c>
      <c r="D4" s="8" t="s">
        <v>83</v>
      </c>
      <c r="E4" s="8" t="s">
        <v>84</v>
      </c>
      <c r="F4" s="8" t="s">
        <v>85</v>
      </c>
      <c r="G4" s="6">
        <v>1</v>
      </c>
      <c r="H4" s="25">
        <v>5700</v>
      </c>
      <c r="I4" s="6">
        <v>15</v>
      </c>
      <c r="J4" s="6">
        <f t="shared" si="0"/>
        <v>5700</v>
      </c>
      <c r="K4" s="6">
        <f t="shared" si="1"/>
        <v>4845</v>
      </c>
      <c r="L4" s="8" t="s">
        <v>187</v>
      </c>
      <c r="M4" s="8" t="s">
        <v>81</v>
      </c>
      <c r="N4">
        <v>10</v>
      </c>
      <c r="O4">
        <v>2024</v>
      </c>
      <c r="P4" s="29" t="s">
        <v>709</v>
      </c>
      <c r="Q4" t="s">
        <v>733</v>
      </c>
      <c r="R4" t="s">
        <v>738</v>
      </c>
      <c r="S4" s="32" t="s">
        <v>697</v>
      </c>
      <c r="T4" s="32" t="s">
        <v>700</v>
      </c>
    </row>
    <row r="5" spans="1:20" x14ac:dyDescent="0.25">
      <c r="A5" s="9">
        <v>4</v>
      </c>
      <c r="B5" s="10">
        <v>45507</v>
      </c>
      <c r="C5" s="11" t="s">
        <v>88</v>
      </c>
      <c r="D5" s="11" t="s">
        <v>117</v>
      </c>
      <c r="E5" s="11" t="s">
        <v>84</v>
      </c>
      <c r="F5" s="11" t="s">
        <v>90</v>
      </c>
      <c r="G5" s="9">
        <v>22</v>
      </c>
      <c r="H5" s="26">
        <v>2100</v>
      </c>
      <c r="I5" s="9">
        <v>0</v>
      </c>
      <c r="J5" s="9">
        <f t="shared" si="0"/>
        <v>46200</v>
      </c>
      <c r="K5" s="9">
        <f t="shared" si="1"/>
        <v>46200</v>
      </c>
      <c r="L5" s="11" t="s">
        <v>76</v>
      </c>
      <c r="M5" s="11" t="s">
        <v>91</v>
      </c>
      <c r="N5">
        <v>8</v>
      </c>
      <c r="O5">
        <v>2024</v>
      </c>
      <c r="P5" s="29" t="s">
        <v>710</v>
      </c>
      <c r="Q5" t="s">
        <v>734</v>
      </c>
      <c r="R5" t="s">
        <v>738</v>
      </c>
      <c r="S5" s="32" t="s">
        <v>698</v>
      </c>
      <c r="T5" s="32" t="s">
        <v>701</v>
      </c>
    </row>
    <row r="6" spans="1:20" x14ac:dyDescent="0.25">
      <c r="A6" s="6">
        <v>5</v>
      </c>
      <c r="B6" s="7">
        <v>45352</v>
      </c>
      <c r="C6" s="8" t="s">
        <v>88</v>
      </c>
      <c r="D6" s="8" t="s">
        <v>93</v>
      </c>
      <c r="E6" s="8" t="s">
        <v>74</v>
      </c>
      <c r="F6" s="8" t="s">
        <v>94</v>
      </c>
      <c r="G6" s="6">
        <v>35</v>
      </c>
      <c r="H6" s="25">
        <v>37900</v>
      </c>
      <c r="I6" s="6">
        <v>0</v>
      </c>
      <c r="J6" s="6">
        <f t="shared" si="0"/>
        <v>1326500</v>
      </c>
      <c r="K6" s="6">
        <f t="shared" si="1"/>
        <v>1326500</v>
      </c>
      <c r="L6" s="8" t="s">
        <v>76</v>
      </c>
      <c r="M6" s="8" t="s">
        <v>91</v>
      </c>
      <c r="N6">
        <v>3</v>
      </c>
      <c r="O6">
        <v>2024</v>
      </c>
      <c r="P6" s="29" t="s">
        <v>711</v>
      </c>
      <c r="Q6" t="s">
        <v>735</v>
      </c>
      <c r="R6" t="s">
        <v>737</v>
      </c>
      <c r="S6" s="32" t="s">
        <v>699</v>
      </c>
      <c r="T6" s="32" t="s">
        <v>702</v>
      </c>
    </row>
    <row r="7" spans="1:20" x14ac:dyDescent="0.25">
      <c r="A7" s="9">
        <v>6</v>
      </c>
      <c r="B7" s="10">
        <v>45492</v>
      </c>
      <c r="C7" s="11" t="s">
        <v>101</v>
      </c>
      <c r="D7" s="11" t="s">
        <v>93</v>
      </c>
      <c r="E7" s="11" t="s">
        <v>74</v>
      </c>
      <c r="F7" s="11" t="s">
        <v>75</v>
      </c>
      <c r="G7" s="9">
        <v>3</v>
      </c>
      <c r="H7" s="26">
        <v>23700</v>
      </c>
      <c r="I7" s="9">
        <v>0</v>
      </c>
      <c r="J7" s="9">
        <f t="shared" si="0"/>
        <v>71100</v>
      </c>
      <c r="K7" s="9">
        <f t="shared" si="1"/>
        <v>71100</v>
      </c>
      <c r="L7" s="11" t="s">
        <v>187</v>
      </c>
      <c r="M7" s="11" t="s">
        <v>96</v>
      </c>
      <c r="N7">
        <v>7</v>
      </c>
      <c r="O7">
        <v>2024</v>
      </c>
      <c r="P7" s="29" t="s">
        <v>712</v>
      </c>
      <c r="Q7" t="s">
        <v>734</v>
      </c>
      <c r="R7" t="s">
        <v>739</v>
      </c>
    </row>
    <row r="8" spans="1:20" x14ac:dyDescent="0.25">
      <c r="A8" s="6">
        <v>7</v>
      </c>
      <c r="B8" s="7">
        <v>45165</v>
      </c>
      <c r="C8" s="8" t="s">
        <v>97</v>
      </c>
      <c r="D8" s="8" t="s">
        <v>83</v>
      </c>
      <c r="E8" s="8" t="s">
        <v>74</v>
      </c>
      <c r="F8" s="8" t="s">
        <v>99</v>
      </c>
      <c r="G8" s="6">
        <v>24</v>
      </c>
      <c r="H8" s="25">
        <v>3700</v>
      </c>
      <c r="I8" s="6">
        <v>0</v>
      </c>
      <c r="J8" s="6">
        <f t="shared" si="0"/>
        <v>88800</v>
      </c>
      <c r="K8" s="6">
        <f t="shared" si="1"/>
        <v>88800</v>
      </c>
      <c r="L8" s="8" t="s">
        <v>76</v>
      </c>
      <c r="M8" s="8" t="s">
        <v>96</v>
      </c>
      <c r="N8">
        <v>8</v>
      </c>
      <c r="O8">
        <v>2023</v>
      </c>
      <c r="P8" s="29" t="s">
        <v>713</v>
      </c>
      <c r="Q8" t="s">
        <v>734</v>
      </c>
      <c r="R8" t="s">
        <v>739</v>
      </c>
    </row>
    <row r="9" spans="1:20" x14ac:dyDescent="0.25">
      <c r="A9" s="9">
        <v>8</v>
      </c>
      <c r="B9" s="10">
        <v>45613</v>
      </c>
      <c r="C9" s="11" t="s">
        <v>101</v>
      </c>
      <c r="D9" s="11" t="s">
        <v>73</v>
      </c>
      <c r="E9" s="11" t="s">
        <v>102</v>
      </c>
      <c r="F9" s="11" t="s">
        <v>103</v>
      </c>
      <c r="G9" s="9">
        <v>16</v>
      </c>
      <c r="H9" s="26">
        <v>10100</v>
      </c>
      <c r="I9" s="9">
        <v>0</v>
      </c>
      <c r="J9" s="9">
        <f t="shared" si="0"/>
        <v>161600</v>
      </c>
      <c r="K9" s="9">
        <f t="shared" si="1"/>
        <v>161600</v>
      </c>
      <c r="L9" s="11" t="s">
        <v>76</v>
      </c>
      <c r="M9" s="11" t="s">
        <v>91</v>
      </c>
      <c r="N9">
        <v>11</v>
      </c>
      <c r="O9">
        <v>2024</v>
      </c>
      <c r="P9" s="29" t="s">
        <v>714</v>
      </c>
      <c r="Q9" t="s">
        <v>733</v>
      </c>
      <c r="R9" t="s">
        <v>739</v>
      </c>
    </row>
    <row r="10" spans="1:20" x14ac:dyDescent="0.25">
      <c r="A10" s="6">
        <v>9</v>
      </c>
      <c r="B10" s="7">
        <v>45582</v>
      </c>
      <c r="C10" s="8" t="s">
        <v>82</v>
      </c>
      <c r="D10" s="8" t="s">
        <v>109</v>
      </c>
      <c r="E10" s="8" t="s">
        <v>74</v>
      </c>
      <c r="F10" s="8" t="s">
        <v>94</v>
      </c>
      <c r="G10" s="6">
        <v>3</v>
      </c>
      <c r="H10" s="25">
        <v>33500</v>
      </c>
      <c r="I10" s="6">
        <v>0</v>
      </c>
      <c r="J10" s="6">
        <f t="shared" si="0"/>
        <v>100500</v>
      </c>
      <c r="K10" s="6">
        <f t="shared" si="1"/>
        <v>100500</v>
      </c>
      <c r="L10" s="8" t="s">
        <v>187</v>
      </c>
      <c r="M10" s="8" t="s">
        <v>91</v>
      </c>
      <c r="N10">
        <v>10</v>
      </c>
      <c r="O10">
        <v>2024</v>
      </c>
      <c r="P10" s="29" t="s">
        <v>709</v>
      </c>
      <c r="Q10" t="s">
        <v>733</v>
      </c>
      <c r="R10" t="s">
        <v>739</v>
      </c>
    </row>
    <row r="11" spans="1:20" x14ac:dyDescent="0.25">
      <c r="A11" s="9">
        <v>10</v>
      </c>
      <c r="B11" s="10">
        <v>45172</v>
      </c>
      <c r="C11" s="11" t="s">
        <v>106</v>
      </c>
      <c r="D11" s="11" t="s">
        <v>93</v>
      </c>
      <c r="E11" s="11" t="s">
        <v>74</v>
      </c>
      <c r="F11" s="11" t="s">
        <v>75</v>
      </c>
      <c r="G11" s="9">
        <v>26</v>
      </c>
      <c r="H11" s="26">
        <v>23400</v>
      </c>
      <c r="I11" s="9">
        <v>0</v>
      </c>
      <c r="J11" s="9">
        <f t="shared" si="0"/>
        <v>608400</v>
      </c>
      <c r="K11" s="9">
        <f t="shared" si="1"/>
        <v>608400</v>
      </c>
      <c r="L11" s="11" t="s">
        <v>107</v>
      </c>
      <c r="M11" s="11" t="s">
        <v>91</v>
      </c>
      <c r="N11">
        <v>9</v>
      </c>
      <c r="O11">
        <v>2023</v>
      </c>
      <c r="P11" s="29" t="s">
        <v>715</v>
      </c>
      <c r="Q11" t="s">
        <v>734</v>
      </c>
      <c r="R11" t="s">
        <v>737</v>
      </c>
    </row>
    <row r="12" spans="1:20" x14ac:dyDescent="0.25">
      <c r="A12" s="6">
        <v>11</v>
      </c>
      <c r="B12" s="7">
        <v>45198</v>
      </c>
      <c r="C12" s="8" t="s">
        <v>108</v>
      </c>
      <c r="D12" s="8" t="s">
        <v>109</v>
      </c>
      <c r="E12" s="8" t="s">
        <v>102</v>
      </c>
      <c r="F12" s="8" t="s">
        <v>110</v>
      </c>
      <c r="G12" s="6">
        <v>28</v>
      </c>
      <c r="H12" s="25">
        <v>23900</v>
      </c>
      <c r="I12" s="6">
        <v>0</v>
      </c>
      <c r="J12" s="6">
        <f t="shared" si="0"/>
        <v>669200</v>
      </c>
      <c r="K12" s="6">
        <f t="shared" si="1"/>
        <v>669200</v>
      </c>
      <c r="L12" s="8" t="s">
        <v>107</v>
      </c>
      <c r="M12" s="8" t="s">
        <v>91</v>
      </c>
      <c r="N12">
        <v>9</v>
      </c>
      <c r="O12">
        <v>2023</v>
      </c>
      <c r="P12" s="29" t="s">
        <v>715</v>
      </c>
      <c r="Q12" t="s">
        <v>734</v>
      </c>
      <c r="R12" t="s">
        <v>737</v>
      </c>
    </row>
    <row r="13" spans="1:20" x14ac:dyDescent="0.25">
      <c r="A13" s="9">
        <v>12</v>
      </c>
      <c r="B13" s="10">
        <v>45151</v>
      </c>
      <c r="C13" s="11" t="s">
        <v>108</v>
      </c>
      <c r="D13" s="11" t="s">
        <v>93</v>
      </c>
      <c r="E13" s="11" t="s">
        <v>111</v>
      </c>
      <c r="F13" s="11" t="s">
        <v>112</v>
      </c>
      <c r="G13" s="9">
        <v>8</v>
      </c>
      <c r="H13" s="26">
        <v>70800</v>
      </c>
      <c r="I13" s="9">
        <v>20</v>
      </c>
      <c r="J13" s="9">
        <f t="shared" si="0"/>
        <v>566400</v>
      </c>
      <c r="K13" s="9">
        <f t="shared" si="1"/>
        <v>453120</v>
      </c>
      <c r="L13" s="11" t="s">
        <v>76</v>
      </c>
      <c r="M13" s="11" t="s">
        <v>81</v>
      </c>
      <c r="N13">
        <v>8</v>
      </c>
      <c r="O13">
        <v>2023</v>
      </c>
      <c r="P13" s="29" t="s">
        <v>713</v>
      </c>
      <c r="Q13" t="s">
        <v>734</v>
      </c>
      <c r="R13" t="s">
        <v>737</v>
      </c>
    </row>
    <row r="14" spans="1:20" x14ac:dyDescent="0.25">
      <c r="A14" s="6">
        <v>13</v>
      </c>
      <c r="B14" s="7">
        <v>45623</v>
      </c>
      <c r="C14" s="8" t="s">
        <v>114</v>
      </c>
      <c r="D14" s="8" t="s">
        <v>93</v>
      </c>
      <c r="E14" s="8" t="s">
        <v>79</v>
      </c>
      <c r="F14" s="8" t="s">
        <v>115</v>
      </c>
      <c r="G14" s="6">
        <v>30</v>
      </c>
      <c r="H14" s="25">
        <v>9000</v>
      </c>
      <c r="I14" s="6">
        <v>15</v>
      </c>
      <c r="J14" s="6">
        <f t="shared" si="0"/>
        <v>270000</v>
      </c>
      <c r="K14" s="6">
        <f t="shared" si="1"/>
        <v>229500</v>
      </c>
      <c r="L14" s="8" t="s">
        <v>76</v>
      </c>
      <c r="M14" s="8" t="s">
        <v>77</v>
      </c>
      <c r="N14">
        <v>11</v>
      </c>
      <c r="O14">
        <v>2024</v>
      </c>
      <c r="P14" s="29" t="s">
        <v>714</v>
      </c>
      <c r="Q14" t="s">
        <v>733</v>
      </c>
      <c r="R14" t="s">
        <v>737</v>
      </c>
    </row>
    <row r="15" spans="1:20" x14ac:dyDescent="0.25">
      <c r="A15" s="9">
        <v>14</v>
      </c>
      <c r="B15" s="10">
        <v>45044</v>
      </c>
      <c r="C15" s="11" t="s">
        <v>82</v>
      </c>
      <c r="D15" s="11" t="s">
        <v>117</v>
      </c>
      <c r="E15" s="11" t="s">
        <v>74</v>
      </c>
      <c r="F15" s="11" t="s">
        <v>118</v>
      </c>
      <c r="G15" s="9">
        <v>11</v>
      </c>
      <c r="H15" s="26">
        <v>27300</v>
      </c>
      <c r="I15" s="9">
        <v>10</v>
      </c>
      <c r="J15" s="9">
        <f t="shared" si="0"/>
        <v>300300</v>
      </c>
      <c r="K15" s="9">
        <f t="shared" si="1"/>
        <v>270270</v>
      </c>
      <c r="L15" s="11" t="s">
        <v>76</v>
      </c>
      <c r="M15" s="11" t="s">
        <v>96</v>
      </c>
      <c r="N15">
        <v>4</v>
      </c>
      <c r="O15">
        <v>2023</v>
      </c>
      <c r="P15" s="29" t="s">
        <v>716</v>
      </c>
      <c r="Q15" t="s">
        <v>736</v>
      </c>
      <c r="R15" t="s">
        <v>737</v>
      </c>
    </row>
    <row r="16" spans="1:20" x14ac:dyDescent="0.25">
      <c r="A16" s="6">
        <v>15</v>
      </c>
      <c r="B16" s="7">
        <v>44964</v>
      </c>
      <c r="C16" s="8" t="s">
        <v>82</v>
      </c>
      <c r="D16" s="8" t="s">
        <v>73</v>
      </c>
      <c r="E16" s="8" t="s">
        <v>74</v>
      </c>
      <c r="F16" s="8" t="s">
        <v>75</v>
      </c>
      <c r="G16" s="6">
        <v>49</v>
      </c>
      <c r="H16" s="25">
        <v>20600</v>
      </c>
      <c r="I16" s="6">
        <v>10</v>
      </c>
      <c r="J16" s="6">
        <f t="shared" si="0"/>
        <v>1009400</v>
      </c>
      <c r="K16" s="6">
        <f t="shared" si="1"/>
        <v>908460</v>
      </c>
      <c r="L16" s="8" t="s">
        <v>76</v>
      </c>
      <c r="M16" s="8" t="s">
        <v>77</v>
      </c>
      <c r="N16">
        <v>2</v>
      </c>
      <c r="O16">
        <v>2023</v>
      </c>
      <c r="P16" s="29" t="s">
        <v>717</v>
      </c>
      <c r="Q16" t="s">
        <v>735</v>
      </c>
      <c r="R16" t="s">
        <v>737</v>
      </c>
    </row>
    <row r="17" spans="1:18" x14ac:dyDescent="0.25">
      <c r="A17" s="9">
        <v>16</v>
      </c>
      <c r="B17" s="10">
        <v>45258</v>
      </c>
      <c r="C17" s="11" t="s">
        <v>119</v>
      </c>
      <c r="D17" s="11" t="s">
        <v>73</v>
      </c>
      <c r="E17" s="11" t="s">
        <v>79</v>
      </c>
      <c r="F17" s="11" t="s">
        <v>120</v>
      </c>
      <c r="G17" s="9">
        <v>20</v>
      </c>
      <c r="H17" s="26">
        <v>6700</v>
      </c>
      <c r="I17" s="9">
        <v>10</v>
      </c>
      <c r="J17" s="9">
        <f t="shared" si="0"/>
        <v>134000</v>
      </c>
      <c r="K17" s="9">
        <f t="shared" si="1"/>
        <v>120600</v>
      </c>
      <c r="L17" s="11" t="s">
        <v>76</v>
      </c>
      <c r="M17" s="11" t="s">
        <v>81</v>
      </c>
      <c r="N17">
        <v>11</v>
      </c>
      <c r="O17">
        <v>2023</v>
      </c>
      <c r="P17" s="29" t="s">
        <v>718</v>
      </c>
      <c r="Q17" t="s">
        <v>733</v>
      </c>
      <c r="R17" t="s">
        <v>739</v>
      </c>
    </row>
    <row r="18" spans="1:18" x14ac:dyDescent="0.25">
      <c r="A18" s="6">
        <v>17</v>
      </c>
      <c r="B18" s="7">
        <v>45007</v>
      </c>
      <c r="C18" s="8" t="s">
        <v>97</v>
      </c>
      <c r="D18" s="8" t="s">
        <v>83</v>
      </c>
      <c r="E18" s="8" t="s">
        <v>79</v>
      </c>
      <c r="F18" s="8" t="s">
        <v>122</v>
      </c>
      <c r="G18" s="6">
        <v>31</v>
      </c>
      <c r="H18" s="25">
        <v>16800</v>
      </c>
      <c r="I18" s="6">
        <v>0</v>
      </c>
      <c r="J18" s="6">
        <f t="shared" si="0"/>
        <v>520800</v>
      </c>
      <c r="K18" s="6">
        <f t="shared" si="1"/>
        <v>520800</v>
      </c>
      <c r="L18" s="8" t="s">
        <v>123</v>
      </c>
      <c r="M18" s="8" t="s">
        <v>81</v>
      </c>
      <c r="N18">
        <v>3</v>
      </c>
      <c r="O18">
        <v>2023</v>
      </c>
      <c r="P18" s="29" t="s">
        <v>719</v>
      </c>
      <c r="Q18" t="s">
        <v>735</v>
      </c>
      <c r="R18" t="s">
        <v>737</v>
      </c>
    </row>
    <row r="19" spans="1:18" x14ac:dyDescent="0.25">
      <c r="A19" s="9">
        <v>18</v>
      </c>
      <c r="B19" s="10">
        <v>45467</v>
      </c>
      <c r="C19" s="11" t="s">
        <v>124</v>
      </c>
      <c r="D19" s="11" t="s">
        <v>83</v>
      </c>
      <c r="E19" s="11" t="s">
        <v>84</v>
      </c>
      <c r="F19" s="11" t="s">
        <v>90</v>
      </c>
      <c r="G19" s="9">
        <v>26</v>
      </c>
      <c r="H19" s="26">
        <v>1900</v>
      </c>
      <c r="I19" s="9">
        <v>5</v>
      </c>
      <c r="J19" s="9">
        <f t="shared" si="0"/>
        <v>49400</v>
      </c>
      <c r="K19" s="9">
        <f t="shared" si="1"/>
        <v>46930</v>
      </c>
      <c r="L19" s="11" t="s">
        <v>123</v>
      </c>
      <c r="M19" s="11" t="s">
        <v>96</v>
      </c>
      <c r="N19">
        <v>6</v>
      </c>
      <c r="O19">
        <v>2024</v>
      </c>
      <c r="P19" s="29" t="s">
        <v>720</v>
      </c>
      <c r="Q19" t="s">
        <v>736</v>
      </c>
      <c r="R19" t="s">
        <v>738</v>
      </c>
    </row>
    <row r="20" spans="1:18" x14ac:dyDescent="0.25">
      <c r="A20" s="6">
        <v>19</v>
      </c>
      <c r="B20" s="7">
        <v>45456</v>
      </c>
      <c r="C20" s="8" t="s">
        <v>119</v>
      </c>
      <c r="D20" s="8" t="s">
        <v>73</v>
      </c>
      <c r="E20" s="8" t="s">
        <v>84</v>
      </c>
      <c r="F20" s="8" t="s">
        <v>90</v>
      </c>
      <c r="G20" s="6">
        <v>2</v>
      </c>
      <c r="H20" s="25">
        <v>1600</v>
      </c>
      <c r="I20" s="6">
        <v>10</v>
      </c>
      <c r="J20" s="6">
        <f t="shared" si="0"/>
        <v>3200</v>
      </c>
      <c r="K20" s="6">
        <f t="shared" si="1"/>
        <v>2880</v>
      </c>
      <c r="L20" s="8" t="s">
        <v>76</v>
      </c>
      <c r="M20" s="8" t="s">
        <v>81</v>
      </c>
      <c r="N20">
        <v>6</v>
      </c>
      <c r="O20">
        <v>2024</v>
      </c>
      <c r="P20" s="29" t="s">
        <v>720</v>
      </c>
      <c r="Q20" t="s">
        <v>736</v>
      </c>
      <c r="R20" t="s">
        <v>738</v>
      </c>
    </row>
    <row r="21" spans="1:18" x14ac:dyDescent="0.25">
      <c r="A21" s="9">
        <v>20</v>
      </c>
      <c r="B21" s="10">
        <v>45152</v>
      </c>
      <c r="C21" s="11" t="s">
        <v>78</v>
      </c>
      <c r="D21" s="11" t="s">
        <v>73</v>
      </c>
      <c r="E21" s="11" t="s">
        <v>79</v>
      </c>
      <c r="F21" s="11" t="s">
        <v>80</v>
      </c>
      <c r="G21" s="9">
        <v>3</v>
      </c>
      <c r="H21" s="26">
        <v>7800</v>
      </c>
      <c r="I21" s="9">
        <v>10</v>
      </c>
      <c r="J21" s="9">
        <f t="shared" si="0"/>
        <v>23400</v>
      </c>
      <c r="K21" s="9">
        <f t="shared" si="1"/>
        <v>21060</v>
      </c>
      <c r="L21" s="11" t="s">
        <v>107</v>
      </c>
      <c r="M21" s="11" t="s">
        <v>77</v>
      </c>
      <c r="N21">
        <v>8</v>
      </c>
      <c r="O21">
        <v>2023</v>
      </c>
      <c r="P21" s="29" t="s">
        <v>713</v>
      </c>
      <c r="Q21" t="s">
        <v>734</v>
      </c>
      <c r="R21" t="s">
        <v>738</v>
      </c>
    </row>
    <row r="22" spans="1:18" x14ac:dyDescent="0.25">
      <c r="A22" s="6">
        <v>21</v>
      </c>
      <c r="B22" s="7">
        <v>44935</v>
      </c>
      <c r="C22" s="8" t="s">
        <v>101</v>
      </c>
      <c r="D22" s="8" t="s">
        <v>83</v>
      </c>
      <c r="E22" s="8" t="s">
        <v>84</v>
      </c>
      <c r="F22" s="8" t="s">
        <v>128</v>
      </c>
      <c r="G22" s="6">
        <v>37</v>
      </c>
      <c r="H22" s="25">
        <v>4500</v>
      </c>
      <c r="I22" s="6">
        <v>20</v>
      </c>
      <c r="J22" s="6">
        <f t="shared" si="0"/>
        <v>166500</v>
      </c>
      <c r="K22" s="6">
        <f t="shared" si="1"/>
        <v>133200</v>
      </c>
      <c r="L22" s="8" t="s">
        <v>76</v>
      </c>
      <c r="M22" s="8" t="s">
        <v>81</v>
      </c>
      <c r="N22">
        <v>1</v>
      </c>
      <c r="O22">
        <v>2023</v>
      </c>
      <c r="P22" s="29" t="s">
        <v>721</v>
      </c>
      <c r="Q22" t="s">
        <v>735</v>
      </c>
      <c r="R22" t="s">
        <v>739</v>
      </c>
    </row>
    <row r="23" spans="1:18" x14ac:dyDescent="0.25">
      <c r="A23" s="9">
        <v>22</v>
      </c>
      <c r="B23" s="10">
        <v>45411</v>
      </c>
      <c r="C23" s="11" t="s">
        <v>114</v>
      </c>
      <c r="D23" s="30" t="s">
        <v>703</v>
      </c>
      <c r="E23" s="11" t="s">
        <v>79</v>
      </c>
      <c r="F23" s="11" t="s">
        <v>131</v>
      </c>
      <c r="G23" s="9">
        <v>23</v>
      </c>
      <c r="H23" s="26">
        <v>127800</v>
      </c>
      <c r="I23" s="9">
        <v>20</v>
      </c>
      <c r="J23" s="9">
        <f t="shared" si="0"/>
        <v>2939400</v>
      </c>
      <c r="K23" s="9">
        <f t="shared" si="1"/>
        <v>2351520</v>
      </c>
      <c r="L23" s="11" t="s">
        <v>76</v>
      </c>
      <c r="M23" s="11" t="s">
        <v>91</v>
      </c>
      <c r="N23">
        <v>4</v>
      </c>
      <c r="O23">
        <v>2024</v>
      </c>
      <c r="P23" s="29" t="s">
        <v>722</v>
      </c>
      <c r="Q23" t="s">
        <v>736</v>
      </c>
      <c r="R23" t="s">
        <v>737</v>
      </c>
    </row>
    <row r="24" spans="1:18" x14ac:dyDescent="0.25">
      <c r="A24" s="6">
        <v>23</v>
      </c>
      <c r="B24" s="7">
        <v>44982</v>
      </c>
      <c r="C24" s="8" t="s">
        <v>97</v>
      </c>
      <c r="D24" s="8" t="s">
        <v>73</v>
      </c>
      <c r="E24" s="8" t="s">
        <v>111</v>
      </c>
      <c r="F24" s="8" t="s">
        <v>132</v>
      </c>
      <c r="G24" s="6">
        <v>7</v>
      </c>
      <c r="H24" s="25">
        <v>8300</v>
      </c>
      <c r="I24" s="6">
        <v>10</v>
      </c>
      <c r="J24" s="6">
        <f t="shared" si="0"/>
        <v>58100</v>
      </c>
      <c r="K24" s="6">
        <f t="shared" si="1"/>
        <v>52290</v>
      </c>
      <c r="L24" s="8" t="s">
        <v>76</v>
      </c>
      <c r="M24" s="8" t="s">
        <v>81</v>
      </c>
      <c r="N24">
        <v>2</v>
      </c>
      <c r="O24">
        <v>2023</v>
      </c>
      <c r="P24" s="29" t="s">
        <v>717</v>
      </c>
      <c r="Q24" t="s">
        <v>735</v>
      </c>
      <c r="R24" t="s">
        <v>739</v>
      </c>
    </row>
    <row r="25" spans="1:18" x14ac:dyDescent="0.25">
      <c r="A25" s="9">
        <v>24</v>
      </c>
      <c r="B25" s="10">
        <v>45386</v>
      </c>
      <c r="C25" s="11" t="s">
        <v>108</v>
      </c>
      <c r="D25" s="11" t="s">
        <v>83</v>
      </c>
      <c r="E25" s="11" t="s">
        <v>84</v>
      </c>
      <c r="F25" s="11" t="s">
        <v>134</v>
      </c>
      <c r="G25" s="9">
        <v>5</v>
      </c>
      <c r="H25" s="26">
        <v>9800</v>
      </c>
      <c r="I25" s="9">
        <v>0</v>
      </c>
      <c r="J25" s="9">
        <f t="shared" si="0"/>
        <v>49000</v>
      </c>
      <c r="K25" s="9">
        <f t="shared" si="1"/>
        <v>49000</v>
      </c>
      <c r="L25" s="11" t="s">
        <v>76</v>
      </c>
      <c r="M25" s="11" t="s">
        <v>77</v>
      </c>
      <c r="N25">
        <v>4</v>
      </c>
      <c r="O25">
        <v>2024</v>
      </c>
      <c r="P25" s="29" t="s">
        <v>722</v>
      </c>
      <c r="Q25" t="s">
        <v>736</v>
      </c>
      <c r="R25" t="s">
        <v>738</v>
      </c>
    </row>
    <row r="26" spans="1:18" x14ac:dyDescent="0.25">
      <c r="A26" s="6">
        <v>25</v>
      </c>
      <c r="B26" s="7">
        <v>45594</v>
      </c>
      <c r="C26" s="8" t="s">
        <v>82</v>
      </c>
      <c r="D26" s="8" t="s">
        <v>73</v>
      </c>
      <c r="E26" s="8" t="s">
        <v>79</v>
      </c>
      <c r="F26" s="8" t="s">
        <v>80</v>
      </c>
      <c r="G26" s="6">
        <v>32</v>
      </c>
      <c r="H26" s="25">
        <v>8000</v>
      </c>
      <c r="I26" s="6">
        <v>0</v>
      </c>
      <c r="J26" s="6">
        <f t="shared" si="0"/>
        <v>256000</v>
      </c>
      <c r="K26" s="6">
        <f t="shared" si="1"/>
        <v>256000</v>
      </c>
      <c r="L26" s="8" t="s">
        <v>76</v>
      </c>
      <c r="M26" s="8" t="s">
        <v>91</v>
      </c>
      <c r="N26">
        <v>10</v>
      </c>
      <c r="O26">
        <v>2024</v>
      </c>
      <c r="P26" s="29" t="s">
        <v>709</v>
      </c>
      <c r="Q26" t="s">
        <v>733</v>
      </c>
      <c r="R26" t="s">
        <v>737</v>
      </c>
    </row>
    <row r="27" spans="1:18" x14ac:dyDescent="0.25">
      <c r="A27" s="9">
        <v>26</v>
      </c>
      <c r="B27" s="10">
        <v>45095</v>
      </c>
      <c r="C27" s="11" t="s">
        <v>114</v>
      </c>
      <c r="D27" s="11" t="s">
        <v>73</v>
      </c>
      <c r="E27" s="11" t="s">
        <v>111</v>
      </c>
      <c r="F27" s="11" t="s">
        <v>135</v>
      </c>
      <c r="G27" s="9">
        <v>30</v>
      </c>
      <c r="H27" s="26">
        <v>130100</v>
      </c>
      <c r="I27" s="9">
        <v>0</v>
      </c>
      <c r="J27" s="9">
        <f t="shared" si="0"/>
        <v>3903000</v>
      </c>
      <c r="K27" s="9">
        <f t="shared" si="1"/>
        <v>3903000</v>
      </c>
      <c r="L27" s="11" t="s">
        <v>76</v>
      </c>
      <c r="M27" s="11" t="s">
        <v>91</v>
      </c>
      <c r="N27">
        <v>6</v>
      </c>
      <c r="O27">
        <v>2023</v>
      </c>
      <c r="P27" s="29" t="s">
        <v>723</v>
      </c>
      <c r="Q27" t="s">
        <v>736</v>
      </c>
      <c r="R27" t="s">
        <v>737</v>
      </c>
    </row>
    <row r="28" spans="1:18" x14ac:dyDescent="0.25">
      <c r="A28" s="6">
        <v>27</v>
      </c>
      <c r="B28" s="7">
        <v>45121</v>
      </c>
      <c r="C28" s="8" t="s">
        <v>101</v>
      </c>
      <c r="D28" s="8" t="s">
        <v>109</v>
      </c>
      <c r="E28" s="8" t="s">
        <v>79</v>
      </c>
      <c r="F28" s="8" t="s">
        <v>136</v>
      </c>
      <c r="G28" s="6">
        <v>4</v>
      </c>
      <c r="H28" s="25">
        <v>92400</v>
      </c>
      <c r="I28" s="6">
        <v>10</v>
      </c>
      <c r="J28" s="6">
        <f t="shared" si="0"/>
        <v>369600</v>
      </c>
      <c r="K28" s="6">
        <f t="shared" si="1"/>
        <v>332640</v>
      </c>
      <c r="L28" s="8" t="s">
        <v>76</v>
      </c>
      <c r="M28" s="31" t="s">
        <v>695</v>
      </c>
      <c r="N28">
        <v>7</v>
      </c>
      <c r="O28">
        <v>2023</v>
      </c>
      <c r="P28" s="29" t="s">
        <v>724</v>
      </c>
      <c r="Q28" t="s">
        <v>734</v>
      </c>
      <c r="R28" t="s">
        <v>737</v>
      </c>
    </row>
    <row r="29" spans="1:18" x14ac:dyDescent="0.25">
      <c r="A29" s="9">
        <v>28</v>
      </c>
      <c r="B29" s="10">
        <v>45470</v>
      </c>
      <c r="C29" s="11" t="s">
        <v>108</v>
      </c>
      <c r="D29" s="11" t="s">
        <v>73</v>
      </c>
      <c r="E29" s="11" t="s">
        <v>102</v>
      </c>
      <c r="F29" s="11" t="s">
        <v>137</v>
      </c>
      <c r="G29" s="9">
        <v>5</v>
      </c>
      <c r="H29" s="26">
        <v>2400</v>
      </c>
      <c r="I29" s="9">
        <v>5</v>
      </c>
      <c r="J29" s="9">
        <f t="shared" si="0"/>
        <v>12000</v>
      </c>
      <c r="K29" s="9">
        <f t="shared" si="1"/>
        <v>11400</v>
      </c>
      <c r="L29" s="11" t="s">
        <v>76</v>
      </c>
      <c r="M29" s="11" t="s">
        <v>81</v>
      </c>
      <c r="N29">
        <v>6</v>
      </c>
      <c r="O29">
        <v>2024</v>
      </c>
      <c r="P29" s="29" t="s">
        <v>720</v>
      </c>
      <c r="Q29" t="s">
        <v>736</v>
      </c>
      <c r="R29" t="s">
        <v>738</v>
      </c>
    </row>
    <row r="30" spans="1:18" x14ac:dyDescent="0.25">
      <c r="A30" s="6">
        <v>29</v>
      </c>
      <c r="B30" s="7">
        <v>44990</v>
      </c>
      <c r="C30" s="8" t="s">
        <v>124</v>
      </c>
      <c r="D30" s="8" t="s">
        <v>109</v>
      </c>
      <c r="E30" s="8" t="s">
        <v>102</v>
      </c>
      <c r="F30" s="8" t="s">
        <v>138</v>
      </c>
      <c r="G30" s="6">
        <v>27</v>
      </c>
      <c r="H30" s="25">
        <v>6900</v>
      </c>
      <c r="I30" s="6">
        <v>0</v>
      </c>
      <c r="J30" s="6">
        <f t="shared" si="0"/>
        <v>186300</v>
      </c>
      <c r="K30" s="6">
        <f t="shared" si="1"/>
        <v>186300</v>
      </c>
      <c r="L30" s="8" t="s">
        <v>187</v>
      </c>
      <c r="M30" s="8" t="s">
        <v>96</v>
      </c>
      <c r="N30">
        <v>3</v>
      </c>
      <c r="O30">
        <v>2023</v>
      </c>
      <c r="P30" s="29" t="s">
        <v>719</v>
      </c>
      <c r="Q30" t="s">
        <v>735</v>
      </c>
      <c r="R30" t="s">
        <v>739</v>
      </c>
    </row>
    <row r="31" spans="1:18" x14ac:dyDescent="0.25">
      <c r="A31" s="9">
        <v>30</v>
      </c>
      <c r="B31" s="10">
        <v>45136</v>
      </c>
      <c r="C31" s="11" t="s">
        <v>88</v>
      </c>
      <c r="D31" s="11" t="s">
        <v>109</v>
      </c>
      <c r="E31" s="11" t="s">
        <v>74</v>
      </c>
      <c r="F31" s="11" t="s">
        <v>140</v>
      </c>
      <c r="G31" s="9">
        <v>42</v>
      </c>
      <c r="H31" s="26">
        <v>4200</v>
      </c>
      <c r="I31" s="9">
        <v>20</v>
      </c>
      <c r="J31" s="9">
        <f t="shared" si="0"/>
        <v>176400</v>
      </c>
      <c r="K31" s="9">
        <f t="shared" si="1"/>
        <v>141120</v>
      </c>
      <c r="L31" s="11" t="s">
        <v>76</v>
      </c>
      <c r="M31" s="31" t="s">
        <v>695</v>
      </c>
      <c r="N31">
        <v>7</v>
      </c>
      <c r="O31">
        <v>2023</v>
      </c>
      <c r="P31" s="29" t="s">
        <v>724</v>
      </c>
      <c r="Q31" t="s">
        <v>734</v>
      </c>
      <c r="R31" t="s">
        <v>739</v>
      </c>
    </row>
    <row r="32" spans="1:18" x14ac:dyDescent="0.25">
      <c r="A32" s="6">
        <v>31</v>
      </c>
      <c r="B32" s="7">
        <v>45001</v>
      </c>
      <c r="C32" s="8" t="s">
        <v>78</v>
      </c>
      <c r="D32" s="8" t="s">
        <v>83</v>
      </c>
      <c r="E32" s="8" t="s">
        <v>102</v>
      </c>
      <c r="F32" s="8" t="s">
        <v>137</v>
      </c>
      <c r="G32" s="6">
        <v>14</v>
      </c>
      <c r="H32" s="25">
        <v>2000</v>
      </c>
      <c r="I32" s="6">
        <v>0</v>
      </c>
      <c r="J32" s="6">
        <f t="shared" si="0"/>
        <v>28000</v>
      </c>
      <c r="K32" s="6">
        <f t="shared" si="1"/>
        <v>28000</v>
      </c>
      <c r="L32" s="8" t="s">
        <v>76</v>
      </c>
      <c r="M32" s="8" t="s">
        <v>81</v>
      </c>
      <c r="N32">
        <v>3</v>
      </c>
      <c r="O32">
        <v>2023</v>
      </c>
      <c r="P32" s="29" t="s">
        <v>719</v>
      </c>
      <c r="Q32" t="s">
        <v>735</v>
      </c>
      <c r="R32" t="s">
        <v>738</v>
      </c>
    </row>
    <row r="33" spans="1:18" x14ac:dyDescent="0.25">
      <c r="A33" s="9">
        <v>32</v>
      </c>
      <c r="B33" s="10">
        <v>45263</v>
      </c>
      <c r="C33" s="11" t="s">
        <v>106</v>
      </c>
      <c r="D33" s="11" t="s">
        <v>117</v>
      </c>
      <c r="E33" s="11" t="s">
        <v>74</v>
      </c>
      <c r="F33" s="11" t="s">
        <v>142</v>
      </c>
      <c r="G33" s="9">
        <v>35</v>
      </c>
      <c r="H33" s="26">
        <v>12100</v>
      </c>
      <c r="I33" s="9">
        <v>15</v>
      </c>
      <c r="J33" s="9">
        <f t="shared" si="0"/>
        <v>423500</v>
      </c>
      <c r="K33" s="9">
        <f t="shared" si="1"/>
        <v>359975</v>
      </c>
      <c r="L33" s="11" t="s">
        <v>187</v>
      </c>
      <c r="M33" s="11" t="s">
        <v>77</v>
      </c>
      <c r="N33">
        <v>12</v>
      </c>
      <c r="O33">
        <v>2023</v>
      </c>
      <c r="P33" s="29" t="s">
        <v>725</v>
      </c>
      <c r="Q33" t="s">
        <v>733</v>
      </c>
      <c r="R33" t="s">
        <v>737</v>
      </c>
    </row>
    <row r="34" spans="1:18" x14ac:dyDescent="0.25">
      <c r="A34" s="6">
        <v>33</v>
      </c>
      <c r="B34" s="7">
        <v>45494</v>
      </c>
      <c r="C34" s="8" t="s">
        <v>101</v>
      </c>
      <c r="D34" s="8" t="s">
        <v>73</v>
      </c>
      <c r="E34" s="8" t="s">
        <v>84</v>
      </c>
      <c r="F34" s="8" t="s">
        <v>134</v>
      </c>
      <c r="G34" s="6">
        <v>7</v>
      </c>
      <c r="H34" s="25">
        <v>8900</v>
      </c>
      <c r="I34" s="6">
        <v>0</v>
      </c>
      <c r="J34" s="6">
        <f t="shared" si="0"/>
        <v>62300</v>
      </c>
      <c r="K34" s="6">
        <f t="shared" si="1"/>
        <v>62300</v>
      </c>
      <c r="L34" s="8" t="s">
        <v>187</v>
      </c>
      <c r="M34" s="8" t="s">
        <v>81</v>
      </c>
      <c r="N34">
        <v>7</v>
      </c>
      <c r="O34">
        <v>2024</v>
      </c>
      <c r="P34" s="29" t="s">
        <v>712</v>
      </c>
      <c r="Q34" t="s">
        <v>734</v>
      </c>
      <c r="R34" t="s">
        <v>739</v>
      </c>
    </row>
    <row r="35" spans="1:18" x14ac:dyDescent="0.25">
      <c r="A35" s="9">
        <v>34</v>
      </c>
      <c r="B35" s="10">
        <v>45215</v>
      </c>
      <c r="C35" s="11" t="s">
        <v>124</v>
      </c>
      <c r="D35" s="11" t="s">
        <v>109</v>
      </c>
      <c r="E35" s="11" t="s">
        <v>74</v>
      </c>
      <c r="F35" s="11" t="s">
        <v>75</v>
      </c>
      <c r="G35" s="9">
        <v>17</v>
      </c>
      <c r="H35" s="26">
        <v>23600</v>
      </c>
      <c r="I35" s="9">
        <v>20</v>
      </c>
      <c r="J35" s="9">
        <f t="shared" si="0"/>
        <v>401200</v>
      </c>
      <c r="K35" s="9">
        <f t="shared" si="1"/>
        <v>320960</v>
      </c>
      <c r="L35" s="11" t="s">
        <v>76</v>
      </c>
      <c r="M35" s="11" t="s">
        <v>96</v>
      </c>
      <c r="N35">
        <v>10</v>
      </c>
      <c r="O35">
        <v>2023</v>
      </c>
      <c r="P35" s="29" t="s">
        <v>726</v>
      </c>
      <c r="Q35" t="s">
        <v>733</v>
      </c>
      <c r="R35" t="s">
        <v>737</v>
      </c>
    </row>
    <row r="36" spans="1:18" x14ac:dyDescent="0.25">
      <c r="A36" s="6">
        <v>35</v>
      </c>
      <c r="B36" s="7">
        <v>44979</v>
      </c>
      <c r="C36" s="8" t="s">
        <v>97</v>
      </c>
      <c r="D36" s="8" t="s">
        <v>83</v>
      </c>
      <c r="E36" s="8" t="s">
        <v>74</v>
      </c>
      <c r="F36" s="8" t="s">
        <v>94</v>
      </c>
      <c r="G36" s="6">
        <v>50</v>
      </c>
      <c r="H36" s="25">
        <v>31500</v>
      </c>
      <c r="I36" s="6">
        <v>0</v>
      </c>
      <c r="J36" s="6">
        <f t="shared" si="0"/>
        <v>1575000</v>
      </c>
      <c r="K36" s="6">
        <f t="shared" si="1"/>
        <v>1575000</v>
      </c>
      <c r="L36" s="8" t="s">
        <v>76</v>
      </c>
      <c r="M36" s="8" t="s">
        <v>96</v>
      </c>
      <c r="N36">
        <v>2</v>
      </c>
      <c r="O36">
        <v>2023</v>
      </c>
      <c r="P36" s="29" t="s">
        <v>717</v>
      </c>
      <c r="Q36" t="s">
        <v>735</v>
      </c>
      <c r="R36" t="s">
        <v>737</v>
      </c>
    </row>
    <row r="37" spans="1:18" x14ac:dyDescent="0.25">
      <c r="A37" s="9">
        <v>36</v>
      </c>
      <c r="B37" s="10">
        <v>45379</v>
      </c>
      <c r="C37" s="11" t="s">
        <v>82</v>
      </c>
      <c r="D37" s="11" t="s">
        <v>83</v>
      </c>
      <c r="E37" s="11" t="s">
        <v>102</v>
      </c>
      <c r="F37" s="11" t="s">
        <v>138</v>
      </c>
      <c r="G37" s="9">
        <v>45</v>
      </c>
      <c r="H37" s="26">
        <v>6000</v>
      </c>
      <c r="I37" s="9">
        <v>20</v>
      </c>
      <c r="J37" s="9">
        <f t="shared" si="0"/>
        <v>270000</v>
      </c>
      <c r="K37" s="9">
        <f t="shared" si="1"/>
        <v>216000</v>
      </c>
      <c r="L37" s="11" t="s">
        <v>107</v>
      </c>
      <c r="M37" s="11" t="s">
        <v>77</v>
      </c>
      <c r="N37">
        <v>3</v>
      </c>
      <c r="O37">
        <v>2024</v>
      </c>
      <c r="P37" s="29" t="s">
        <v>711</v>
      </c>
      <c r="Q37" t="s">
        <v>735</v>
      </c>
      <c r="R37" t="s">
        <v>737</v>
      </c>
    </row>
    <row r="38" spans="1:18" x14ac:dyDescent="0.25">
      <c r="A38" s="6">
        <v>37</v>
      </c>
      <c r="B38" s="7">
        <v>45305</v>
      </c>
      <c r="C38" s="8" t="s">
        <v>124</v>
      </c>
      <c r="D38" s="8" t="s">
        <v>93</v>
      </c>
      <c r="E38" s="8" t="s">
        <v>84</v>
      </c>
      <c r="F38" s="8" t="s">
        <v>148</v>
      </c>
      <c r="G38" s="6">
        <v>20</v>
      </c>
      <c r="H38" s="25">
        <v>4500</v>
      </c>
      <c r="I38" s="6">
        <v>0</v>
      </c>
      <c r="J38" s="6">
        <f t="shared" si="0"/>
        <v>90000</v>
      </c>
      <c r="K38" s="6">
        <f t="shared" si="1"/>
        <v>90000</v>
      </c>
      <c r="L38" s="8" t="s">
        <v>76</v>
      </c>
      <c r="M38" s="8" t="s">
        <v>77</v>
      </c>
      <c r="N38">
        <v>1</v>
      </c>
      <c r="O38">
        <v>2024</v>
      </c>
      <c r="P38" s="29" t="s">
        <v>727</v>
      </c>
      <c r="Q38" t="s">
        <v>735</v>
      </c>
      <c r="R38" t="s">
        <v>739</v>
      </c>
    </row>
    <row r="39" spans="1:18" x14ac:dyDescent="0.25">
      <c r="A39" s="9">
        <v>38</v>
      </c>
      <c r="B39" s="10">
        <v>45024</v>
      </c>
      <c r="C39" s="11" t="s">
        <v>106</v>
      </c>
      <c r="D39" s="11" t="s">
        <v>73</v>
      </c>
      <c r="E39" s="11" t="s">
        <v>74</v>
      </c>
      <c r="F39" s="11" t="s">
        <v>140</v>
      </c>
      <c r="G39" s="9">
        <v>48</v>
      </c>
      <c r="H39" s="26">
        <v>5100</v>
      </c>
      <c r="I39" s="9">
        <v>20</v>
      </c>
      <c r="J39" s="9">
        <f t="shared" si="0"/>
        <v>244800</v>
      </c>
      <c r="K39" s="9">
        <f t="shared" si="1"/>
        <v>195840</v>
      </c>
      <c r="L39" s="11" t="s">
        <v>76</v>
      </c>
      <c r="M39" s="31" t="s">
        <v>695</v>
      </c>
      <c r="N39">
        <v>4</v>
      </c>
      <c r="O39">
        <v>2023</v>
      </c>
      <c r="P39" s="29" t="s">
        <v>716</v>
      </c>
      <c r="Q39" t="s">
        <v>736</v>
      </c>
      <c r="R39" t="s">
        <v>739</v>
      </c>
    </row>
    <row r="40" spans="1:18" x14ac:dyDescent="0.25">
      <c r="A40" s="6">
        <v>39</v>
      </c>
      <c r="B40" s="7">
        <v>45093</v>
      </c>
      <c r="C40" s="8" t="s">
        <v>108</v>
      </c>
      <c r="D40" s="8" t="s">
        <v>83</v>
      </c>
      <c r="E40" s="8" t="s">
        <v>79</v>
      </c>
      <c r="F40" s="8" t="s">
        <v>122</v>
      </c>
      <c r="G40" s="6">
        <v>22</v>
      </c>
      <c r="H40" s="25">
        <v>19500</v>
      </c>
      <c r="I40" s="6">
        <v>20</v>
      </c>
      <c r="J40" s="6">
        <f t="shared" si="0"/>
        <v>429000</v>
      </c>
      <c r="K40" s="6">
        <f t="shared" si="1"/>
        <v>343200</v>
      </c>
      <c r="L40" s="8" t="s">
        <v>187</v>
      </c>
      <c r="M40" s="8" t="s">
        <v>91</v>
      </c>
      <c r="N40">
        <v>6</v>
      </c>
      <c r="O40">
        <v>2023</v>
      </c>
      <c r="P40" s="29" t="s">
        <v>723</v>
      </c>
      <c r="Q40" t="s">
        <v>736</v>
      </c>
      <c r="R40" t="s">
        <v>737</v>
      </c>
    </row>
    <row r="41" spans="1:18" x14ac:dyDescent="0.25">
      <c r="A41" s="9">
        <v>40</v>
      </c>
      <c r="B41" s="10">
        <v>45612</v>
      </c>
      <c r="C41" s="11" t="s">
        <v>106</v>
      </c>
      <c r="D41" s="11" t="s">
        <v>117</v>
      </c>
      <c r="E41" s="11" t="s">
        <v>84</v>
      </c>
      <c r="F41" s="11" t="s">
        <v>150</v>
      </c>
      <c r="G41" s="9">
        <v>3</v>
      </c>
      <c r="H41" s="26">
        <v>5500</v>
      </c>
      <c r="I41" s="9">
        <v>0</v>
      </c>
      <c r="J41" s="9">
        <f t="shared" si="0"/>
        <v>16500</v>
      </c>
      <c r="K41" s="9">
        <f t="shared" si="1"/>
        <v>16500</v>
      </c>
      <c r="L41" s="11" t="s">
        <v>107</v>
      </c>
      <c r="M41" s="11" t="s">
        <v>81</v>
      </c>
      <c r="N41">
        <v>11</v>
      </c>
      <c r="O41">
        <v>2024</v>
      </c>
      <c r="P41" s="29" t="s">
        <v>714</v>
      </c>
      <c r="Q41" t="s">
        <v>733</v>
      </c>
      <c r="R41" t="s">
        <v>738</v>
      </c>
    </row>
    <row r="42" spans="1:18" x14ac:dyDescent="0.25">
      <c r="A42" s="6">
        <v>41</v>
      </c>
      <c r="B42" s="7">
        <v>45398</v>
      </c>
      <c r="C42" s="8" t="s">
        <v>88</v>
      </c>
      <c r="D42" s="8" t="s">
        <v>117</v>
      </c>
      <c r="E42" s="8" t="s">
        <v>84</v>
      </c>
      <c r="F42" s="8" t="s">
        <v>90</v>
      </c>
      <c r="G42" s="6">
        <v>13</v>
      </c>
      <c r="H42" s="25">
        <v>1600</v>
      </c>
      <c r="I42" s="6">
        <v>20</v>
      </c>
      <c r="J42" s="6">
        <f t="shared" si="0"/>
        <v>20800</v>
      </c>
      <c r="K42" s="6">
        <f t="shared" si="1"/>
        <v>16640</v>
      </c>
      <c r="L42" s="8" t="s">
        <v>76</v>
      </c>
      <c r="M42" s="8" t="s">
        <v>96</v>
      </c>
      <c r="N42">
        <v>4</v>
      </c>
      <c r="O42">
        <v>2024</v>
      </c>
      <c r="P42" s="29" t="s">
        <v>722</v>
      </c>
      <c r="Q42" t="s">
        <v>736</v>
      </c>
      <c r="R42" t="s">
        <v>738</v>
      </c>
    </row>
    <row r="43" spans="1:18" x14ac:dyDescent="0.25">
      <c r="A43" s="9">
        <v>42</v>
      </c>
      <c r="B43" s="10">
        <v>44998</v>
      </c>
      <c r="C43" s="11" t="s">
        <v>101</v>
      </c>
      <c r="D43" s="11" t="s">
        <v>117</v>
      </c>
      <c r="E43" s="11" t="s">
        <v>102</v>
      </c>
      <c r="F43" s="11" t="s">
        <v>151</v>
      </c>
      <c r="G43" s="9">
        <v>35</v>
      </c>
      <c r="H43" s="26">
        <v>8000</v>
      </c>
      <c r="I43" s="9">
        <v>0</v>
      </c>
      <c r="J43" s="9">
        <f t="shared" si="0"/>
        <v>280000</v>
      </c>
      <c r="K43" s="9">
        <f t="shared" si="1"/>
        <v>280000</v>
      </c>
      <c r="L43" s="11" t="s">
        <v>76</v>
      </c>
      <c r="M43" s="11" t="s">
        <v>77</v>
      </c>
      <c r="N43">
        <v>3</v>
      </c>
      <c r="O43">
        <v>2023</v>
      </c>
      <c r="P43" s="29" t="s">
        <v>719</v>
      </c>
      <c r="Q43" t="s">
        <v>735</v>
      </c>
      <c r="R43" t="s">
        <v>737</v>
      </c>
    </row>
    <row r="44" spans="1:18" x14ac:dyDescent="0.25">
      <c r="A44" s="6">
        <v>43</v>
      </c>
      <c r="B44" s="7">
        <v>45194</v>
      </c>
      <c r="C44" s="8" t="s">
        <v>108</v>
      </c>
      <c r="D44" s="8" t="s">
        <v>93</v>
      </c>
      <c r="E44" s="8" t="s">
        <v>74</v>
      </c>
      <c r="F44" s="8" t="s">
        <v>94</v>
      </c>
      <c r="G44" s="6">
        <v>28</v>
      </c>
      <c r="H44" s="25">
        <v>32400</v>
      </c>
      <c r="I44" s="6">
        <v>5</v>
      </c>
      <c r="J44" s="6">
        <f t="shared" si="0"/>
        <v>907200</v>
      </c>
      <c r="K44" s="6">
        <f t="shared" si="1"/>
        <v>861840</v>
      </c>
      <c r="L44" s="8" t="s">
        <v>76</v>
      </c>
      <c r="M44" s="8" t="s">
        <v>96</v>
      </c>
      <c r="N44">
        <v>9</v>
      </c>
      <c r="O44">
        <v>2023</v>
      </c>
      <c r="P44" s="29" t="s">
        <v>715</v>
      </c>
      <c r="Q44" t="s">
        <v>734</v>
      </c>
      <c r="R44" t="s">
        <v>737</v>
      </c>
    </row>
    <row r="45" spans="1:18" x14ac:dyDescent="0.25">
      <c r="A45" s="9">
        <v>44</v>
      </c>
      <c r="B45" s="10">
        <v>45635</v>
      </c>
      <c r="C45" s="11" t="s">
        <v>82</v>
      </c>
      <c r="D45" s="11" t="s">
        <v>73</v>
      </c>
      <c r="E45" s="11" t="s">
        <v>111</v>
      </c>
      <c r="F45" s="11" t="s">
        <v>156</v>
      </c>
      <c r="G45" s="9">
        <v>46</v>
      </c>
      <c r="H45" s="26">
        <v>40500</v>
      </c>
      <c r="I45" s="9">
        <v>0</v>
      </c>
      <c r="J45" s="9">
        <f t="shared" si="0"/>
        <v>1863000</v>
      </c>
      <c r="K45" s="9">
        <f t="shared" si="1"/>
        <v>1863000</v>
      </c>
      <c r="L45" s="11" t="s">
        <v>76</v>
      </c>
      <c r="M45" s="11" t="s">
        <v>81</v>
      </c>
      <c r="N45">
        <v>12</v>
      </c>
      <c r="O45">
        <v>2024</v>
      </c>
      <c r="P45" s="29" t="s">
        <v>728</v>
      </c>
      <c r="Q45" t="s">
        <v>733</v>
      </c>
      <c r="R45" t="s">
        <v>737</v>
      </c>
    </row>
    <row r="46" spans="1:18" x14ac:dyDescent="0.25">
      <c r="A46" s="6">
        <v>45</v>
      </c>
      <c r="B46" s="7">
        <v>45368</v>
      </c>
      <c r="C46" s="8" t="s">
        <v>97</v>
      </c>
      <c r="D46" s="8" t="s">
        <v>117</v>
      </c>
      <c r="E46" s="8" t="s">
        <v>102</v>
      </c>
      <c r="F46" s="8" t="s">
        <v>157</v>
      </c>
      <c r="G46" s="6">
        <v>8</v>
      </c>
      <c r="H46" s="25">
        <v>12800</v>
      </c>
      <c r="I46" s="6">
        <v>10</v>
      </c>
      <c r="J46" s="6">
        <f t="shared" si="0"/>
        <v>102400</v>
      </c>
      <c r="K46" s="6">
        <f t="shared" si="1"/>
        <v>92160</v>
      </c>
      <c r="L46" s="8" t="s">
        <v>187</v>
      </c>
      <c r="M46" s="8" t="s">
        <v>96</v>
      </c>
      <c r="N46">
        <v>3</v>
      </c>
      <c r="O46">
        <v>2024</v>
      </c>
      <c r="P46" s="29" t="s">
        <v>711</v>
      </c>
      <c r="Q46" t="s">
        <v>735</v>
      </c>
      <c r="R46" t="s">
        <v>739</v>
      </c>
    </row>
    <row r="47" spans="1:18" x14ac:dyDescent="0.25">
      <c r="A47" s="9">
        <v>46</v>
      </c>
      <c r="B47" s="10">
        <v>45243</v>
      </c>
      <c r="C47" s="11" t="s">
        <v>114</v>
      </c>
      <c r="D47" s="30" t="s">
        <v>703</v>
      </c>
      <c r="E47" s="11" t="s">
        <v>111</v>
      </c>
      <c r="F47" s="11" t="s">
        <v>135</v>
      </c>
      <c r="G47" s="9">
        <v>13</v>
      </c>
      <c r="H47" s="26">
        <v>119400</v>
      </c>
      <c r="I47" s="9">
        <v>15</v>
      </c>
      <c r="J47" s="9">
        <f t="shared" si="0"/>
        <v>1552200</v>
      </c>
      <c r="K47" s="9">
        <f t="shared" si="1"/>
        <v>1319370</v>
      </c>
      <c r="L47" s="11" t="s">
        <v>76</v>
      </c>
      <c r="M47" s="11" t="s">
        <v>91</v>
      </c>
      <c r="N47">
        <v>11</v>
      </c>
      <c r="O47">
        <v>2023</v>
      </c>
      <c r="P47" s="29" t="s">
        <v>718</v>
      </c>
      <c r="Q47" t="s">
        <v>733</v>
      </c>
      <c r="R47" t="s">
        <v>737</v>
      </c>
    </row>
    <row r="48" spans="1:18" x14ac:dyDescent="0.25">
      <c r="A48" s="6">
        <v>47</v>
      </c>
      <c r="B48" s="7">
        <v>45105</v>
      </c>
      <c r="C48" s="8" t="s">
        <v>124</v>
      </c>
      <c r="D48" s="8" t="s">
        <v>93</v>
      </c>
      <c r="E48" s="8" t="s">
        <v>74</v>
      </c>
      <c r="F48" s="8" t="s">
        <v>140</v>
      </c>
      <c r="G48" s="6">
        <v>1</v>
      </c>
      <c r="H48" s="25">
        <v>4700</v>
      </c>
      <c r="I48" s="6">
        <v>5</v>
      </c>
      <c r="J48" s="6">
        <f t="shared" si="0"/>
        <v>4700</v>
      </c>
      <c r="K48" s="6">
        <f t="shared" si="1"/>
        <v>4465</v>
      </c>
      <c r="L48" s="8" t="s">
        <v>76</v>
      </c>
      <c r="M48" s="8" t="s">
        <v>81</v>
      </c>
      <c r="N48">
        <v>6</v>
      </c>
      <c r="O48">
        <v>2023</v>
      </c>
      <c r="P48" s="29" t="s">
        <v>723</v>
      </c>
      <c r="Q48" t="s">
        <v>736</v>
      </c>
      <c r="R48" t="s">
        <v>738</v>
      </c>
    </row>
    <row r="49" spans="1:18" x14ac:dyDescent="0.25">
      <c r="A49" s="9">
        <v>48</v>
      </c>
      <c r="B49" s="10">
        <v>45520</v>
      </c>
      <c r="C49" s="11" t="s">
        <v>124</v>
      </c>
      <c r="D49" s="11" t="s">
        <v>117</v>
      </c>
      <c r="E49" s="11" t="s">
        <v>111</v>
      </c>
      <c r="F49" s="11" t="s">
        <v>159</v>
      </c>
      <c r="G49" s="9">
        <v>14</v>
      </c>
      <c r="H49" s="26">
        <v>12100</v>
      </c>
      <c r="I49" s="9">
        <v>15</v>
      </c>
      <c r="J49" s="9">
        <f t="shared" si="0"/>
        <v>169400</v>
      </c>
      <c r="K49" s="9">
        <f t="shared" si="1"/>
        <v>143990</v>
      </c>
      <c r="L49" s="11" t="s">
        <v>76</v>
      </c>
      <c r="M49" s="11" t="s">
        <v>81</v>
      </c>
      <c r="N49">
        <v>8</v>
      </c>
      <c r="O49">
        <v>2024</v>
      </c>
      <c r="P49" s="29" t="s">
        <v>710</v>
      </c>
      <c r="Q49" t="s">
        <v>734</v>
      </c>
      <c r="R49" t="s">
        <v>739</v>
      </c>
    </row>
    <row r="50" spans="1:18" x14ac:dyDescent="0.25">
      <c r="A50" s="6">
        <v>49</v>
      </c>
      <c r="B50" s="7">
        <v>45013</v>
      </c>
      <c r="C50" s="8" t="s">
        <v>101</v>
      </c>
      <c r="D50" s="8" t="s">
        <v>93</v>
      </c>
      <c r="E50" s="8" t="s">
        <v>102</v>
      </c>
      <c r="F50" s="8" t="s">
        <v>157</v>
      </c>
      <c r="G50" s="6">
        <v>49</v>
      </c>
      <c r="H50" s="25">
        <v>11100</v>
      </c>
      <c r="I50" s="6">
        <v>0</v>
      </c>
      <c r="J50" s="6">
        <f t="shared" si="0"/>
        <v>543900</v>
      </c>
      <c r="K50" s="6">
        <f t="shared" si="1"/>
        <v>543900</v>
      </c>
      <c r="L50" s="8" t="s">
        <v>76</v>
      </c>
      <c r="M50" s="8" t="s">
        <v>96</v>
      </c>
      <c r="N50">
        <v>3</v>
      </c>
      <c r="O50">
        <v>2023</v>
      </c>
      <c r="P50" s="29" t="s">
        <v>719</v>
      </c>
      <c r="Q50" t="s">
        <v>735</v>
      </c>
      <c r="R50" t="s">
        <v>737</v>
      </c>
    </row>
    <row r="51" spans="1:18" x14ac:dyDescent="0.25">
      <c r="A51" s="9">
        <v>50</v>
      </c>
      <c r="B51" s="10">
        <v>45130</v>
      </c>
      <c r="C51" s="11" t="s">
        <v>108</v>
      </c>
      <c r="D51" s="11" t="s">
        <v>73</v>
      </c>
      <c r="E51" s="11" t="s">
        <v>79</v>
      </c>
      <c r="F51" s="11" t="s">
        <v>80</v>
      </c>
      <c r="G51" s="9">
        <v>40</v>
      </c>
      <c r="H51" s="26">
        <v>9700</v>
      </c>
      <c r="I51" s="9">
        <v>5</v>
      </c>
      <c r="J51" s="9">
        <f t="shared" si="0"/>
        <v>388000</v>
      </c>
      <c r="K51" s="9">
        <f t="shared" si="1"/>
        <v>368600</v>
      </c>
      <c r="L51" s="11" t="s">
        <v>187</v>
      </c>
      <c r="M51" s="11" t="s">
        <v>77</v>
      </c>
      <c r="N51">
        <v>7</v>
      </c>
      <c r="O51">
        <v>2023</v>
      </c>
      <c r="P51" s="29" t="s">
        <v>724</v>
      </c>
      <c r="Q51" t="s">
        <v>734</v>
      </c>
      <c r="R51" t="s">
        <v>737</v>
      </c>
    </row>
    <row r="52" spans="1:18" x14ac:dyDescent="0.25">
      <c r="A52" s="6">
        <v>51</v>
      </c>
      <c r="B52" s="7">
        <v>45351</v>
      </c>
      <c r="C52" s="8" t="s">
        <v>124</v>
      </c>
      <c r="D52" s="8" t="s">
        <v>109</v>
      </c>
      <c r="E52" s="8" t="s">
        <v>111</v>
      </c>
      <c r="F52" s="8" t="s">
        <v>159</v>
      </c>
      <c r="G52" s="6">
        <v>10</v>
      </c>
      <c r="H52" s="25">
        <v>12000</v>
      </c>
      <c r="I52" s="6">
        <v>20</v>
      </c>
      <c r="J52" s="6">
        <f t="shared" si="0"/>
        <v>120000</v>
      </c>
      <c r="K52" s="6">
        <f t="shared" si="1"/>
        <v>96000</v>
      </c>
      <c r="L52" s="8" t="s">
        <v>187</v>
      </c>
      <c r="M52" s="8" t="s">
        <v>77</v>
      </c>
      <c r="N52">
        <v>2</v>
      </c>
      <c r="O52">
        <v>2024</v>
      </c>
      <c r="P52" s="29" t="s">
        <v>729</v>
      </c>
      <c r="Q52" t="s">
        <v>735</v>
      </c>
      <c r="R52" t="s">
        <v>739</v>
      </c>
    </row>
    <row r="53" spans="1:18" x14ac:dyDescent="0.25">
      <c r="A53" s="9">
        <v>52</v>
      </c>
      <c r="B53" s="10">
        <v>45036</v>
      </c>
      <c r="C53" s="11" t="s">
        <v>114</v>
      </c>
      <c r="D53" s="11" t="s">
        <v>109</v>
      </c>
      <c r="E53" s="11" t="s">
        <v>84</v>
      </c>
      <c r="F53" s="11" t="s">
        <v>85</v>
      </c>
      <c r="G53" s="9">
        <v>16</v>
      </c>
      <c r="H53" s="26">
        <v>4900</v>
      </c>
      <c r="I53" s="9">
        <v>5</v>
      </c>
      <c r="J53" s="9">
        <f t="shared" si="0"/>
        <v>78400</v>
      </c>
      <c r="K53" s="9">
        <f t="shared" si="1"/>
        <v>74480</v>
      </c>
      <c r="L53" s="11" t="s">
        <v>107</v>
      </c>
      <c r="M53" s="11" t="s">
        <v>77</v>
      </c>
      <c r="N53">
        <v>4</v>
      </c>
      <c r="O53">
        <v>2023</v>
      </c>
      <c r="P53" s="29" t="s">
        <v>716</v>
      </c>
      <c r="Q53" t="s">
        <v>736</v>
      </c>
      <c r="R53" t="s">
        <v>739</v>
      </c>
    </row>
    <row r="54" spans="1:18" x14ac:dyDescent="0.25">
      <c r="A54" s="6">
        <v>53</v>
      </c>
      <c r="B54" s="7">
        <v>45063</v>
      </c>
      <c r="C54" s="8" t="s">
        <v>119</v>
      </c>
      <c r="D54" s="8" t="s">
        <v>93</v>
      </c>
      <c r="E54" s="8" t="s">
        <v>102</v>
      </c>
      <c r="F54" s="8" t="s">
        <v>157</v>
      </c>
      <c r="G54" s="6">
        <v>29</v>
      </c>
      <c r="H54" s="25">
        <v>13700</v>
      </c>
      <c r="I54" s="6">
        <v>0</v>
      </c>
      <c r="J54" s="6">
        <f t="shared" si="0"/>
        <v>397300</v>
      </c>
      <c r="K54" s="6">
        <f t="shared" si="1"/>
        <v>397300</v>
      </c>
      <c r="L54" s="8" t="s">
        <v>76</v>
      </c>
      <c r="M54" s="8" t="s">
        <v>91</v>
      </c>
      <c r="N54">
        <v>5</v>
      </c>
      <c r="O54">
        <v>2023</v>
      </c>
      <c r="P54" s="29" t="s">
        <v>730</v>
      </c>
      <c r="Q54" t="s">
        <v>736</v>
      </c>
      <c r="R54" t="s">
        <v>737</v>
      </c>
    </row>
    <row r="55" spans="1:18" x14ac:dyDescent="0.25">
      <c r="A55" s="9">
        <v>54</v>
      </c>
      <c r="B55" s="10">
        <v>45488</v>
      </c>
      <c r="C55" s="11" t="s">
        <v>119</v>
      </c>
      <c r="D55" s="11" t="s">
        <v>109</v>
      </c>
      <c r="E55" s="11" t="s">
        <v>111</v>
      </c>
      <c r="F55" s="11" t="s">
        <v>159</v>
      </c>
      <c r="G55" s="9">
        <v>16</v>
      </c>
      <c r="H55" s="26">
        <v>11600</v>
      </c>
      <c r="I55" s="9">
        <v>20</v>
      </c>
      <c r="J55" s="9">
        <f t="shared" si="0"/>
        <v>185600</v>
      </c>
      <c r="K55" s="9">
        <f t="shared" si="1"/>
        <v>148480</v>
      </c>
      <c r="L55" s="11" t="s">
        <v>187</v>
      </c>
      <c r="M55" s="11" t="s">
        <v>96</v>
      </c>
      <c r="N55">
        <v>7</v>
      </c>
      <c r="O55">
        <v>2024</v>
      </c>
      <c r="P55" s="29" t="s">
        <v>712</v>
      </c>
      <c r="Q55" t="s">
        <v>734</v>
      </c>
      <c r="R55" t="s">
        <v>739</v>
      </c>
    </row>
    <row r="56" spans="1:18" x14ac:dyDescent="0.25">
      <c r="A56" s="6">
        <v>55</v>
      </c>
      <c r="B56" s="7">
        <v>45460</v>
      </c>
      <c r="C56" s="8" t="s">
        <v>119</v>
      </c>
      <c r="D56" s="8" t="s">
        <v>109</v>
      </c>
      <c r="E56" s="8" t="s">
        <v>74</v>
      </c>
      <c r="F56" s="8" t="s">
        <v>99</v>
      </c>
      <c r="G56" s="6">
        <v>19</v>
      </c>
      <c r="H56" s="25">
        <v>3200</v>
      </c>
      <c r="I56" s="6">
        <v>0</v>
      </c>
      <c r="J56" s="6">
        <f t="shared" si="0"/>
        <v>60800</v>
      </c>
      <c r="K56" s="6">
        <f t="shared" si="1"/>
        <v>60800</v>
      </c>
      <c r="L56" s="8" t="s">
        <v>76</v>
      </c>
      <c r="M56" s="8" t="s">
        <v>96</v>
      </c>
      <c r="N56">
        <v>6</v>
      </c>
      <c r="O56">
        <v>2024</v>
      </c>
      <c r="P56" s="29" t="s">
        <v>720</v>
      </c>
      <c r="Q56" t="s">
        <v>736</v>
      </c>
      <c r="R56" t="s">
        <v>739</v>
      </c>
    </row>
    <row r="57" spans="1:18" x14ac:dyDescent="0.25">
      <c r="A57" s="9">
        <v>56</v>
      </c>
      <c r="B57" s="10">
        <v>45480</v>
      </c>
      <c r="C57" s="11" t="s">
        <v>97</v>
      </c>
      <c r="D57" s="11" t="s">
        <v>109</v>
      </c>
      <c r="E57" s="11" t="s">
        <v>84</v>
      </c>
      <c r="F57" s="11" t="s">
        <v>90</v>
      </c>
      <c r="G57" s="9">
        <v>10</v>
      </c>
      <c r="H57" s="26">
        <v>1800</v>
      </c>
      <c r="I57" s="9">
        <v>5</v>
      </c>
      <c r="J57" s="9">
        <f t="shared" si="0"/>
        <v>18000</v>
      </c>
      <c r="K57" s="9">
        <f t="shared" si="1"/>
        <v>17100</v>
      </c>
      <c r="L57" s="11" t="s">
        <v>187</v>
      </c>
      <c r="M57" s="11" t="s">
        <v>77</v>
      </c>
      <c r="N57">
        <v>7</v>
      </c>
      <c r="O57">
        <v>2024</v>
      </c>
      <c r="P57" s="29" t="s">
        <v>712</v>
      </c>
      <c r="Q57" t="s">
        <v>734</v>
      </c>
      <c r="R57" t="s">
        <v>738</v>
      </c>
    </row>
    <row r="58" spans="1:18" x14ac:dyDescent="0.25">
      <c r="A58" s="6">
        <v>57</v>
      </c>
      <c r="B58" s="7">
        <v>45344</v>
      </c>
      <c r="C58" s="8" t="s">
        <v>88</v>
      </c>
      <c r="D58" s="8" t="s">
        <v>93</v>
      </c>
      <c r="E58" s="8" t="s">
        <v>111</v>
      </c>
      <c r="F58" s="8" t="s">
        <v>165</v>
      </c>
      <c r="G58" s="6">
        <v>27</v>
      </c>
      <c r="H58" s="25">
        <v>16500</v>
      </c>
      <c r="I58" s="6">
        <v>20</v>
      </c>
      <c r="J58" s="6">
        <f t="shared" si="0"/>
        <v>445500</v>
      </c>
      <c r="K58" s="6">
        <f t="shared" si="1"/>
        <v>356400</v>
      </c>
      <c r="L58" s="8" t="s">
        <v>76</v>
      </c>
      <c r="M58" s="8" t="s">
        <v>77</v>
      </c>
      <c r="N58">
        <v>2</v>
      </c>
      <c r="O58">
        <v>2024</v>
      </c>
      <c r="P58" s="29" t="s">
        <v>729</v>
      </c>
      <c r="Q58" t="s">
        <v>735</v>
      </c>
      <c r="R58" t="s">
        <v>737</v>
      </c>
    </row>
    <row r="59" spans="1:18" x14ac:dyDescent="0.25">
      <c r="A59" s="9">
        <v>58</v>
      </c>
      <c r="B59" s="10">
        <v>45634</v>
      </c>
      <c r="C59" s="11" t="s">
        <v>114</v>
      </c>
      <c r="D59" s="11" t="s">
        <v>83</v>
      </c>
      <c r="E59" s="11" t="s">
        <v>79</v>
      </c>
      <c r="F59" s="11" t="s">
        <v>120</v>
      </c>
      <c r="G59" s="9">
        <v>25</v>
      </c>
      <c r="H59" s="26">
        <v>5800</v>
      </c>
      <c r="I59" s="9">
        <v>10</v>
      </c>
      <c r="J59" s="9">
        <f t="shared" si="0"/>
        <v>145000</v>
      </c>
      <c r="K59" s="9">
        <f t="shared" si="1"/>
        <v>130500</v>
      </c>
      <c r="L59" s="11" t="s">
        <v>107</v>
      </c>
      <c r="M59" s="11" t="s">
        <v>91</v>
      </c>
      <c r="N59">
        <v>12</v>
      </c>
      <c r="O59">
        <v>2024</v>
      </c>
      <c r="P59" s="29" t="s">
        <v>728</v>
      </c>
      <c r="Q59" t="s">
        <v>733</v>
      </c>
      <c r="R59" t="s">
        <v>739</v>
      </c>
    </row>
    <row r="60" spans="1:18" x14ac:dyDescent="0.25">
      <c r="A60" s="6">
        <v>59</v>
      </c>
      <c r="B60" s="7">
        <v>45486</v>
      </c>
      <c r="C60" s="8" t="s">
        <v>124</v>
      </c>
      <c r="D60" s="8" t="s">
        <v>109</v>
      </c>
      <c r="E60" s="8" t="s">
        <v>111</v>
      </c>
      <c r="F60" s="8" t="s">
        <v>156</v>
      </c>
      <c r="G60" s="6">
        <v>32</v>
      </c>
      <c r="H60" s="25">
        <v>40700</v>
      </c>
      <c r="I60" s="6">
        <v>0</v>
      </c>
      <c r="J60" s="6">
        <f t="shared" si="0"/>
        <v>1302400</v>
      </c>
      <c r="K60" s="6">
        <f t="shared" si="1"/>
        <v>1302400</v>
      </c>
      <c r="L60" s="8" t="s">
        <v>76</v>
      </c>
      <c r="M60" s="8" t="s">
        <v>96</v>
      </c>
      <c r="N60">
        <v>7</v>
      </c>
      <c r="O60">
        <v>2024</v>
      </c>
      <c r="P60" s="29" t="s">
        <v>712</v>
      </c>
      <c r="Q60" t="s">
        <v>734</v>
      </c>
      <c r="R60" t="s">
        <v>737</v>
      </c>
    </row>
    <row r="61" spans="1:18" x14ac:dyDescent="0.25">
      <c r="A61" s="9">
        <v>60</v>
      </c>
      <c r="B61" s="10">
        <v>45622</v>
      </c>
      <c r="C61" s="11" t="s">
        <v>114</v>
      </c>
      <c r="D61" s="11" t="s">
        <v>109</v>
      </c>
      <c r="E61" s="11" t="s">
        <v>111</v>
      </c>
      <c r="F61" s="11" t="s">
        <v>166</v>
      </c>
      <c r="G61" s="9">
        <v>35</v>
      </c>
      <c r="H61" s="26">
        <v>32100</v>
      </c>
      <c r="I61" s="9">
        <v>10</v>
      </c>
      <c r="J61" s="9">
        <f t="shared" si="0"/>
        <v>1123500</v>
      </c>
      <c r="K61" s="9">
        <f t="shared" si="1"/>
        <v>1011150</v>
      </c>
      <c r="L61" s="11" t="s">
        <v>76</v>
      </c>
      <c r="M61" s="11" t="s">
        <v>91</v>
      </c>
      <c r="N61">
        <v>11</v>
      </c>
      <c r="O61">
        <v>2024</v>
      </c>
      <c r="P61" s="29" t="s">
        <v>714</v>
      </c>
      <c r="Q61" t="s">
        <v>733</v>
      </c>
      <c r="R61" t="s">
        <v>737</v>
      </c>
    </row>
    <row r="62" spans="1:18" x14ac:dyDescent="0.25">
      <c r="A62" s="6">
        <v>61</v>
      </c>
      <c r="B62" s="7">
        <v>45504</v>
      </c>
      <c r="C62" s="8" t="s">
        <v>78</v>
      </c>
      <c r="D62" s="8" t="s">
        <v>73</v>
      </c>
      <c r="E62" s="8" t="s">
        <v>111</v>
      </c>
      <c r="F62" s="8" t="s">
        <v>166</v>
      </c>
      <c r="G62" s="6">
        <v>12</v>
      </c>
      <c r="H62" s="25">
        <v>31300</v>
      </c>
      <c r="I62" s="6">
        <v>0</v>
      </c>
      <c r="J62" s="6">
        <f t="shared" si="0"/>
        <v>375600</v>
      </c>
      <c r="K62" s="6">
        <f t="shared" si="1"/>
        <v>375600</v>
      </c>
      <c r="L62" s="8" t="s">
        <v>76</v>
      </c>
      <c r="M62" s="8" t="s">
        <v>91</v>
      </c>
      <c r="N62">
        <v>7</v>
      </c>
      <c r="O62">
        <v>2024</v>
      </c>
      <c r="P62" s="29" t="s">
        <v>712</v>
      </c>
      <c r="Q62" t="s">
        <v>734</v>
      </c>
      <c r="R62" t="s">
        <v>737</v>
      </c>
    </row>
    <row r="63" spans="1:18" x14ac:dyDescent="0.25">
      <c r="A63" s="9">
        <v>62</v>
      </c>
      <c r="B63" s="10">
        <v>45054</v>
      </c>
      <c r="C63" s="11" t="s">
        <v>119</v>
      </c>
      <c r="D63" s="11" t="s">
        <v>117</v>
      </c>
      <c r="E63" s="11" t="s">
        <v>74</v>
      </c>
      <c r="F63" s="11" t="s">
        <v>140</v>
      </c>
      <c r="G63" s="9">
        <v>27</v>
      </c>
      <c r="H63" s="26">
        <v>4400</v>
      </c>
      <c r="I63" s="9">
        <v>5</v>
      </c>
      <c r="J63" s="9">
        <f t="shared" si="0"/>
        <v>118800</v>
      </c>
      <c r="K63" s="9">
        <f t="shared" si="1"/>
        <v>112860</v>
      </c>
      <c r="L63" s="11" t="s">
        <v>76</v>
      </c>
      <c r="M63" s="11" t="s">
        <v>77</v>
      </c>
      <c r="N63">
        <v>5</v>
      </c>
      <c r="O63">
        <v>2023</v>
      </c>
      <c r="P63" s="29" t="s">
        <v>730</v>
      </c>
      <c r="Q63" t="s">
        <v>736</v>
      </c>
      <c r="R63" t="s">
        <v>739</v>
      </c>
    </row>
    <row r="64" spans="1:18" x14ac:dyDescent="0.25">
      <c r="A64" s="6">
        <v>63</v>
      </c>
      <c r="B64" s="7">
        <v>44946</v>
      </c>
      <c r="C64" s="8" t="s">
        <v>82</v>
      </c>
      <c r="D64" s="8" t="s">
        <v>73</v>
      </c>
      <c r="E64" s="8" t="s">
        <v>74</v>
      </c>
      <c r="F64" s="8" t="s">
        <v>75</v>
      </c>
      <c r="G64" s="6">
        <v>50</v>
      </c>
      <c r="H64" s="25">
        <v>23400</v>
      </c>
      <c r="I64" s="6">
        <v>20</v>
      </c>
      <c r="J64" s="6">
        <f t="shared" si="0"/>
        <v>1170000</v>
      </c>
      <c r="K64" s="6">
        <f t="shared" si="1"/>
        <v>936000</v>
      </c>
      <c r="L64" s="8" t="s">
        <v>123</v>
      </c>
      <c r="M64" s="8" t="s">
        <v>77</v>
      </c>
      <c r="N64">
        <v>1</v>
      </c>
      <c r="O64">
        <v>2023</v>
      </c>
      <c r="P64" s="29" t="s">
        <v>721</v>
      </c>
      <c r="Q64" t="s">
        <v>735</v>
      </c>
      <c r="R64" t="s">
        <v>737</v>
      </c>
    </row>
    <row r="65" spans="1:18" x14ac:dyDescent="0.25">
      <c r="A65" s="9">
        <v>64</v>
      </c>
      <c r="B65" s="10">
        <v>44928</v>
      </c>
      <c r="C65" s="11" t="s">
        <v>106</v>
      </c>
      <c r="D65" s="11" t="s">
        <v>109</v>
      </c>
      <c r="E65" s="11" t="s">
        <v>79</v>
      </c>
      <c r="F65" s="11" t="s">
        <v>122</v>
      </c>
      <c r="G65" s="12">
        <v>31</v>
      </c>
      <c r="H65" s="26">
        <v>17300</v>
      </c>
      <c r="I65" s="9">
        <v>5</v>
      </c>
      <c r="J65" s="9">
        <f t="shared" si="0"/>
        <v>536300</v>
      </c>
      <c r="K65" s="9">
        <f t="shared" si="1"/>
        <v>509485</v>
      </c>
      <c r="L65" s="11" t="s">
        <v>187</v>
      </c>
      <c r="M65" s="11" t="s">
        <v>81</v>
      </c>
      <c r="N65">
        <v>1</v>
      </c>
      <c r="O65">
        <v>2023</v>
      </c>
      <c r="P65" s="29" t="s">
        <v>721</v>
      </c>
      <c r="Q65" t="s">
        <v>735</v>
      </c>
      <c r="R65" t="s">
        <v>737</v>
      </c>
    </row>
    <row r="66" spans="1:18" x14ac:dyDescent="0.25">
      <c r="A66" s="6">
        <v>65</v>
      </c>
      <c r="B66" s="7">
        <v>45643</v>
      </c>
      <c r="C66" s="8" t="s">
        <v>101</v>
      </c>
      <c r="D66" s="8" t="s">
        <v>117</v>
      </c>
      <c r="E66" s="8" t="s">
        <v>84</v>
      </c>
      <c r="F66" s="8" t="s">
        <v>150</v>
      </c>
      <c r="G66" s="6">
        <v>11</v>
      </c>
      <c r="H66" s="25">
        <v>6000</v>
      </c>
      <c r="I66" s="6">
        <v>10</v>
      </c>
      <c r="J66" s="6">
        <f t="shared" ref="J66:J129" si="2">G66*H66</f>
        <v>66000</v>
      </c>
      <c r="K66" s="6">
        <f t="shared" ref="K66:K129" si="3">J66*(1-I66/100)</f>
        <v>59400</v>
      </c>
      <c r="L66" s="8" t="s">
        <v>123</v>
      </c>
      <c r="M66" s="8" t="s">
        <v>77</v>
      </c>
      <c r="N66">
        <v>12</v>
      </c>
      <c r="O66">
        <v>2024</v>
      </c>
      <c r="P66" s="29" t="s">
        <v>728</v>
      </c>
      <c r="Q66" t="s">
        <v>733</v>
      </c>
      <c r="R66" t="s">
        <v>739</v>
      </c>
    </row>
    <row r="67" spans="1:18" x14ac:dyDescent="0.25">
      <c r="A67" s="9">
        <v>66</v>
      </c>
      <c r="B67" s="10">
        <v>44953</v>
      </c>
      <c r="C67" s="11" t="s">
        <v>101</v>
      </c>
      <c r="D67" s="11" t="s">
        <v>93</v>
      </c>
      <c r="E67" s="11" t="s">
        <v>111</v>
      </c>
      <c r="F67" s="11" t="s">
        <v>165</v>
      </c>
      <c r="G67" s="9">
        <v>13</v>
      </c>
      <c r="H67" s="26">
        <v>20400</v>
      </c>
      <c r="I67" s="9">
        <v>0</v>
      </c>
      <c r="J67" s="9">
        <f t="shared" si="2"/>
        <v>265200</v>
      </c>
      <c r="K67" s="9">
        <f t="shared" si="3"/>
        <v>265200</v>
      </c>
      <c r="L67" s="11" t="s">
        <v>76</v>
      </c>
      <c r="M67" s="11" t="s">
        <v>81</v>
      </c>
      <c r="N67">
        <v>1</v>
      </c>
      <c r="O67">
        <v>2023</v>
      </c>
      <c r="P67" s="29" t="s">
        <v>721</v>
      </c>
      <c r="Q67" t="s">
        <v>735</v>
      </c>
      <c r="R67" t="s">
        <v>737</v>
      </c>
    </row>
    <row r="68" spans="1:18" x14ac:dyDescent="0.25">
      <c r="A68" s="6">
        <v>367</v>
      </c>
      <c r="B68" s="7">
        <v>45596</v>
      </c>
      <c r="C68" s="8" t="s">
        <v>108</v>
      </c>
      <c r="D68" s="8" t="s">
        <v>93</v>
      </c>
      <c r="E68" s="8" t="s">
        <v>111</v>
      </c>
      <c r="F68" s="8" t="s">
        <v>166</v>
      </c>
      <c r="G68" s="6">
        <v>22</v>
      </c>
      <c r="H68" s="25">
        <v>25600</v>
      </c>
      <c r="I68" s="6">
        <v>5</v>
      </c>
      <c r="J68" s="6">
        <f t="shared" si="2"/>
        <v>563200</v>
      </c>
      <c r="K68" s="6">
        <f t="shared" si="3"/>
        <v>535040</v>
      </c>
      <c r="L68" s="8" t="s">
        <v>76</v>
      </c>
      <c r="M68" s="8" t="s">
        <v>81</v>
      </c>
      <c r="N68">
        <v>10</v>
      </c>
      <c r="O68">
        <v>2024</v>
      </c>
      <c r="P68" s="29" t="s">
        <v>709</v>
      </c>
      <c r="Q68" t="s">
        <v>733</v>
      </c>
      <c r="R68" t="s">
        <v>737</v>
      </c>
    </row>
    <row r="69" spans="1:18" x14ac:dyDescent="0.25">
      <c r="A69" s="9">
        <v>67</v>
      </c>
      <c r="B69" s="10">
        <v>45640</v>
      </c>
      <c r="C69" s="11" t="s">
        <v>101</v>
      </c>
      <c r="D69" s="11" t="s">
        <v>93</v>
      </c>
      <c r="E69" s="11" t="s">
        <v>79</v>
      </c>
      <c r="F69" s="11" t="s">
        <v>136</v>
      </c>
      <c r="G69" s="9">
        <v>28</v>
      </c>
      <c r="H69" s="26">
        <v>83900</v>
      </c>
      <c r="I69" s="9">
        <v>10</v>
      </c>
      <c r="J69" s="9">
        <f t="shared" si="2"/>
        <v>2349200</v>
      </c>
      <c r="K69" s="9">
        <f t="shared" si="3"/>
        <v>2114280</v>
      </c>
      <c r="L69" s="11" t="s">
        <v>187</v>
      </c>
      <c r="M69" s="11" t="s">
        <v>77</v>
      </c>
      <c r="N69">
        <v>12</v>
      </c>
      <c r="O69">
        <v>2024</v>
      </c>
      <c r="P69" s="29" t="s">
        <v>728</v>
      </c>
      <c r="Q69" t="s">
        <v>733</v>
      </c>
      <c r="R69" t="s">
        <v>737</v>
      </c>
    </row>
    <row r="70" spans="1:18" x14ac:dyDescent="0.25">
      <c r="A70" s="6">
        <v>68</v>
      </c>
      <c r="B70" s="7">
        <v>45590</v>
      </c>
      <c r="C70" s="8" t="s">
        <v>88</v>
      </c>
      <c r="D70" s="8" t="s">
        <v>73</v>
      </c>
      <c r="E70" s="8" t="s">
        <v>111</v>
      </c>
      <c r="F70" s="8" t="s">
        <v>159</v>
      </c>
      <c r="G70" s="6">
        <v>24</v>
      </c>
      <c r="H70" s="25">
        <v>11100</v>
      </c>
      <c r="I70" s="6">
        <v>15</v>
      </c>
      <c r="J70" s="6">
        <f t="shared" si="2"/>
        <v>266400</v>
      </c>
      <c r="K70" s="6">
        <f t="shared" si="3"/>
        <v>226440</v>
      </c>
      <c r="L70" s="8" t="s">
        <v>76</v>
      </c>
      <c r="M70" s="8" t="s">
        <v>91</v>
      </c>
      <c r="N70">
        <v>10</v>
      </c>
      <c r="O70">
        <v>2024</v>
      </c>
      <c r="P70" s="29" t="s">
        <v>709</v>
      </c>
      <c r="Q70" t="s">
        <v>733</v>
      </c>
      <c r="R70" t="s">
        <v>737</v>
      </c>
    </row>
    <row r="71" spans="1:18" x14ac:dyDescent="0.25">
      <c r="A71" s="9">
        <v>69</v>
      </c>
      <c r="B71" s="10">
        <v>45083</v>
      </c>
      <c r="C71" s="11" t="s">
        <v>114</v>
      </c>
      <c r="D71" s="11" t="s">
        <v>109</v>
      </c>
      <c r="E71" s="11" t="s">
        <v>102</v>
      </c>
      <c r="F71" s="11" t="s">
        <v>110</v>
      </c>
      <c r="G71" s="12">
        <v>35</v>
      </c>
      <c r="H71" s="26">
        <v>23200</v>
      </c>
      <c r="I71" s="9">
        <v>5</v>
      </c>
      <c r="J71" s="9">
        <f t="shared" si="2"/>
        <v>812000</v>
      </c>
      <c r="K71" s="9">
        <f t="shared" si="3"/>
        <v>771400</v>
      </c>
      <c r="L71" s="11" t="s">
        <v>187</v>
      </c>
      <c r="M71" s="11" t="s">
        <v>91</v>
      </c>
      <c r="N71">
        <v>6</v>
      </c>
      <c r="O71">
        <v>2023</v>
      </c>
      <c r="P71" s="29" t="s">
        <v>723</v>
      </c>
      <c r="Q71" t="s">
        <v>736</v>
      </c>
      <c r="R71" t="s">
        <v>737</v>
      </c>
    </row>
    <row r="72" spans="1:18" x14ac:dyDescent="0.25">
      <c r="A72" s="6">
        <v>70</v>
      </c>
      <c r="B72" s="7">
        <v>45533</v>
      </c>
      <c r="C72" s="8" t="s">
        <v>101</v>
      </c>
      <c r="D72" s="8" t="s">
        <v>117</v>
      </c>
      <c r="E72" s="8" t="s">
        <v>84</v>
      </c>
      <c r="F72" s="8" t="s">
        <v>150</v>
      </c>
      <c r="G72" s="6">
        <v>29</v>
      </c>
      <c r="H72" s="25">
        <v>5300</v>
      </c>
      <c r="I72" s="6">
        <v>10</v>
      </c>
      <c r="J72" s="6">
        <f t="shared" si="2"/>
        <v>153700</v>
      </c>
      <c r="K72" s="6">
        <f t="shared" si="3"/>
        <v>138330</v>
      </c>
      <c r="L72" s="8" t="s">
        <v>76</v>
      </c>
      <c r="M72" s="8" t="s">
        <v>91</v>
      </c>
      <c r="N72">
        <v>8</v>
      </c>
      <c r="O72">
        <v>2024</v>
      </c>
      <c r="P72" s="29" t="s">
        <v>710</v>
      </c>
      <c r="Q72" t="s">
        <v>734</v>
      </c>
      <c r="R72" t="s">
        <v>739</v>
      </c>
    </row>
    <row r="73" spans="1:18" x14ac:dyDescent="0.25">
      <c r="A73" s="9">
        <v>71</v>
      </c>
      <c r="B73" s="10">
        <v>45551</v>
      </c>
      <c r="C73" s="11" t="s">
        <v>114</v>
      </c>
      <c r="D73" s="11" t="s">
        <v>117</v>
      </c>
      <c r="E73" s="11" t="s">
        <v>79</v>
      </c>
      <c r="F73" s="11" t="s">
        <v>172</v>
      </c>
      <c r="G73" s="9">
        <v>12</v>
      </c>
      <c r="H73" s="26">
        <v>27800</v>
      </c>
      <c r="I73" s="9">
        <v>20</v>
      </c>
      <c r="J73" s="9">
        <f t="shared" si="2"/>
        <v>333600</v>
      </c>
      <c r="K73" s="9">
        <f t="shared" si="3"/>
        <v>266880</v>
      </c>
      <c r="L73" s="11" t="s">
        <v>76</v>
      </c>
      <c r="M73" s="11" t="s">
        <v>96</v>
      </c>
      <c r="N73">
        <v>9</v>
      </c>
      <c r="O73">
        <v>2024</v>
      </c>
      <c r="P73" s="29" t="s">
        <v>731</v>
      </c>
      <c r="Q73" t="s">
        <v>734</v>
      </c>
      <c r="R73" t="s">
        <v>737</v>
      </c>
    </row>
    <row r="74" spans="1:18" x14ac:dyDescent="0.25">
      <c r="A74" s="6">
        <v>72</v>
      </c>
      <c r="B74" s="7">
        <v>45191</v>
      </c>
      <c r="C74" s="8" t="s">
        <v>88</v>
      </c>
      <c r="D74" s="8" t="s">
        <v>117</v>
      </c>
      <c r="E74" s="8" t="s">
        <v>102</v>
      </c>
      <c r="F74" s="8" t="s">
        <v>110</v>
      </c>
      <c r="G74" s="6">
        <v>34</v>
      </c>
      <c r="H74" s="25">
        <v>22900</v>
      </c>
      <c r="I74" s="6">
        <v>0</v>
      </c>
      <c r="J74" s="6">
        <f t="shared" si="2"/>
        <v>778600</v>
      </c>
      <c r="K74" s="6">
        <f t="shared" si="3"/>
        <v>778600</v>
      </c>
      <c r="L74" s="8" t="s">
        <v>123</v>
      </c>
      <c r="M74" s="8" t="s">
        <v>77</v>
      </c>
      <c r="N74">
        <v>9</v>
      </c>
      <c r="O74">
        <v>2023</v>
      </c>
      <c r="P74" s="29" t="s">
        <v>715</v>
      </c>
      <c r="Q74" t="s">
        <v>734</v>
      </c>
      <c r="R74" t="s">
        <v>737</v>
      </c>
    </row>
    <row r="75" spans="1:18" x14ac:dyDescent="0.25">
      <c r="A75" s="9">
        <v>73</v>
      </c>
      <c r="B75" s="10">
        <v>45343</v>
      </c>
      <c r="C75" s="11" t="s">
        <v>119</v>
      </c>
      <c r="D75" s="11" t="s">
        <v>93</v>
      </c>
      <c r="E75" s="11" t="s">
        <v>84</v>
      </c>
      <c r="F75" s="11" t="s">
        <v>85</v>
      </c>
      <c r="G75" s="9">
        <v>32</v>
      </c>
      <c r="H75" s="26">
        <v>5700</v>
      </c>
      <c r="I75" s="9">
        <v>0</v>
      </c>
      <c r="J75" s="9">
        <f t="shared" si="2"/>
        <v>182400</v>
      </c>
      <c r="K75" s="9">
        <f t="shared" si="3"/>
        <v>182400</v>
      </c>
      <c r="L75" s="11" t="s">
        <v>76</v>
      </c>
      <c r="M75" s="11" t="s">
        <v>77</v>
      </c>
      <c r="N75">
        <v>2</v>
      </c>
      <c r="O75">
        <v>2024</v>
      </c>
      <c r="P75" s="29" t="s">
        <v>729</v>
      </c>
      <c r="Q75" t="s">
        <v>735</v>
      </c>
      <c r="R75" t="s">
        <v>739</v>
      </c>
    </row>
    <row r="76" spans="1:18" x14ac:dyDescent="0.25">
      <c r="A76" s="6">
        <v>74</v>
      </c>
      <c r="B76" s="7">
        <v>45228</v>
      </c>
      <c r="C76" s="8" t="s">
        <v>106</v>
      </c>
      <c r="D76" s="8" t="s">
        <v>83</v>
      </c>
      <c r="E76" s="8" t="s">
        <v>84</v>
      </c>
      <c r="F76" s="8" t="s">
        <v>134</v>
      </c>
      <c r="G76" s="6">
        <v>24</v>
      </c>
      <c r="H76" s="25">
        <v>10200</v>
      </c>
      <c r="I76" s="6">
        <v>5</v>
      </c>
      <c r="J76" s="6">
        <f t="shared" si="2"/>
        <v>244800</v>
      </c>
      <c r="K76" s="6">
        <f t="shared" si="3"/>
        <v>232560</v>
      </c>
      <c r="L76" s="8" t="s">
        <v>76</v>
      </c>
      <c r="M76" s="8" t="s">
        <v>96</v>
      </c>
      <c r="N76">
        <v>10</v>
      </c>
      <c r="O76">
        <v>2023</v>
      </c>
      <c r="P76" s="29" t="s">
        <v>726</v>
      </c>
      <c r="Q76" t="s">
        <v>733</v>
      </c>
      <c r="R76" t="s">
        <v>737</v>
      </c>
    </row>
    <row r="77" spans="1:18" x14ac:dyDescent="0.25">
      <c r="A77" s="9">
        <v>75</v>
      </c>
      <c r="B77" s="10">
        <v>45490</v>
      </c>
      <c r="C77" s="11" t="s">
        <v>88</v>
      </c>
      <c r="D77" s="11" t="s">
        <v>117</v>
      </c>
      <c r="E77" s="11" t="s">
        <v>111</v>
      </c>
      <c r="F77" s="11" t="s">
        <v>135</v>
      </c>
      <c r="G77" s="9">
        <v>15</v>
      </c>
      <c r="H77" s="26">
        <v>112300</v>
      </c>
      <c r="I77" s="9">
        <v>0</v>
      </c>
      <c r="J77" s="9">
        <f t="shared" si="2"/>
        <v>1684500</v>
      </c>
      <c r="K77" s="9">
        <f t="shared" si="3"/>
        <v>1684500</v>
      </c>
      <c r="L77" s="11" t="s">
        <v>76</v>
      </c>
      <c r="M77" s="11" t="s">
        <v>81</v>
      </c>
      <c r="N77">
        <v>7</v>
      </c>
      <c r="O77">
        <v>2024</v>
      </c>
      <c r="P77" s="29" t="s">
        <v>712</v>
      </c>
      <c r="Q77" t="s">
        <v>734</v>
      </c>
      <c r="R77" t="s">
        <v>737</v>
      </c>
    </row>
    <row r="78" spans="1:18" x14ac:dyDescent="0.25">
      <c r="A78" s="6">
        <v>76</v>
      </c>
      <c r="B78" s="7">
        <v>44990</v>
      </c>
      <c r="C78" s="8" t="s">
        <v>82</v>
      </c>
      <c r="D78" s="8" t="s">
        <v>109</v>
      </c>
      <c r="E78" s="8" t="s">
        <v>84</v>
      </c>
      <c r="F78" s="8" t="s">
        <v>90</v>
      </c>
      <c r="G78" s="6">
        <v>18</v>
      </c>
      <c r="H78" s="25">
        <v>2000</v>
      </c>
      <c r="I78" s="6">
        <v>0</v>
      </c>
      <c r="J78" s="6">
        <f t="shared" si="2"/>
        <v>36000</v>
      </c>
      <c r="K78" s="6">
        <f t="shared" si="3"/>
        <v>36000</v>
      </c>
      <c r="L78" s="8" t="s">
        <v>187</v>
      </c>
      <c r="M78" s="8" t="s">
        <v>96</v>
      </c>
      <c r="N78">
        <v>3</v>
      </c>
      <c r="O78">
        <v>2023</v>
      </c>
      <c r="P78" s="29" t="s">
        <v>719</v>
      </c>
      <c r="Q78" t="s">
        <v>735</v>
      </c>
      <c r="R78" t="s">
        <v>738</v>
      </c>
    </row>
    <row r="79" spans="1:18" x14ac:dyDescent="0.25">
      <c r="A79" s="9">
        <v>77</v>
      </c>
      <c r="B79" s="10">
        <v>45125</v>
      </c>
      <c r="C79" s="11" t="s">
        <v>101</v>
      </c>
      <c r="D79" s="11" t="s">
        <v>109</v>
      </c>
      <c r="E79" s="11" t="s">
        <v>74</v>
      </c>
      <c r="F79" s="11" t="s">
        <v>142</v>
      </c>
      <c r="G79" s="9">
        <v>46</v>
      </c>
      <c r="H79" s="26">
        <v>11700</v>
      </c>
      <c r="I79" s="9">
        <v>0</v>
      </c>
      <c r="J79" s="9">
        <f t="shared" si="2"/>
        <v>538200</v>
      </c>
      <c r="K79" s="9">
        <f t="shared" si="3"/>
        <v>538200</v>
      </c>
      <c r="L79" s="11" t="s">
        <v>76</v>
      </c>
      <c r="M79" s="11" t="s">
        <v>96</v>
      </c>
      <c r="N79">
        <v>7</v>
      </c>
      <c r="O79">
        <v>2023</v>
      </c>
      <c r="P79" s="29" t="s">
        <v>724</v>
      </c>
      <c r="Q79" t="s">
        <v>734</v>
      </c>
      <c r="R79" t="s">
        <v>737</v>
      </c>
    </row>
    <row r="80" spans="1:18" x14ac:dyDescent="0.25">
      <c r="A80" s="6">
        <v>78</v>
      </c>
      <c r="B80" s="7">
        <v>44982</v>
      </c>
      <c r="C80" s="8" t="s">
        <v>82</v>
      </c>
      <c r="D80" s="8" t="s">
        <v>117</v>
      </c>
      <c r="E80" s="8" t="s">
        <v>84</v>
      </c>
      <c r="F80" s="8" t="s">
        <v>85</v>
      </c>
      <c r="G80" s="6">
        <v>1</v>
      </c>
      <c r="H80" s="25">
        <v>5000</v>
      </c>
      <c r="I80" s="6">
        <v>5</v>
      </c>
      <c r="J80" s="6">
        <f t="shared" si="2"/>
        <v>5000</v>
      </c>
      <c r="K80" s="6">
        <f t="shared" si="3"/>
        <v>4750</v>
      </c>
      <c r="L80" s="8" t="s">
        <v>76</v>
      </c>
      <c r="M80" s="8" t="s">
        <v>91</v>
      </c>
      <c r="N80">
        <v>2</v>
      </c>
      <c r="O80">
        <v>2023</v>
      </c>
      <c r="P80" s="29" t="s">
        <v>717</v>
      </c>
      <c r="Q80" t="s">
        <v>735</v>
      </c>
      <c r="R80" t="s">
        <v>738</v>
      </c>
    </row>
    <row r="81" spans="1:18" x14ac:dyDescent="0.25">
      <c r="A81" s="9">
        <v>79</v>
      </c>
      <c r="B81" s="10">
        <v>45378</v>
      </c>
      <c r="C81" s="11" t="s">
        <v>88</v>
      </c>
      <c r="D81" s="11" t="s">
        <v>109</v>
      </c>
      <c r="E81" s="11" t="s">
        <v>79</v>
      </c>
      <c r="F81" s="11" t="s">
        <v>179</v>
      </c>
      <c r="G81" s="9">
        <v>31</v>
      </c>
      <c r="H81" s="26">
        <v>2800</v>
      </c>
      <c r="I81" s="9">
        <v>5</v>
      </c>
      <c r="J81" s="9">
        <f t="shared" si="2"/>
        <v>86800</v>
      </c>
      <c r="K81" s="9">
        <f t="shared" si="3"/>
        <v>82460</v>
      </c>
      <c r="L81" s="11" t="s">
        <v>76</v>
      </c>
      <c r="M81" s="11" t="s">
        <v>77</v>
      </c>
      <c r="N81">
        <v>3</v>
      </c>
      <c r="O81">
        <v>2024</v>
      </c>
      <c r="P81" s="29" t="s">
        <v>711</v>
      </c>
      <c r="Q81" t="s">
        <v>735</v>
      </c>
      <c r="R81" t="s">
        <v>739</v>
      </c>
    </row>
    <row r="82" spans="1:18" x14ac:dyDescent="0.25">
      <c r="A82" s="6">
        <v>80</v>
      </c>
      <c r="B82" s="7">
        <v>45430</v>
      </c>
      <c r="C82" s="8" t="s">
        <v>97</v>
      </c>
      <c r="D82" s="8" t="s">
        <v>93</v>
      </c>
      <c r="E82" s="8" t="s">
        <v>79</v>
      </c>
      <c r="F82" s="8" t="s">
        <v>122</v>
      </c>
      <c r="G82" s="6">
        <v>37</v>
      </c>
      <c r="H82" s="25">
        <v>16900</v>
      </c>
      <c r="I82" s="6">
        <v>0</v>
      </c>
      <c r="J82" s="6">
        <f t="shared" si="2"/>
        <v>625300</v>
      </c>
      <c r="K82" s="6">
        <f t="shared" si="3"/>
        <v>625300</v>
      </c>
      <c r="L82" s="8" t="s">
        <v>123</v>
      </c>
      <c r="M82" s="31" t="s">
        <v>695</v>
      </c>
      <c r="N82">
        <v>5</v>
      </c>
      <c r="O82">
        <v>2024</v>
      </c>
      <c r="P82" s="29" t="s">
        <v>732</v>
      </c>
      <c r="Q82" t="s">
        <v>736</v>
      </c>
      <c r="R82" t="s">
        <v>737</v>
      </c>
    </row>
    <row r="83" spans="1:18" x14ac:dyDescent="0.25">
      <c r="A83" s="9">
        <v>81</v>
      </c>
      <c r="B83" s="10">
        <v>44962</v>
      </c>
      <c r="C83" s="11" t="s">
        <v>82</v>
      </c>
      <c r="D83" s="11" t="s">
        <v>83</v>
      </c>
      <c r="E83" s="11" t="s">
        <v>102</v>
      </c>
      <c r="F83" s="11" t="s">
        <v>181</v>
      </c>
      <c r="G83" s="9">
        <v>25</v>
      </c>
      <c r="H83" s="26">
        <v>4900</v>
      </c>
      <c r="I83" s="9">
        <v>0</v>
      </c>
      <c r="J83" s="9">
        <f t="shared" si="2"/>
        <v>122500</v>
      </c>
      <c r="K83" s="9">
        <f t="shared" si="3"/>
        <v>122500</v>
      </c>
      <c r="L83" s="11" t="s">
        <v>76</v>
      </c>
      <c r="M83" s="11" t="s">
        <v>91</v>
      </c>
      <c r="N83">
        <v>2</v>
      </c>
      <c r="O83">
        <v>2023</v>
      </c>
      <c r="P83" s="29" t="s">
        <v>717</v>
      </c>
      <c r="Q83" t="s">
        <v>735</v>
      </c>
      <c r="R83" t="s">
        <v>739</v>
      </c>
    </row>
    <row r="84" spans="1:18" x14ac:dyDescent="0.25">
      <c r="A84" s="6">
        <v>82</v>
      </c>
      <c r="B84" s="7">
        <v>45529</v>
      </c>
      <c r="C84" s="8" t="s">
        <v>114</v>
      </c>
      <c r="D84" s="8" t="s">
        <v>117</v>
      </c>
      <c r="E84" s="8" t="s">
        <v>102</v>
      </c>
      <c r="F84" s="8" t="s">
        <v>138</v>
      </c>
      <c r="G84" s="6">
        <v>48</v>
      </c>
      <c r="H84" s="25">
        <v>6800</v>
      </c>
      <c r="I84" s="6">
        <v>15</v>
      </c>
      <c r="J84" s="6">
        <f t="shared" si="2"/>
        <v>326400</v>
      </c>
      <c r="K84" s="6">
        <f t="shared" si="3"/>
        <v>277440</v>
      </c>
      <c r="L84" s="8" t="s">
        <v>76</v>
      </c>
      <c r="M84" s="8" t="s">
        <v>81</v>
      </c>
      <c r="N84">
        <v>8</v>
      </c>
      <c r="O84">
        <v>2024</v>
      </c>
      <c r="P84" s="29" t="s">
        <v>710</v>
      </c>
      <c r="Q84" t="s">
        <v>734</v>
      </c>
      <c r="R84" t="s">
        <v>737</v>
      </c>
    </row>
    <row r="85" spans="1:18" x14ac:dyDescent="0.25">
      <c r="A85" s="9">
        <v>83</v>
      </c>
      <c r="B85" s="10">
        <v>45054</v>
      </c>
      <c r="C85" s="11" t="s">
        <v>101</v>
      </c>
      <c r="D85" s="11" t="s">
        <v>73</v>
      </c>
      <c r="E85" s="11" t="s">
        <v>84</v>
      </c>
      <c r="F85" s="11" t="s">
        <v>90</v>
      </c>
      <c r="G85" s="9">
        <v>5</v>
      </c>
      <c r="H85" s="26">
        <v>1700</v>
      </c>
      <c r="I85" s="9">
        <v>5</v>
      </c>
      <c r="J85" s="9">
        <f t="shared" si="2"/>
        <v>8500</v>
      </c>
      <c r="K85" s="9">
        <f t="shared" si="3"/>
        <v>8075</v>
      </c>
      <c r="L85" s="11" t="s">
        <v>76</v>
      </c>
      <c r="M85" s="11" t="s">
        <v>91</v>
      </c>
      <c r="N85">
        <v>5</v>
      </c>
      <c r="O85">
        <v>2023</v>
      </c>
      <c r="P85" s="29" t="s">
        <v>730</v>
      </c>
      <c r="Q85" t="s">
        <v>736</v>
      </c>
      <c r="R85" t="s">
        <v>738</v>
      </c>
    </row>
    <row r="86" spans="1:18" x14ac:dyDescent="0.25">
      <c r="A86" s="6">
        <v>84</v>
      </c>
      <c r="B86" s="7">
        <v>45455</v>
      </c>
      <c r="C86" s="8" t="s">
        <v>124</v>
      </c>
      <c r="D86" s="8" t="s">
        <v>83</v>
      </c>
      <c r="E86" s="8" t="s">
        <v>74</v>
      </c>
      <c r="F86" s="8" t="s">
        <v>94</v>
      </c>
      <c r="G86" s="6">
        <v>46</v>
      </c>
      <c r="H86" s="25">
        <v>33500</v>
      </c>
      <c r="I86" s="6">
        <v>0</v>
      </c>
      <c r="J86" s="6">
        <f t="shared" si="2"/>
        <v>1541000</v>
      </c>
      <c r="K86" s="6">
        <f t="shared" si="3"/>
        <v>1541000</v>
      </c>
      <c r="L86" s="8" t="s">
        <v>76</v>
      </c>
      <c r="M86" s="8" t="s">
        <v>91</v>
      </c>
      <c r="N86">
        <v>6</v>
      </c>
      <c r="O86">
        <v>2024</v>
      </c>
      <c r="P86" s="29" t="s">
        <v>720</v>
      </c>
      <c r="Q86" t="s">
        <v>736</v>
      </c>
      <c r="R86" t="s">
        <v>737</v>
      </c>
    </row>
    <row r="87" spans="1:18" x14ac:dyDescent="0.25">
      <c r="A87" s="9">
        <v>85</v>
      </c>
      <c r="B87" s="10">
        <v>45394</v>
      </c>
      <c r="C87" s="11" t="s">
        <v>106</v>
      </c>
      <c r="D87" s="11" t="s">
        <v>117</v>
      </c>
      <c r="E87" s="11" t="s">
        <v>102</v>
      </c>
      <c r="F87" s="11" t="s">
        <v>181</v>
      </c>
      <c r="G87" s="9">
        <v>35</v>
      </c>
      <c r="H87" s="26">
        <v>4500</v>
      </c>
      <c r="I87" s="9">
        <v>0</v>
      </c>
      <c r="J87" s="9">
        <f t="shared" si="2"/>
        <v>157500</v>
      </c>
      <c r="K87" s="9">
        <f t="shared" si="3"/>
        <v>157500</v>
      </c>
      <c r="L87" s="11" t="s">
        <v>76</v>
      </c>
      <c r="M87" s="11" t="s">
        <v>81</v>
      </c>
      <c r="N87">
        <v>4</v>
      </c>
      <c r="O87">
        <v>2024</v>
      </c>
      <c r="P87" s="29" t="s">
        <v>722</v>
      </c>
      <c r="Q87" t="s">
        <v>736</v>
      </c>
      <c r="R87" t="s">
        <v>739</v>
      </c>
    </row>
    <row r="88" spans="1:18" x14ac:dyDescent="0.25">
      <c r="A88" s="6">
        <v>86</v>
      </c>
      <c r="B88" s="7">
        <v>45072</v>
      </c>
      <c r="C88" s="8" t="s">
        <v>97</v>
      </c>
      <c r="D88" s="8" t="s">
        <v>73</v>
      </c>
      <c r="E88" s="8" t="s">
        <v>84</v>
      </c>
      <c r="F88" s="8" t="s">
        <v>134</v>
      </c>
      <c r="G88" s="6">
        <v>37</v>
      </c>
      <c r="H88" s="25">
        <v>10100</v>
      </c>
      <c r="I88" s="6">
        <v>0</v>
      </c>
      <c r="J88" s="6">
        <f t="shared" si="2"/>
        <v>373700</v>
      </c>
      <c r="K88" s="6">
        <f t="shared" si="3"/>
        <v>373700</v>
      </c>
      <c r="L88" s="8" t="s">
        <v>107</v>
      </c>
      <c r="M88" s="8" t="s">
        <v>91</v>
      </c>
      <c r="N88">
        <v>5</v>
      </c>
      <c r="O88">
        <v>2023</v>
      </c>
      <c r="P88" s="29" t="s">
        <v>730</v>
      </c>
      <c r="Q88" t="s">
        <v>736</v>
      </c>
      <c r="R88" t="s">
        <v>737</v>
      </c>
    </row>
    <row r="89" spans="1:18" x14ac:dyDescent="0.25">
      <c r="A89" s="9">
        <v>87</v>
      </c>
      <c r="B89" s="10">
        <v>45406</v>
      </c>
      <c r="C89" s="11" t="s">
        <v>101</v>
      </c>
      <c r="D89" s="11" t="s">
        <v>83</v>
      </c>
      <c r="E89" s="11" t="s">
        <v>74</v>
      </c>
      <c r="F89" s="11" t="s">
        <v>99</v>
      </c>
      <c r="G89" s="9">
        <v>39</v>
      </c>
      <c r="H89" s="26">
        <v>3500</v>
      </c>
      <c r="I89" s="6">
        <v>0</v>
      </c>
      <c r="J89" s="9">
        <f t="shared" si="2"/>
        <v>136500</v>
      </c>
      <c r="K89" s="9">
        <f t="shared" si="3"/>
        <v>136500</v>
      </c>
      <c r="L89" s="11" t="s">
        <v>76</v>
      </c>
      <c r="M89" s="11" t="s">
        <v>91</v>
      </c>
      <c r="N89">
        <v>4</v>
      </c>
      <c r="O89">
        <v>2024</v>
      </c>
      <c r="P89" s="29" t="s">
        <v>722</v>
      </c>
      <c r="Q89" t="s">
        <v>736</v>
      </c>
      <c r="R89" t="s">
        <v>739</v>
      </c>
    </row>
    <row r="90" spans="1:18" x14ac:dyDescent="0.25">
      <c r="A90" s="6">
        <v>88</v>
      </c>
      <c r="B90" s="7">
        <v>45257</v>
      </c>
      <c r="C90" s="8" t="s">
        <v>124</v>
      </c>
      <c r="D90" s="8" t="s">
        <v>117</v>
      </c>
      <c r="E90" s="8" t="s">
        <v>79</v>
      </c>
      <c r="F90" s="8" t="s">
        <v>131</v>
      </c>
      <c r="G90" s="6">
        <v>44</v>
      </c>
      <c r="H90" s="25">
        <v>114900</v>
      </c>
      <c r="I90" s="6">
        <v>0</v>
      </c>
      <c r="J90" s="6">
        <f t="shared" si="2"/>
        <v>5055600</v>
      </c>
      <c r="K90" s="6">
        <f t="shared" si="3"/>
        <v>5055600</v>
      </c>
      <c r="L90" s="8" t="s">
        <v>187</v>
      </c>
      <c r="M90" s="8" t="s">
        <v>77</v>
      </c>
      <c r="N90">
        <v>11</v>
      </c>
      <c r="O90">
        <v>2023</v>
      </c>
      <c r="P90" s="29" t="s">
        <v>718</v>
      </c>
      <c r="Q90" t="s">
        <v>733</v>
      </c>
      <c r="R90" t="s">
        <v>737</v>
      </c>
    </row>
    <row r="91" spans="1:18" x14ac:dyDescent="0.25">
      <c r="A91" s="9">
        <v>89</v>
      </c>
      <c r="B91" s="10">
        <v>45615</v>
      </c>
      <c r="C91" s="11" t="s">
        <v>101</v>
      </c>
      <c r="D91" s="11" t="s">
        <v>93</v>
      </c>
      <c r="E91" s="11" t="s">
        <v>79</v>
      </c>
      <c r="F91" s="11" t="s">
        <v>122</v>
      </c>
      <c r="G91" s="9">
        <v>42</v>
      </c>
      <c r="H91" s="26">
        <v>18300</v>
      </c>
      <c r="I91" s="9">
        <v>0</v>
      </c>
      <c r="J91" s="9">
        <f t="shared" si="2"/>
        <v>768600</v>
      </c>
      <c r="K91" s="9">
        <f t="shared" si="3"/>
        <v>768600</v>
      </c>
      <c r="L91" s="11" t="s">
        <v>76</v>
      </c>
      <c r="M91" s="11" t="s">
        <v>96</v>
      </c>
      <c r="N91">
        <v>11</v>
      </c>
      <c r="O91">
        <v>2024</v>
      </c>
      <c r="P91" s="29" t="s">
        <v>714</v>
      </c>
      <c r="Q91" t="s">
        <v>733</v>
      </c>
      <c r="R91" t="s">
        <v>737</v>
      </c>
    </row>
    <row r="92" spans="1:18" x14ac:dyDescent="0.25">
      <c r="A92" s="6">
        <v>90</v>
      </c>
      <c r="B92" s="7">
        <v>45526</v>
      </c>
      <c r="C92" s="8" t="s">
        <v>114</v>
      </c>
      <c r="D92" s="8" t="s">
        <v>83</v>
      </c>
      <c r="E92" s="8" t="s">
        <v>79</v>
      </c>
      <c r="F92" s="8" t="s">
        <v>172</v>
      </c>
      <c r="G92" s="6">
        <v>22</v>
      </c>
      <c r="H92" s="25">
        <v>24700</v>
      </c>
      <c r="I92" s="6">
        <v>20</v>
      </c>
      <c r="J92" s="6">
        <f t="shared" si="2"/>
        <v>543400</v>
      </c>
      <c r="K92" s="6">
        <f t="shared" si="3"/>
        <v>434720</v>
      </c>
      <c r="L92" s="8" t="s">
        <v>76</v>
      </c>
      <c r="M92" s="8" t="s">
        <v>77</v>
      </c>
      <c r="N92">
        <v>8</v>
      </c>
      <c r="O92">
        <v>2024</v>
      </c>
      <c r="P92" s="29" t="s">
        <v>710</v>
      </c>
      <c r="Q92" t="s">
        <v>734</v>
      </c>
      <c r="R92" t="s">
        <v>737</v>
      </c>
    </row>
    <row r="93" spans="1:18" x14ac:dyDescent="0.25">
      <c r="A93" s="9">
        <v>91</v>
      </c>
      <c r="B93" s="10">
        <v>45091</v>
      </c>
      <c r="C93" s="11" t="s">
        <v>88</v>
      </c>
      <c r="D93" s="11" t="s">
        <v>83</v>
      </c>
      <c r="E93" s="11" t="s">
        <v>111</v>
      </c>
      <c r="F93" s="11" t="s">
        <v>135</v>
      </c>
      <c r="G93" s="9">
        <v>26</v>
      </c>
      <c r="H93" s="26">
        <v>122500</v>
      </c>
      <c r="I93" s="9">
        <v>5</v>
      </c>
      <c r="J93" s="9">
        <f t="shared" si="2"/>
        <v>3185000</v>
      </c>
      <c r="K93" s="9">
        <f t="shared" si="3"/>
        <v>3025750</v>
      </c>
      <c r="L93" s="11" t="s">
        <v>187</v>
      </c>
      <c r="M93" s="11" t="s">
        <v>77</v>
      </c>
      <c r="N93">
        <v>6</v>
      </c>
      <c r="O93">
        <v>2023</v>
      </c>
      <c r="P93" s="29" t="s">
        <v>723</v>
      </c>
      <c r="Q93" t="s">
        <v>736</v>
      </c>
      <c r="R93" t="s">
        <v>737</v>
      </c>
    </row>
    <row r="94" spans="1:18" x14ac:dyDescent="0.25">
      <c r="A94" s="6">
        <v>92</v>
      </c>
      <c r="B94" s="7">
        <v>44930</v>
      </c>
      <c r="C94" s="8" t="s">
        <v>88</v>
      </c>
      <c r="D94" s="8" t="s">
        <v>117</v>
      </c>
      <c r="E94" s="8" t="s">
        <v>74</v>
      </c>
      <c r="F94" s="8" t="s">
        <v>118</v>
      </c>
      <c r="G94" s="6">
        <v>26</v>
      </c>
      <c r="H94" s="25">
        <v>32000</v>
      </c>
      <c r="I94" s="6">
        <v>0</v>
      </c>
      <c r="J94" s="6">
        <f t="shared" si="2"/>
        <v>832000</v>
      </c>
      <c r="K94" s="6">
        <f t="shared" si="3"/>
        <v>832000</v>
      </c>
      <c r="L94" s="8" t="s">
        <v>107</v>
      </c>
      <c r="M94" s="8" t="s">
        <v>77</v>
      </c>
      <c r="N94">
        <v>1</v>
      </c>
      <c r="O94">
        <v>2023</v>
      </c>
      <c r="P94" s="29" t="s">
        <v>721</v>
      </c>
      <c r="Q94" t="s">
        <v>735</v>
      </c>
      <c r="R94" t="s">
        <v>737</v>
      </c>
    </row>
    <row r="95" spans="1:18" x14ac:dyDescent="0.25">
      <c r="A95" s="9">
        <v>93</v>
      </c>
      <c r="B95" s="10">
        <v>45542</v>
      </c>
      <c r="C95" s="11" t="s">
        <v>119</v>
      </c>
      <c r="D95" s="11" t="s">
        <v>83</v>
      </c>
      <c r="E95" s="11" t="s">
        <v>79</v>
      </c>
      <c r="F95" s="11" t="s">
        <v>80</v>
      </c>
      <c r="G95" s="9">
        <v>40</v>
      </c>
      <c r="H95" s="26">
        <v>8800</v>
      </c>
      <c r="I95" s="9">
        <v>20</v>
      </c>
      <c r="J95" s="9">
        <f t="shared" si="2"/>
        <v>352000</v>
      </c>
      <c r="K95" s="9">
        <f t="shared" si="3"/>
        <v>281600</v>
      </c>
      <c r="L95" s="11" t="s">
        <v>187</v>
      </c>
      <c r="M95" s="11" t="s">
        <v>91</v>
      </c>
      <c r="N95">
        <v>9</v>
      </c>
      <c r="O95">
        <v>2024</v>
      </c>
      <c r="P95" s="29" t="s">
        <v>731</v>
      </c>
      <c r="Q95" t="s">
        <v>734</v>
      </c>
      <c r="R95" t="s">
        <v>737</v>
      </c>
    </row>
    <row r="96" spans="1:18" x14ac:dyDescent="0.25">
      <c r="A96" s="6">
        <v>94</v>
      </c>
      <c r="B96" s="7">
        <v>44979</v>
      </c>
      <c r="C96" s="8" t="s">
        <v>106</v>
      </c>
      <c r="D96" s="8" t="s">
        <v>117</v>
      </c>
      <c r="E96" s="8" t="s">
        <v>102</v>
      </c>
      <c r="F96" s="8" t="s">
        <v>103</v>
      </c>
      <c r="G96" s="6">
        <v>29</v>
      </c>
      <c r="H96" s="25">
        <v>11100</v>
      </c>
      <c r="I96" s="6">
        <v>0</v>
      </c>
      <c r="J96" s="6">
        <f t="shared" si="2"/>
        <v>321900</v>
      </c>
      <c r="K96" s="6">
        <f t="shared" si="3"/>
        <v>321900</v>
      </c>
      <c r="L96" s="8" t="s">
        <v>107</v>
      </c>
      <c r="M96" s="8" t="s">
        <v>91</v>
      </c>
      <c r="N96">
        <v>2</v>
      </c>
      <c r="O96">
        <v>2023</v>
      </c>
      <c r="P96" s="29" t="s">
        <v>717</v>
      </c>
      <c r="Q96" t="s">
        <v>735</v>
      </c>
      <c r="R96" t="s">
        <v>737</v>
      </c>
    </row>
    <row r="97" spans="1:18" x14ac:dyDescent="0.25">
      <c r="A97" s="9">
        <v>95</v>
      </c>
      <c r="B97" s="10">
        <v>44956</v>
      </c>
      <c r="C97" s="11" t="s">
        <v>124</v>
      </c>
      <c r="D97" s="11" t="s">
        <v>109</v>
      </c>
      <c r="E97" s="11" t="s">
        <v>84</v>
      </c>
      <c r="F97" s="11" t="s">
        <v>134</v>
      </c>
      <c r="G97" s="9">
        <v>36</v>
      </c>
      <c r="H97" s="26">
        <v>10000</v>
      </c>
      <c r="I97" s="9">
        <v>20</v>
      </c>
      <c r="J97" s="9">
        <f t="shared" si="2"/>
        <v>360000</v>
      </c>
      <c r="K97" s="9">
        <f t="shared" si="3"/>
        <v>288000</v>
      </c>
      <c r="L97" s="11" t="s">
        <v>76</v>
      </c>
      <c r="M97" s="11" t="s">
        <v>81</v>
      </c>
      <c r="N97">
        <v>1</v>
      </c>
      <c r="O97">
        <v>2023</v>
      </c>
      <c r="P97" s="29" t="s">
        <v>721</v>
      </c>
      <c r="Q97" t="s">
        <v>735</v>
      </c>
      <c r="R97" t="s">
        <v>737</v>
      </c>
    </row>
    <row r="98" spans="1:18" x14ac:dyDescent="0.25">
      <c r="A98" s="6">
        <v>96</v>
      </c>
      <c r="B98" s="7">
        <v>45043</v>
      </c>
      <c r="C98" s="8" t="s">
        <v>119</v>
      </c>
      <c r="D98" s="8" t="s">
        <v>73</v>
      </c>
      <c r="E98" s="8" t="s">
        <v>84</v>
      </c>
      <c r="F98" s="8" t="s">
        <v>85</v>
      </c>
      <c r="G98" s="6">
        <v>19</v>
      </c>
      <c r="H98" s="25">
        <v>6100</v>
      </c>
      <c r="I98" s="6">
        <v>5</v>
      </c>
      <c r="J98" s="6">
        <f t="shared" si="2"/>
        <v>115900</v>
      </c>
      <c r="K98" s="6">
        <f t="shared" si="3"/>
        <v>110105</v>
      </c>
      <c r="L98" s="8" t="s">
        <v>76</v>
      </c>
      <c r="M98" s="8" t="s">
        <v>96</v>
      </c>
      <c r="N98">
        <v>4</v>
      </c>
      <c r="O98">
        <v>2023</v>
      </c>
      <c r="P98" s="29" t="s">
        <v>716</v>
      </c>
      <c r="Q98" t="s">
        <v>736</v>
      </c>
      <c r="R98" t="s">
        <v>739</v>
      </c>
    </row>
    <row r="99" spans="1:18" x14ac:dyDescent="0.25">
      <c r="A99" s="9">
        <v>97</v>
      </c>
      <c r="B99" s="10">
        <v>45540</v>
      </c>
      <c r="C99" s="11" t="s">
        <v>119</v>
      </c>
      <c r="D99" s="11" t="s">
        <v>109</v>
      </c>
      <c r="E99" s="11" t="s">
        <v>111</v>
      </c>
      <c r="F99" s="11" t="s">
        <v>166</v>
      </c>
      <c r="G99" s="9">
        <v>39</v>
      </c>
      <c r="H99" s="26">
        <v>27900</v>
      </c>
      <c r="I99" s="9">
        <v>20</v>
      </c>
      <c r="J99" s="9">
        <f t="shared" si="2"/>
        <v>1088100</v>
      </c>
      <c r="K99" s="9">
        <f t="shared" si="3"/>
        <v>870480</v>
      </c>
      <c r="L99" s="11" t="s">
        <v>76</v>
      </c>
      <c r="M99" s="11" t="s">
        <v>81</v>
      </c>
      <c r="N99">
        <v>9</v>
      </c>
      <c r="O99">
        <v>2024</v>
      </c>
      <c r="P99" s="29" t="s">
        <v>731</v>
      </c>
      <c r="Q99" t="s">
        <v>734</v>
      </c>
      <c r="R99" t="s">
        <v>737</v>
      </c>
    </row>
    <row r="100" spans="1:18" x14ac:dyDescent="0.25">
      <c r="A100" s="6">
        <v>98</v>
      </c>
      <c r="B100" s="7">
        <v>44998</v>
      </c>
      <c r="C100" s="8" t="s">
        <v>101</v>
      </c>
      <c r="D100" s="8" t="s">
        <v>83</v>
      </c>
      <c r="E100" s="8" t="s">
        <v>74</v>
      </c>
      <c r="F100" s="8" t="s">
        <v>190</v>
      </c>
      <c r="G100" s="6">
        <v>19</v>
      </c>
      <c r="H100" s="25">
        <v>35400</v>
      </c>
      <c r="I100" s="6">
        <v>20</v>
      </c>
      <c r="J100" s="6">
        <f t="shared" si="2"/>
        <v>672600</v>
      </c>
      <c r="K100" s="6">
        <f t="shared" si="3"/>
        <v>538080</v>
      </c>
      <c r="L100" s="8" t="s">
        <v>187</v>
      </c>
      <c r="M100" s="8" t="s">
        <v>91</v>
      </c>
      <c r="N100">
        <v>3</v>
      </c>
      <c r="O100">
        <v>2023</v>
      </c>
      <c r="P100" s="29" t="s">
        <v>719</v>
      </c>
      <c r="Q100" t="s">
        <v>735</v>
      </c>
      <c r="R100" t="s">
        <v>737</v>
      </c>
    </row>
    <row r="101" spans="1:18" x14ac:dyDescent="0.25">
      <c r="A101" s="9">
        <v>99</v>
      </c>
      <c r="B101" s="10">
        <v>44963</v>
      </c>
      <c r="C101" s="11" t="s">
        <v>119</v>
      </c>
      <c r="D101" s="11" t="s">
        <v>93</v>
      </c>
      <c r="E101" s="11" t="s">
        <v>111</v>
      </c>
      <c r="F101" s="11" t="s">
        <v>132</v>
      </c>
      <c r="G101" s="9">
        <v>49</v>
      </c>
      <c r="H101" s="26">
        <v>7400</v>
      </c>
      <c r="I101" s="9">
        <v>0</v>
      </c>
      <c r="J101" s="9">
        <f t="shared" si="2"/>
        <v>362600</v>
      </c>
      <c r="K101" s="9">
        <f t="shared" si="3"/>
        <v>362600</v>
      </c>
      <c r="L101" s="11" t="s">
        <v>76</v>
      </c>
      <c r="M101" s="11" t="s">
        <v>91</v>
      </c>
      <c r="N101">
        <v>2</v>
      </c>
      <c r="O101">
        <v>2023</v>
      </c>
      <c r="P101" s="29" t="s">
        <v>717</v>
      </c>
      <c r="Q101" t="s">
        <v>735</v>
      </c>
      <c r="R101" t="s">
        <v>737</v>
      </c>
    </row>
    <row r="102" spans="1:18" x14ac:dyDescent="0.25">
      <c r="A102" s="6">
        <v>100</v>
      </c>
      <c r="B102" s="7">
        <v>45120</v>
      </c>
      <c r="C102" s="8" t="s">
        <v>106</v>
      </c>
      <c r="D102" s="8" t="s">
        <v>93</v>
      </c>
      <c r="E102" s="8" t="s">
        <v>111</v>
      </c>
      <c r="F102" s="8" t="s">
        <v>156</v>
      </c>
      <c r="G102" s="6">
        <v>27</v>
      </c>
      <c r="H102" s="25">
        <v>46800</v>
      </c>
      <c r="I102" s="6">
        <v>15</v>
      </c>
      <c r="J102" s="6">
        <f t="shared" si="2"/>
        <v>1263600</v>
      </c>
      <c r="K102" s="6">
        <f t="shared" si="3"/>
        <v>1074060</v>
      </c>
      <c r="L102" s="8" t="s">
        <v>76</v>
      </c>
      <c r="M102" s="8" t="s">
        <v>91</v>
      </c>
      <c r="N102">
        <v>7</v>
      </c>
      <c r="O102">
        <v>2023</v>
      </c>
      <c r="P102" s="29" t="s">
        <v>724</v>
      </c>
      <c r="Q102" t="s">
        <v>734</v>
      </c>
      <c r="R102" t="s">
        <v>737</v>
      </c>
    </row>
    <row r="103" spans="1:18" x14ac:dyDescent="0.25">
      <c r="A103" s="9">
        <v>101</v>
      </c>
      <c r="B103" s="10">
        <v>45317</v>
      </c>
      <c r="C103" s="11" t="s">
        <v>114</v>
      </c>
      <c r="D103" s="11" t="s">
        <v>109</v>
      </c>
      <c r="E103" s="11" t="s">
        <v>111</v>
      </c>
      <c r="F103" s="11" t="s">
        <v>192</v>
      </c>
      <c r="G103" s="9">
        <v>38</v>
      </c>
      <c r="H103" s="26">
        <v>88500</v>
      </c>
      <c r="I103" s="9">
        <v>20</v>
      </c>
      <c r="J103" s="9">
        <f t="shared" si="2"/>
        <v>3363000</v>
      </c>
      <c r="K103" s="9">
        <f t="shared" si="3"/>
        <v>2690400</v>
      </c>
      <c r="L103" s="11" t="s">
        <v>76</v>
      </c>
      <c r="M103" s="11" t="s">
        <v>77</v>
      </c>
      <c r="N103">
        <v>1</v>
      </c>
      <c r="O103">
        <v>2024</v>
      </c>
      <c r="P103" s="29" t="s">
        <v>727</v>
      </c>
      <c r="Q103" t="s">
        <v>735</v>
      </c>
      <c r="R103" t="s">
        <v>737</v>
      </c>
    </row>
    <row r="104" spans="1:18" x14ac:dyDescent="0.25">
      <c r="A104" s="6">
        <v>102</v>
      </c>
      <c r="B104" s="7">
        <v>45377</v>
      </c>
      <c r="C104" s="8" t="s">
        <v>97</v>
      </c>
      <c r="D104" s="8" t="s">
        <v>93</v>
      </c>
      <c r="E104" s="8" t="s">
        <v>111</v>
      </c>
      <c r="F104" s="8" t="s">
        <v>192</v>
      </c>
      <c r="G104" s="6">
        <v>27</v>
      </c>
      <c r="H104" s="25">
        <v>102700</v>
      </c>
      <c r="I104" s="6">
        <v>0</v>
      </c>
      <c r="J104" s="6">
        <f t="shared" si="2"/>
        <v>2772900</v>
      </c>
      <c r="K104" s="6">
        <f t="shared" si="3"/>
        <v>2772900</v>
      </c>
      <c r="L104" s="8" t="s">
        <v>107</v>
      </c>
      <c r="M104" s="8" t="s">
        <v>81</v>
      </c>
      <c r="N104">
        <v>3</v>
      </c>
      <c r="O104">
        <v>2024</v>
      </c>
      <c r="P104" s="29" t="s">
        <v>711</v>
      </c>
      <c r="Q104" t="s">
        <v>735</v>
      </c>
      <c r="R104" t="s">
        <v>737</v>
      </c>
    </row>
    <row r="105" spans="1:18" x14ac:dyDescent="0.25">
      <c r="A105" s="9">
        <v>103</v>
      </c>
      <c r="B105" s="10">
        <v>45407</v>
      </c>
      <c r="C105" s="11" t="s">
        <v>101</v>
      </c>
      <c r="D105" s="11" t="s">
        <v>117</v>
      </c>
      <c r="E105" s="11" t="s">
        <v>102</v>
      </c>
      <c r="F105" s="11" t="s">
        <v>151</v>
      </c>
      <c r="G105" s="9">
        <v>22</v>
      </c>
      <c r="H105" s="26">
        <v>8000</v>
      </c>
      <c r="I105" s="9">
        <v>0</v>
      </c>
      <c r="J105" s="9">
        <f t="shared" si="2"/>
        <v>176000</v>
      </c>
      <c r="K105" s="9">
        <f t="shared" si="3"/>
        <v>176000</v>
      </c>
      <c r="L105" s="11" t="s">
        <v>107</v>
      </c>
      <c r="M105" s="11" t="s">
        <v>91</v>
      </c>
      <c r="N105">
        <v>4</v>
      </c>
      <c r="O105">
        <v>2024</v>
      </c>
      <c r="P105" s="29" t="s">
        <v>722</v>
      </c>
      <c r="Q105" t="s">
        <v>736</v>
      </c>
      <c r="R105" t="s">
        <v>739</v>
      </c>
    </row>
    <row r="106" spans="1:18" x14ac:dyDescent="0.25">
      <c r="A106" s="6">
        <v>104</v>
      </c>
      <c r="B106" s="7">
        <v>45361</v>
      </c>
      <c r="C106" s="8" t="s">
        <v>119</v>
      </c>
      <c r="D106" s="8" t="s">
        <v>93</v>
      </c>
      <c r="E106" s="8" t="s">
        <v>79</v>
      </c>
      <c r="F106" s="8" t="s">
        <v>131</v>
      </c>
      <c r="G106" s="6">
        <v>44</v>
      </c>
      <c r="H106" s="25">
        <v>115000</v>
      </c>
      <c r="I106" s="6">
        <v>15</v>
      </c>
      <c r="J106" s="6">
        <f t="shared" si="2"/>
        <v>5060000</v>
      </c>
      <c r="K106" s="6">
        <f t="shared" si="3"/>
        <v>4301000</v>
      </c>
      <c r="L106" s="8" t="s">
        <v>107</v>
      </c>
      <c r="M106" s="8" t="s">
        <v>81</v>
      </c>
      <c r="N106">
        <v>3</v>
      </c>
      <c r="O106">
        <v>2024</v>
      </c>
      <c r="P106" s="29" t="s">
        <v>711</v>
      </c>
      <c r="Q106" t="s">
        <v>735</v>
      </c>
      <c r="R106" t="s">
        <v>737</v>
      </c>
    </row>
    <row r="107" spans="1:18" x14ac:dyDescent="0.25">
      <c r="A107" s="9">
        <v>105</v>
      </c>
      <c r="B107" s="10">
        <v>44989</v>
      </c>
      <c r="C107" s="11" t="s">
        <v>114</v>
      </c>
      <c r="D107" s="11" t="s">
        <v>73</v>
      </c>
      <c r="E107" s="11" t="s">
        <v>79</v>
      </c>
      <c r="F107" s="11" t="s">
        <v>172</v>
      </c>
      <c r="G107" s="9">
        <v>20</v>
      </c>
      <c r="H107" s="26">
        <v>23500</v>
      </c>
      <c r="I107" s="9">
        <v>0</v>
      </c>
      <c r="J107" s="9">
        <f t="shared" si="2"/>
        <v>470000</v>
      </c>
      <c r="K107" s="9">
        <f t="shared" si="3"/>
        <v>470000</v>
      </c>
      <c r="L107" s="11" t="s">
        <v>107</v>
      </c>
      <c r="M107" s="11" t="s">
        <v>77</v>
      </c>
      <c r="N107">
        <v>3</v>
      </c>
      <c r="O107">
        <v>2023</v>
      </c>
      <c r="P107" s="29" t="s">
        <v>719</v>
      </c>
      <c r="Q107" t="s">
        <v>735</v>
      </c>
      <c r="R107" t="s">
        <v>737</v>
      </c>
    </row>
    <row r="108" spans="1:18" x14ac:dyDescent="0.25">
      <c r="A108" s="6">
        <v>106</v>
      </c>
      <c r="B108" s="7">
        <v>44984</v>
      </c>
      <c r="C108" s="8" t="s">
        <v>101</v>
      </c>
      <c r="D108" s="8" t="s">
        <v>117</v>
      </c>
      <c r="E108" s="8" t="s">
        <v>74</v>
      </c>
      <c r="F108" s="8" t="s">
        <v>140</v>
      </c>
      <c r="G108" s="6">
        <v>34</v>
      </c>
      <c r="H108" s="25">
        <v>4200</v>
      </c>
      <c r="I108" s="6">
        <v>0</v>
      </c>
      <c r="J108" s="6">
        <f t="shared" si="2"/>
        <v>142800</v>
      </c>
      <c r="K108" s="6">
        <f t="shared" si="3"/>
        <v>142800</v>
      </c>
      <c r="L108" s="8" t="s">
        <v>76</v>
      </c>
      <c r="M108" s="8" t="s">
        <v>81</v>
      </c>
      <c r="N108">
        <v>2</v>
      </c>
      <c r="O108">
        <v>2023</v>
      </c>
      <c r="P108" s="29" t="s">
        <v>717</v>
      </c>
      <c r="Q108" t="s">
        <v>735</v>
      </c>
      <c r="R108" t="s">
        <v>739</v>
      </c>
    </row>
    <row r="109" spans="1:18" x14ac:dyDescent="0.25">
      <c r="A109" s="9">
        <v>107</v>
      </c>
      <c r="B109" s="10">
        <v>45106</v>
      </c>
      <c r="C109" s="11" t="s">
        <v>97</v>
      </c>
      <c r="D109" s="11" t="s">
        <v>93</v>
      </c>
      <c r="E109" s="11" t="s">
        <v>111</v>
      </c>
      <c r="F109" s="11" t="s">
        <v>156</v>
      </c>
      <c r="G109" s="9">
        <v>38</v>
      </c>
      <c r="H109" s="26">
        <v>43000</v>
      </c>
      <c r="I109" s="9">
        <v>15</v>
      </c>
      <c r="J109" s="9">
        <f t="shared" si="2"/>
        <v>1634000</v>
      </c>
      <c r="K109" s="9">
        <f t="shared" si="3"/>
        <v>1388900</v>
      </c>
      <c r="L109" s="11" t="s">
        <v>76</v>
      </c>
      <c r="M109" s="11" t="s">
        <v>91</v>
      </c>
      <c r="N109">
        <v>6</v>
      </c>
      <c r="O109">
        <v>2023</v>
      </c>
      <c r="P109" s="29" t="s">
        <v>723</v>
      </c>
      <c r="Q109" t="s">
        <v>736</v>
      </c>
      <c r="R109" t="s">
        <v>737</v>
      </c>
    </row>
    <row r="110" spans="1:18" x14ac:dyDescent="0.25">
      <c r="A110" s="6">
        <v>108</v>
      </c>
      <c r="B110" s="7">
        <v>45187</v>
      </c>
      <c r="C110" s="8" t="s">
        <v>119</v>
      </c>
      <c r="D110" s="8" t="s">
        <v>117</v>
      </c>
      <c r="E110" s="8" t="s">
        <v>79</v>
      </c>
      <c r="F110" s="8" t="s">
        <v>172</v>
      </c>
      <c r="G110" s="6">
        <v>44</v>
      </c>
      <c r="H110" s="25">
        <v>28100</v>
      </c>
      <c r="I110" s="6">
        <v>5</v>
      </c>
      <c r="J110" s="6">
        <f t="shared" si="2"/>
        <v>1236400</v>
      </c>
      <c r="K110" s="6">
        <f t="shared" si="3"/>
        <v>1174580</v>
      </c>
      <c r="L110" s="8" t="s">
        <v>76</v>
      </c>
      <c r="M110" s="8" t="s">
        <v>77</v>
      </c>
      <c r="N110">
        <v>9</v>
      </c>
      <c r="O110">
        <v>2023</v>
      </c>
      <c r="P110" s="29" t="s">
        <v>715</v>
      </c>
      <c r="Q110" t="s">
        <v>734</v>
      </c>
      <c r="R110" t="s">
        <v>737</v>
      </c>
    </row>
    <row r="111" spans="1:18" x14ac:dyDescent="0.25">
      <c r="A111" s="9">
        <v>109</v>
      </c>
      <c r="B111" s="10">
        <v>45280</v>
      </c>
      <c r="C111" s="11" t="s">
        <v>124</v>
      </c>
      <c r="D111" s="11" t="s">
        <v>117</v>
      </c>
      <c r="E111" s="11" t="s">
        <v>111</v>
      </c>
      <c r="F111" s="11" t="s">
        <v>135</v>
      </c>
      <c r="G111" s="9">
        <v>20</v>
      </c>
      <c r="H111" s="26">
        <v>116600</v>
      </c>
      <c r="I111" s="9">
        <v>20</v>
      </c>
      <c r="J111" s="9">
        <f t="shared" si="2"/>
        <v>2332000</v>
      </c>
      <c r="K111" s="9">
        <f t="shared" si="3"/>
        <v>1865600</v>
      </c>
      <c r="L111" s="11" t="s">
        <v>76</v>
      </c>
      <c r="M111" s="11" t="s">
        <v>91</v>
      </c>
      <c r="N111">
        <v>12</v>
      </c>
      <c r="O111">
        <v>2023</v>
      </c>
      <c r="P111" s="29" t="s">
        <v>725</v>
      </c>
      <c r="Q111" t="s">
        <v>733</v>
      </c>
      <c r="R111" t="s">
        <v>737</v>
      </c>
    </row>
    <row r="112" spans="1:18" x14ac:dyDescent="0.25">
      <c r="A112" s="6">
        <v>110</v>
      </c>
      <c r="B112" s="7">
        <v>45540</v>
      </c>
      <c r="C112" s="8" t="s">
        <v>97</v>
      </c>
      <c r="D112" s="8" t="s">
        <v>109</v>
      </c>
      <c r="E112" s="8" t="s">
        <v>111</v>
      </c>
      <c r="F112" s="8" t="s">
        <v>132</v>
      </c>
      <c r="G112" s="6">
        <v>45</v>
      </c>
      <c r="H112" s="25">
        <v>7800</v>
      </c>
      <c r="I112" s="6">
        <v>0</v>
      </c>
      <c r="J112" s="6">
        <f t="shared" si="2"/>
        <v>351000</v>
      </c>
      <c r="K112" s="6">
        <f t="shared" si="3"/>
        <v>351000</v>
      </c>
      <c r="L112" s="8" t="s">
        <v>76</v>
      </c>
      <c r="M112" s="8" t="s">
        <v>91</v>
      </c>
      <c r="N112">
        <v>9</v>
      </c>
      <c r="O112">
        <v>2024</v>
      </c>
      <c r="P112" s="29" t="s">
        <v>731</v>
      </c>
      <c r="Q112" t="s">
        <v>734</v>
      </c>
      <c r="R112" t="s">
        <v>737</v>
      </c>
    </row>
    <row r="113" spans="1:18" x14ac:dyDescent="0.25">
      <c r="A113" s="9">
        <v>111</v>
      </c>
      <c r="B113" s="10">
        <v>45170</v>
      </c>
      <c r="C113" s="11" t="s">
        <v>124</v>
      </c>
      <c r="D113" s="11" t="s">
        <v>73</v>
      </c>
      <c r="E113" s="11" t="s">
        <v>102</v>
      </c>
      <c r="F113" s="11" t="s">
        <v>197</v>
      </c>
      <c r="G113" s="9">
        <v>19</v>
      </c>
      <c r="H113" s="26">
        <v>4200</v>
      </c>
      <c r="I113" s="9">
        <v>10</v>
      </c>
      <c r="J113" s="9">
        <f t="shared" si="2"/>
        <v>79800</v>
      </c>
      <c r="K113" s="9">
        <f t="shared" si="3"/>
        <v>71820</v>
      </c>
      <c r="L113" s="11" t="s">
        <v>187</v>
      </c>
      <c r="M113" s="11" t="s">
        <v>81</v>
      </c>
      <c r="N113">
        <v>9</v>
      </c>
      <c r="O113">
        <v>2023</v>
      </c>
      <c r="P113" s="29" t="s">
        <v>715</v>
      </c>
      <c r="Q113" t="s">
        <v>734</v>
      </c>
      <c r="R113" t="s">
        <v>739</v>
      </c>
    </row>
    <row r="114" spans="1:18" x14ac:dyDescent="0.25">
      <c r="A114" s="6">
        <v>112</v>
      </c>
      <c r="B114" s="7">
        <v>45287</v>
      </c>
      <c r="C114" s="8" t="s">
        <v>106</v>
      </c>
      <c r="D114" s="8" t="s">
        <v>109</v>
      </c>
      <c r="E114" s="8" t="s">
        <v>102</v>
      </c>
      <c r="F114" s="8" t="s">
        <v>110</v>
      </c>
      <c r="G114" s="6">
        <v>47</v>
      </c>
      <c r="H114" s="25">
        <v>23500</v>
      </c>
      <c r="I114" s="6">
        <v>15</v>
      </c>
      <c r="J114" s="6">
        <f t="shared" si="2"/>
        <v>1104500</v>
      </c>
      <c r="K114" s="6">
        <f t="shared" si="3"/>
        <v>938825</v>
      </c>
      <c r="L114" s="8" t="s">
        <v>187</v>
      </c>
      <c r="M114" s="8" t="s">
        <v>81</v>
      </c>
      <c r="N114">
        <v>12</v>
      </c>
      <c r="O114">
        <v>2023</v>
      </c>
      <c r="P114" s="29" t="s">
        <v>725</v>
      </c>
      <c r="Q114" t="s">
        <v>733</v>
      </c>
      <c r="R114" t="s">
        <v>737</v>
      </c>
    </row>
    <row r="115" spans="1:18" x14ac:dyDescent="0.25">
      <c r="A115" s="9">
        <v>221</v>
      </c>
      <c r="B115" s="10">
        <v>45029</v>
      </c>
      <c r="C115" s="11" t="s">
        <v>114</v>
      </c>
      <c r="D115" s="11" t="s">
        <v>117</v>
      </c>
      <c r="E115" s="11" t="s">
        <v>111</v>
      </c>
      <c r="F115" s="11" t="s">
        <v>112</v>
      </c>
      <c r="G115" s="9">
        <v>9</v>
      </c>
      <c r="H115" s="26">
        <v>69600</v>
      </c>
      <c r="I115" s="9">
        <v>5</v>
      </c>
      <c r="J115" s="9">
        <f t="shared" si="2"/>
        <v>626400</v>
      </c>
      <c r="K115" s="9">
        <f t="shared" si="3"/>
        <v>595080</v>
      </c>
      <c r="L115" s="11" t="s">
        <v>76</v>
      </c>
      <c r="M115" s="11" t="s">
        <v>81</v>
      </c>
      <c r="N115">
        <v>4</v>
      </c>
      <c r="O115">
        <v>2023</v>
      </c>
      <c r="P115" s="29" t="s">
        <v>716</v>
      </c>
      <c r="Q115" t="s">
        <v>736</v>
      </c>
      <c r="R115" t="s">
        <v>737</v>
      </c>
    </row>
    <row r="116" spans="1:18" x14ac:dyDescent="0.25">
      <c r="A116" s="6">
        <v>222</v>
      </c>
      <c r="B116" s="7">
        <v>45595</v>
      </c>
      <c r="C116" s="8" t="s">
        <v>119</v>
      </c>
      <c r="D116" s="8" t="s">
        <v>83</v>
      </c>
      <c r="E116" s="8" t="s">
        <v>84</v>
      </c>
      <c r="F116" s="8" t="s">
        <v>134</v>
      </c>
      <c r="G116" s="6">
        <v>42</v>
      </c>
      <c r="H116" s="25">
        <v>9400</v>
      </c>
      <c r="I116" s="6">
        <v>15</v>
      </c>
      <c r="J116" s="6">
        <f t="shared" si="2"/>
        <v>394800</v>
      </c>
      <c r="K116" s="6">
        <f t="shared" si="3"/>
        <v>335580</v>
      </c>
      <c r="L116" s="8" t="s">
        <v>76</v>
      </c>
      <c r="M116" s="8" t="s">
        <v>77</v>
      </c>
      <c r="N116">
        <v>10</v>
      </c>
      <c r="O116">
        <v>2024</v>
      </c>
      <c r="P116" s="29" t="s">
        <v>709</v>
      </c>
      <c r="Q116" t="s">
        <v>733</v>
      </c>
      <c r="R116" t="s">
        <v>737</v>
      </c>
    </row>
    <row r="117" spans="1:18" x14ac:dyDescent="0.25">
      <c r="A117" s="9">
        <v>113</v>
      </c>
      <c r="B117" s="10">
        <v>45203</v>
      </c>
      <c r="C117" s="11" t="s">
        <v>78</v>
      </c>
      <c r="D117" s="11" t="s">
        <v>117</v>
      </c>
      <c r="E117" s="11" t="s">
        <v>111</v>
      </c>
      <c r="F117" s="11" t="s">
        <v>192</v>
      </c>
      <c r="G117" s="9">
        <v>47</v>
      </c>
      <c r="H117" s="26">
        <v>99300</v>
      </c>
      <c r="I117" s="9">
        <v>0</v>
      </c>
      <c r="J117" s="9">
        <f t="shared" si="2"/>
        <v>4667100</v>
      </c>
      <c r="K117" s="9">
        <f t="shared" si="3"/>
        <v>4667100</v>
      </c>
      <c r="L117" s="11" t="s">
        <v>76</v>
      </c>
      <c r="M117" s="11" t="s">
        <v>96</v>
      </c>
      <c r="N117">
        <v>10</v>
      </c>
      <c r="O117">
        <v>2023</v>
      </c>
      <c r="P117" s="29" t="s">
        <v>726</v>
      </c>
      <c r="Q117" t="s">
        <v>733</v>
      </c>
      <c r="R117" t="s">
        <v>737</v>
      </c>
    </row>
    <row r="118" spans="1:18" x14ac:dyDescent="0.25">
      <c r="A118" s="6">
        <v>114</v>
      </c>
      <c r="B118" s="7">
        <v>45294</v>
      </c>
      <c r="C118" s="8" t="s">
        <v>108</v>
      </c>
      <c r="D118" s="8" t="s">
        <v>109</v>
      </c>
      <c r="E118" s="8" t="s">
        <v>84</v>
      </c>
      <c r="F118" s="8" t="s">
        <v>200</v>
      </c>
      <c r="G118" s="6">
        <v>18</v>
      </c>
      <c r="H118" s="25">
        <v>3300</v>
      </c>
      <c r="I118" s="6">
        <v>20</v>
      </c>
      <c r="J118" s="6">
        <f t="shared" si="2"/>
        <v>59400</v>
      </c>
      <c r="K118" s="6">
        <f t="shared" si="3"/>
        <v>47520</v>
      </c>
      <c r="L118" s="8" t="s">
        <v>187</v>
      </c>
      <c r="M118" s="8" t="s">
        <v>96</v>
      </c>
      <c r="N118">
        <v>1</v>
      </c>
      <c r="O118">
        <v>2024</v>
      </c>
      <c r="P118" s="29" t="s">
        <v>727</v>
      </c>
      <c r="Q118" t="s">
        <v>735</v>
      </c>
      <c r="R118" t="s">
        <v>738</v>
      </c>
    </row>
    <row r="119" spans="1:18" x14ac:dyDescent="0.25">
      <c r="A119" s="9">
        <v>115</v>
      </c>
      <c r="B119" s="10">
        <v>45509</v>
      </c>
      <c r="C119" s="11" t="s">
        <v>101</v>
      </c>
      <c r="D119" s="11" t="s">
        <v>117</v>
      </c>
      <c r="E119" s="11" t="s">
        <v>79</v>
      </c>
      <c r="F119" s="11" t="s">
        <v>172</v>
      </c>
      <c r="G119" s="9">
        <v>10</v>
      </c>
      <c r="H119" s="26">
        <v>28500</v>
      </c>
      <c r="I119" s="9">
        <v>20</v>
      </c>
      <c r="J119" s="9">
        <f t="shared" si="2"/>
        <v>285000</v>
      </c>
      <c r="K119" s="9">
        <f t="shared" si="3"/>
        <v>228000</v>
      </c>
      <c r="L119" s="11" t="s">
        <v>187</v>
      </c>
      <c r="M119" s="11" t="s">
        <v>81</v>
      </c>
      <c r="N119">
        <v>8</v>
      </c>
      <c r="O119">
        <v>2024</v>
      </c>
      <c r="P119" s="29" t="s">
        <v>710</v>
      </c>
      <c r="Q119" t="s">
        <v>734</v>
      </c>
      <c r="R119" t="s">
        <v>737</v>
      </c>
    </row>
    <row r="120" spans="1:18" x14ac:dyDescent="0.25">
      <c r="A120" s="6">
        <v>116</v>
      </c>
      <c r="B120" s="7">
        <v>45619</v>
      </c>
      <c r="C120" s="8" t="s">
        <v>114</v>
      </c>
      <c r="D120" s="8" t="s">
        <v>93</v>
      </c>
      <c r="E120" s="8" t="s">
        <v>74</v>
      </c>
      <c r="F120" s="8" t="s">
        <v>118</v>
      </c>
      <c r="G120" s="6">
        <v>1</v>
      </c>
      <c r="H120" s="25">
        <v>30700</v>
      </c>
      <c r="I120" s="6">
        <v>5</v>
      </c>
      <c r="J120" s="6">
        <f t="shared" si="2"/>
        <v>30700</v>
      </c>
      <c r="K120" s="6">
        <f t="shared" si="3"/>
        <v>29165</v>
      </c>
      <c r="L120" s="8" t="s">
        <v>76</v>
      </c>
      <c r="M120" s="8" t="s">
        <v>77</v>
      </c>
      <c r="N120">
        <v>11</v>
      </c>
      <c r="O120">
        <v>2024</v>
      </c>
      <c r="P120" s="29" t="s">
        <v>714</v>
      </c>
      <c r="Q120" t="s">
        <v>733</v>
      </c>
      <c r="R120" t="s">
        <v>738</v>
      </c>
    </row>
    <row r="121" spans="1:18" x14ac:dyDescent="0.25">
      <c r="A121" s="9">
        <v>117</v>
      </c>
      <c r="B121" s="10">
        <v>45304</v>
      </c>
      <c r="C121" s="11" t="s">
        <v>101</v>
      </c>
      <c r="D121" s="11" t="s">
        <v>93</v>
      </c>
      <c r="E121" s="11" t="s">
        <v>111</v>
      </c>
      <c r="F121" s="11" t="s">
        <v>132</v>
      </c>
      <c r="G121" s="9">
        <v>15</v>
      </c>
      <c r="H121" s="26">
        <v>7000</v>
      </c>
      <c r="I121" s="9">
        <v>10</v>
      </c>
      <c r="J121" s="9">
        <f t="shared" si="2"/>
        <v>105000</v>
      </c>
      <c r="K121" s="9">
        <f t="shared" si="3"/>
        <v>94500</v>
      </c>
      <c r="L121" s="11" t="s">
        <v>76</v>
      </c>
      <c r="M121" s="11" t="s">
        <v>96</v>
      </c>
      <c r="N121">
        <v>1</v>
      </c>
      <c r="O121">
        <v>2024</v>
      </c>
      <c r="P121" s="29" t="s">
        <v>727</v>
      </c>
      <c r="Q121" t="s">
        <v>735</v>
      </c>
      <c r="R121" t="s">
        <v>739</v>
      </c>
    </row>
    <row r="122" spans="1:18" x14ac:dyDescent="0.25">
      <c r="A122" s="6">
        <v>118</v>
      </c>
      <c r="B122" s="7">
        <v>45153</v>
      </c>
      <c r="C122" s="8" t="s">
        <v>97</v>
      </c>
      <c r="D122" s="8" t="s">
        <v>83</v>
      </c>
      <c r="E122" s="8" t="s">
        <v>74</v>
      </c>
      <c r="F122" s="8" t="s">
        <v>140</v>
      </c>
      <c r="G122" s="6">
        <v>3</v>
      </c>
      <c r="H122" s="25">
        <v>4200</v>
      </c>
      <c r="I122" s="6">
        <v>5</v>
      </c>
      <c r="J122" s="6">
        <f t="shared" si="2"/>
        <v>12600</v>
      </c>
      <c r="K122" s="6">
        <f t="shared" si="3"/>
        <v>11970</v>
      </c>
      <c r="L122" s="8" t="s">
        <v>123</v>
      </c>
      <c r="M122" s="8" t="s">
        <v>96</v>
      </c>
      <c r="N122">
        <v>8</v>
      </c>
      <c r="O122">
        <v>2023</v>
      </c>
      <c r="P122" s="29" t="s">
        <v>713</v>
      </c>
      <c r="Q122" t="s">
        <v>734</v>
      </c>
      <c r="R122" t="s">
        <v>738</v>
      </c>
    </row>
    <row r="123" spans="1:18" x14ac:dyDescent="0.25">
      <c r="A123" s="9">
        <v>119</v>
      </c>
      <c r="B123" s="10">
        <v>45045</v>
      </c>
      <c r="C123" s="11" t="s">
        <v>97</v>
      </c>
      <c r="D123" s="11" t="s">
        <v>109</v>
      </c>
      <c r="E123" s="11" t="s">
        <v>102</v>
      </c>
      <c r="F123" s="11" t="s">
        <v>103</v>
      </c>
      <c r="G123" s="9">
        <v>24</v>
      </c>
      <c r="H123" s="26">
        <v>9800</v>
      </c>
      <c r="I123" s="9">
        <v>10</v>
      </c>
      <c r="J123" s="9">
        <f t="shared" si="2"/>
        <v>235200</v>
      </c>
      <c r="K123" s="9">
        <f t="shared" si="3"/>
        <v>211680</v>
      </c>
      <c r="L123" s="11" t="s">
        <v>187</v>
      </c>
      <c r="M123" s="11" t="s">
        <v>91</v>
      </c>
      <c r="N123">
        <v>4</v>
      </c>
      <c r="O123">
        <v>2023</v>
      </c>
      <c r="P123" s="29" t="s">
        <v>716</v>
      </c>
      <c r="Q123" t="s">
        <v>736</v>
      </c>
      <c r="R123" t="s">
        <v>737</v>
      </c>
    </row>
    <row r="124" spans="1:18" x14ac:dyDescent="0.25">
      <c r="A124" s="6">
        <v>120</v>
      </c>
      <c r="B124" s="7">
        <v>45144</v>
      </c>
      <c r="C124" s="8" t="s">
        <v>114</v>
      </c>
      <c r="D124" s="8" t="s">
        <v>73</v>
      </c>
      <c r="E124" s="8" t="s">
        <v>111</v>
      </c>
      <c r="F124" s="8" t="s">
        <v>165</v>
      </c>
      <c r="G124" s="6">
        <v>18</v>
      </c>
      <c r="H124" s="25">
        <v>20400</v>
      </c>
      <c r="I124" s="6">
        <v>0</v>
      </c>
      <c r="J124" s="6">
        <f t="shared" si="2"/>
        <v>367200</v>
      </c>
      <c r="K124" s="6">
        <f t="shared" si="3"/>
        <v>367200</v>
      </c>
      <c r="L124" s="8" t="s">
        <v>76</v>
      </c>
      <c r="M124" s="8" t="s">
        <v>96</v>
      </c>
      <c r="N124">
        <v>8</v>
      </c>
      <c r="O124">
        <v>2023</v>
      </c>
      <c r="P124" s="29" t="s">
        <v>713</v>
      </c>
      <c r="Q124" t="s">
        <v>734</v>
      </c>
      <c r="R124" t="s">
        <v>737</v>
      </c>
    </row>
    <row r="125" spans="1:18" x14ac:dyDescent="0.25">
      <c r="A125" s="9">
        <v>121</v>
      </c>
      <c r="B125" s="10">
        <v>45381</v>
      </c>
      <c r="C125" s="11" t="s">
        <v>119</v>
      </c>
      <c r="D125" s="11" t="s">
        <v>109</v>
      </c>
      <c r="E125" s="11" t="s">
        <v>74</v>
      </c>
      <c r="F125" s="11" t="s">
        <v>118</v>
      </c>
      <c r="G125" s="9">
        <v>24</v>
      </c>
      <c r="H125" s="26">
        <v>32100</v>
      </c>
      <c r="I125" s="9">
        <v>0</v>
      </c>
      <c r="J125" s="9">
        <f t="shared" si="2"/>
        <v>770400</v>
      </c>
      <c r="K125" s="9">
        <f t="shared" si="3"/>
        <v>770400</v>
      </c>
      <c r="L125" s="11" t="s">
        <v>76</v>
      </c>
      <c r="M125" s="11" t="s">
        <v>96</v>
      </c>
      <c r="N125">
        <v>3</v>
      </c>
      <c r="O125">
        <v>2024</v>
      </c>
      <c r="P125" s="29" t="s">
        <v>711</v>
      </c>
      <c r="Q125" t="s">
        <v>735</v>
      </c>
      <c r="R125" t="s">
        <v>737</v>
      </c>
    </row>
    <row r="126" spans="1:18" x14ac:dyDescent="0.25">
      <c r="A126" s="6">
        <v>122</v>
      </c>
      <c r="B126" s="7">
        <v>45628</v>
      </c>
      <c r="C126" s="8" t="s">
        <v>101</v>
      </c>
      <c r="D126" s="8" t="s">
        <v>109</v>
      </c>
      <c r="E126" s="8" t="s">
        <v>79</v>
      </c>
      <c r="F126" s="8" t="s">
        <v>172</v>
      </c>
      <c r="G126" s="6">
        <v>14</v>
      </c>
      <c r="H126" s="25">
        <v>23100</v>
      </c>
      <c r="I126" s="6">
        <v>0</v>
      </c>
      <c r="J126" s="6">
        <f t="shared" si="2"/>
        <v>323400</v>
      </c>
      <c r="K126" s="6">
        <f t="shared" si="3"/>
        <v>323400</v>
      </c>
      <c r="L126" s="8" t="s">
        <v>76</v>
      </c>
      <c r="M126" s="8" t="s">
        <v>77</v>
      </c>
      <c r="N126">
        <v>12</v>
      </c>
      <c r="O126">
        <v>2024</v>
      </c>
      <c r="P126" s="29" t="s">
        <v>728</v>
      </c>
      <c r="Q126" t="s">
        <v>733</v>
      </c>
      <c r="R126" t="s">
        <v>737</v>
      </c>
    </row>
    <row r="127" spans="1:18" x14ac:dyDescent="0.25">
      <c r="A127" s="9">
        <v>123</v>
      </c>
      <c r="B127" s="10">
        <v>45150</v>
      </c>
      <c r="C127" s="11" t="s">
        <v>106</v>
      </c>
      <c r="D127" s="11" t="s">
        <v>109</v>
      </c>
      <c r="E127" s="11" t="s">
        <v>102</v>
      </c>
      <c r="F127" s="11" t="s">
        <v>181</v>
      </c>
      <c r="G127" s="9">
        <v>49</v>
      </c>
      <c r="H127" s="26">
        <v>4100</v>
      </c>
      <c r="I127" s="9">
        <v>20</v>
      </c>
      <c r="J127" s="9">
        <f t="shared" si="2"/>
        <v>200900</v>
      </c>
      <c r="K127" s="9">
        <f t="shared" si="3"/>
        <v>160720</v>
      </c>
      <c r="L127" s="11" t="s">
        <v>76</v>
      </c>
      <c r="M127" s="11" t="s">
        <v>81</v>
      </c>
      <c r="N127">
        <v>8</v>
      </c>
      <c r="O127">
        <v>2023</v>
      </c>
      <c r="P127" s="29" t="s">
        <v>713</v>
      </c>
      <c r="Q127" t="s">
        <v>734</v>
      </c>
      <c r="R127" t="s">
        <v>739</v>
      </c>
    </row>
    <row r="128" spans="1:18" x14ac:dyDescent="0.25">
      <c r="A128" s="6">
        <v>124</v>
      </c>
      <c r="B128" s="7">
        <v>45165</v>
      </c>
      <c r="C128" s="8" t="s">
        <v>88</v>
      </c>
      <c r="D128" s="8" t="s">
        <v>109</v>
      </c>
      <c r="E128" s="8" t="s">
        <v>102</v>
      </c>
      <c r="F128" s="8" t="s">
        <v>138</v>
      </c>
      <c r="G128" s="6">
        <v>10</v>
      </c>
      <c r="H128" s="25">
        <v>6300</v>
      </c>
      <c r="I128" s="6">
        <v>20</v>
      </c>
      <c r="J128" s="6">
        <f t="shared" si="2"/>
        <v>63000</v>
      </c>
      <c r="K128" s="6">
        <f t="shared" si="3"/>
        <v>50400</v>
      </c>
      <c r="L128" s="8" t="s">
        <v>123</v>
      </c>
      <c r="M128" s="8" t="s">
        <v>96</v>
      </c>
      <c r="N128">
        <v>8</v>
      </c>
      <c r="O128">
        <v>2023</v>
      </c>
      <c r="P128" s="29" t="s">
        <v>713</v>
      </c>
      <c r="Q128" t="s">
        <v>734</v>
      </c>
      <c r="R128" t="s">
        <v>739</v>
      </c>
    </row>
    <row r="129" spans="1:18" x14ac:dyDescent="0.25">
      <c r="A129" s="9">
        <v>125</v>
      </c>
      <c r="B129" s="10">
        <v>45105</v>
      </c>
      <c r="C129" s="11" t="s">
        <v>97</v>
      </c>
      <c r="D129" s="11" t="s">
        <v>73</v>
      </c>
      <c r="E129" s="11" t="s">
        <v>84</v>
      </c>
      <c r="F129" s="11" t="s">
        <v>206</v>
      </c>
      <c r="G129" s="9">
        <v>16</v>
      </c>
      <c r="H129" s="26">
        <v>13900</v>
      </c>
      <c r="I129" s="9">
        <v>0</v>
      </c>
      <c r="J129" s="9">
        <f t="shared" si="2"/>
        <v>222400</v>
      </c>
      <c r="K129" s="9">
        <f t="shared" si="3"/>
        <v>222400</v>
      </c>
      <c r="L129" s="11" t="s">
        <v>76</v>
      </c>
      <c r="M129" s="11" t="s">
        <v>77</v>
      </c>
      <c r="N129">
        <v>6</v>
      </c>
      <c r="O129">
        <v>2023</v>
      </c>
      <c r="P129" s="29" t="s">
        <v>723</v>
      </c>
      <c r="Q129" t="s">
        <v>736</v>
      </c>
      <c r="R129" t="s">
        <v>737</v>
      </c>
    </row>
    <row r="130" spans="1:18" x14ac:dyDescent="0.25">
      <c r="A130" s="6">
        <v>126</v>
      </c>
      <c r="B130" s="7">
        <v>45198</v>
      </c>
      <c r="C130" s="8" t="s">
        <v>78</v>
      </c>
      <c r="D130" s="8" t="s">
        <v>109</v>
      </c>
      <c r="E130" s="8" t="s">
        <v>111</v>
      </c>
      <c r="F130" s="8" t="s">
        <v>112</v>
      </c>
      <c r="G130" s="6">
        <v>31</v>
      </c>
      <c r="H130" s="25">
        <v>70600</v>
      </c>
      <c r="I130" s="6">
        <v>10</v>
      </c>
      <c r="J130" s="6">
        <f t="shared" ref="J130:J193" si="4">G130*H130</f>
        <v>2188600</v>
      </c>
      <c r="K130" s="6">
        <f t="shared" ref="K130:K193" si="5">J130*(1-I130/100)</f>
        <v>1969740</v>
      </c>
      <c r="L130" s="8" t="s">
        <v>76</v>
      </c>
      <c r="M130" s="8" t="s">
        <v>96</v>
      </c>
      <c r="N130">
        <v>9</v>
      </c>
      <c r="O130">
        <v>2023</v>
      </c>
      <c r="P130" s="29" t="s">
        <v>715</v>
      </c>
      <c r="Q130" t="s">
        <v>734</v>
      </c>
      <c r="R130" t="s">
        <v>737</v>
      </c>
    </row>
    <row r="131" spans="1:18" x14ac:dyDescent="0.25">
      <c r="A131" s="9">
        <v>127</v>
      </c>
      <c r="B131" s="10">
        <v>45534</v>
      </c>
      <c r="C131" s="11" t="s">
        <v>97</v>
      </c>
      <c r="D131" s="11" t="s">
        <v>83</v>
      </c>
      <c r="E131" s="11" t="s">
        <v>102</v>
      </c>
      <c r="F131" s="11" t="s">
        <v>181</v>
      </c>
      <c r="G131" s="9">
        <v>3</v>
      </c>
      <c r="H131" s="26">
        <v>5100</v>
      </c>
      <c r="I131" s="9">
        <v>5</v>
      </c>
      <c r="J131" s="9">
        <f t="shared" si="4"/>
        <v>15300</v>
      </c>
      <c r="K131" s="9">
        <f t="shared" si="5"/>
        <v>14535</v>
      </c>
      <c r="L131" s="11" t="s">
        <v>187</v>
      </c>
      <c r="M131" s="11" t="s">
        <v>96</v>
      </c>
      <c r="N131">
        <v>8</v>
      </c>
      <c r="O131">
        <v>2024</v>
      </c>
      <c r="P131" s="29" t="s">
        <v>710</v>
      </c>
      <c r="Q131" t="s">
        <v>734</v>
      </c>
      <c r="R131" t="s">
        <v>738</v>
      </c>
    </row>
    <row r="132" spans="1:18" x14ac:dyDescent="0.25">
      <c r="A132" s="6">
        <v>128</v>
      </c>
      <c r="B132" s="7">
        <v>45585</v>
      </c>
      <c r="C132" s="8" t="s">
        <v>78</v>
      </c>
      <c r="D132" s="8" t="s">
        <v>73</v>
      </c>
      <c r="E132" s="8" t="s">
        <v>111</v>
      </c>
      <c r="F132" s="8" t="s">
        <v>165</v>
      </c>
      <c r="G132" s="6">
        <v>7</v>
      </c>
      <c r="H132" s="25">
        <v>18100</v>
      </c>
      <c r="I132" s="6">
        <v>0</v>
      </c>
      <c r="J132" s="6">
        <f t="shared" si="4"/>
        <v>126700</v>
      </c>
      <c r="K132" s="6">
        <f t="shared" si="5"/>
        <v>126700</v>
      </c>
      <c r="L132" s="8" t="s">
        <v>76</v>
      </c>
      <c r="M132" s="8" t="s">
        <v>91</v>
      </c>
      <c r="N132">
        <v>10</v>
      </c>
      <c r="O132">
        <v>2024</v>
      </c>
      <c r="P132" s="29" t="s">
        <v>709</v>
      </c>
      <c r="Q132" t="s">
        <v>733</v>
      </c>
      <c r="R132" t="s">
        <v>739</v>
      </c>
    </row>
    <row r="133" spans="1:18" x14ac:dyDescent="0.25">
      <c r="A133" s="9">
        <v>129</v>
      </c>
      <c r="B133" s="10">
        <v>45009</v>
      </c>
      <c r="C133" s="11" t="s">
        <v>88</v>
      </c>
      <c r="D133" s="11" t="s">
        <v>93</v>
      </c>
      <c r="E133" s="11" t="s">
        <v>84</v>
      </c>
      <c r="F133" s="11" t="s">
        <v>150</v>
      </c>
      <c r="G133" s="9">
        <v>40</v>
      </c>
      <c r="H133" s="26">
        <v>5100</v>
      </c>
      <c r="I133" s="9">
        <v>5</v>
      </c>
      <c r="J133" s="9">
        <f t="shared" si="4"/>
        <v>204000</v>
      </c>
      <c r="K133" s="9">
        <f t="shared" si="5"/>
        <v>193800</v>
      </c>
      <c r="L133" s="11" t="s">
        <v>76</v>
      </c>
      <c r="M133" s="11" t="s">
        <v>96</v>
      </c>
      <c r="N133">
        <v>3</v>
      </c>
      <c r="O133">
        <v>2023</v>
      </c>
      <c r="P133" s="29" t="s">
        <v>719</v>
      </c>
      <c r="Q133" t="s">
        <v>735</v>
      </c>
      <c r="R133" t="s">
        <v>739</v>
      </c>
    </row>
    <row r="134" spans="1:18" x14ac:dyDescent="0.25">
      <c r="A134" s="6">
        <v>130</v>
      </c>
      <c r="B134" s="7">
        <v>45538</v>
      </c>
      <c r="C134" s="8" t="s">
        <v>82</v>
      </c>
      <c r="D134" s="8" t="s">
        <v>117</v>
      </c>
      <c r="E134" s="8" t="s">
        <v>111</v>
      </c>
      <c r="F134" s="8" t="s">
        <v>165</v>
      </c>
      <c r="G134" s="6">
        <v>45</v>
      </c>
      <c r="H134" s="25">
        <v>16600</v>
      </c>
      <c r="I134" s="6">
        <v>5</v>
      </c>
      <c r="J134" s="6">
        <f t="shared" si="4"/>
        <v>747000</v>
      </c>
      <c r="K134" s="6">
        <f t="shared" si="5"/>
        <v>709650</v>
      </c>
      <c r="L134" s="8" t="s">
        <v>76</v>
      </c>
      <c r="M134" s="8" t="s">
        <v>81</v>
      </c>
      <c r="N134">
        <v>9</v>
      </c>
      <c r="O134">
        <v>2024</v>
      </c>
      <c r="P134" s="29" t="s">
        <v>731</v>
      </c>
      <c r="Q134" t="s">
        <v>734</v>
      </c>
      <c r="R134" t="s">
        <v>737</v>
      </c>
    </row>
    <row r="135" spans="1:18" x14ac:dyDescent="0.25">
      <c r="A135" s="9">
        <v>131</v>
      </c>
      <c r="B135" s="10">
        <v>45477</v>
      </c>
      <c r="C135" s="11" t="s">
        <v>106</v>
      </c>
      <c r="D135" s="11" t="s">
        <v>83</v>
      </c>
      <c r="E135" s="11" t="s">
        <v>74</v>
      </c>
      <c r="F135" s="11" t="s">
        <v>99</v>
      </c>
      <c r="G135" s="9">
        <v>47</v>
      </c>
      <c r="H135" s="26">
        <v>3500</v>
      </c>
      <c r="I135" s="9">
        <v>0</v>
      </c>
      <c r="J135" s="9">
        <f t="shared" si="4"/>
        <v>164500</v>
      </c>
      <c r="K135" s="9">
        <f t="shared" si="5"/>
        <v>164500</v>
      </c>
      <c r="L135" s="11" t="s">
        <v>76</v>
      </c>
      <c r="M135" s="11" t="s">
        <v>91</v>
      </c>
      <c r="N135">
        <v>7</v>
      </c>
      <c r="O135">
        <v>2024</v>
      </c>
      <c r="P135" s="29" t="s">
        <v>712</v>
      </c>
      <c r="Q135" t="s">
        <v>734</v>
      </c>
      <c r="R135" t="s">
        <v>739</v>
      </c>
    </row>
    <row r="136" spans="1:18" x14ac:dyDescent="0.25">
      <c r="A136" s="6">
        <v>132</v>
      </c>
      <c r="B136" s="7">
        <v>45637</v>
      </c>
      <c r="C136" s="8" t="s">
        <v>101</v>
      </c>
      <c r="D136" s="8" t="s">
        <v>117</v>
      </c>
      <c r="E136" s="8" t="s">
        <v>84</v>
      </c>
      <c r="F136" s="8" t="s">
        <v>85</v>
      </c>
      <c r="G136" s="6">
        <v>6</v>
      </c>
      <c r="H136" s="25">
        <v>5000</v>
      </c>
      <c r="I136" s="6">
        <v>15</v>
      </c>
      <c r="J136" s="6">
        <f t="shared" si="4"/>
        <v>30000</v>
      </c>
      <c r="K136" s="6">
        <f t="shared" si="5"/>
        <v>25500</v>
      </c>
      <c r="L136" s="8" t="s">
        <v>76</v>
      </c>
      <c r="M136" s="8" t="s">
        <v>77</v>
      </c>
      <c r="N136">
        <v>12</v>
      </c>
      <c r="O136">
        <v>2024</v>
      </c>
      <c r="P136" s="29" t="s">
        <v>728</v>
      </c>
      <c r="Q136" t="s">
        <v>733</v>
      </c>
      <c r="R136" t="s">
        <v>738</v>
      </c>
    </row>
    <row r="137" spans="1:18" x14ac:dyDescent="0.25">
      <c r="A137" s="9">
        <v>133</v>
      </c>
      <c r="B137" s="10">
        <v>45308</v>
      </c>
      <c r="C137" s="11" t="s">
        <v>108</v>
      </c>
      <c r="D137" s="11" t="s">
        <v>93</v>
      </c>
      <c r="E137" s="11" t="s">
        <v>79</v>
      </c>
      <c r="F137" s="11" t="s">
        <v>120</v>
      </c>
      <c r="G137" s="9">
        <v>27</v>
      </c>
      <c r="H137" s="26">
        <v>6400</v>
      </c>
      <c r="I137" s="9">
        <v>20</v>
      </c>
      <c r="J137" s="9">
        <f t="shared" si="4"/>
        <v>172800</v>
      </c>
      <c r="K137" s="9">
        <f t="shared" si="5"/>
        <v>138240</v>
      </c>
      <c r="L137" s="11" t="s">
        <v>76</v>
      </c>
      <c r="M137" s="11" t="s">
        <v>91</v>
      </c>
      <c r="N137">
        <v>1</v>
      </c>
      <c r="O137">
        <v>2024</v>
      </c>
      <c r="P137" s="29" t="s">
        <v>727</v>
      </c>
      <c r="Q137" t="s">
        <v>735</v>
      </c>
      <c r="R137" t="s">
        <v>739</v>
      </c>
    </row>
    <row r="138" spans="1:18" x14ac:dyDescent="0.25">
      <c r="A138" s="6">
        <v>134</v>
      </c>
      <c r="B138" s="7">
        <v>44979</v>
      </c>
      <c r="C138" s="8" t="s">
        <v>101</v>
      </c>
      <c r="D138" s="8" t="s">
        <v>93</v>
      </c>
      <c r="E138" s="8" t="s">
        <v>74</v>
      </c>
      <c r="F138" s="8" t="s">
        <v>212</v>
      </c>
      <c r="G138" s="6">
        <v>33</v>
      </c>
      <c r="H138" s="25">
        <v>7400</v>
      </c>
      <c r="I138" s="6">
        <v>0</v>
      </c>
      <c r="J138" s="6">
        <f t="shared" si="4"/>
        <v>244200</v>
      </c>
      <c r="K138" s="6">
        <f t="shared" si="5"/>
        <v>244200</v>
      </c>
      <c r="L138" s="8" t="s">
        <v>76</v>
      </c>
      <c r="M138" s="8" t="s">
        <v>91</v>
      </c>
      <c r="N138">
        <v>2</v>
      </c>
      <c r="O138">
        <v>2023</v>
      </c>
      <c r="P138" s="29" t="s">
        <v>717</v>
      </c>
      <c r="Q138" t="s">
        <v>735</v>
      </c>
      <c r="R138" t="s">
        <v>737</v>
      </c>
    </row>
    <row r="139" spans="1:18" x14ac:dyDescent="0.25">
      <c r="A139" s="9">
        <v>135</v>
      </c>
      <c r="B139" s="10">
        <v>45037</v>
      </c>
      <c r="C139" s="11" t="s">
        <v>88</v>
      </c>
      <c r="D139" s="11" t="s">
        <v>93</v>
      </c>
      <c r="E139" s="11" t="s">
        <v>74</v>
      </c>
      <c r="F139" s="11" t="s">
        <v>118</v>
      </c>
      <c r="G139" s="9">
        <v>37</v>
      </c>
      <c r="H139" s="26">
        <v>30500</v>
      </c>
      <c r="I139" s="9">
        <v>20</v>
      </c>
      <c r="J139" s="9">
        <f t="shared" si="4"/>
        <v>1128500</v>
      </c>
      <c r="K139" s="9">
        <f t="shared" si="5"/>
        <v>902800</v>
      </c>
      <c r="L139" s="11" t="s">
        <v>76</v>
      </c>
      <c r="M139" s="11" t="s">
        <v>91</v>
      </c>
      <c r="N139">
        <v>4</v>
      </c>
      <c r="O139">
        <v>2023</v>
      </c>
      <c r="P139" s="29" t="s">
        <v>716</v>
      </c>
      <c r="Q139" t="s">
        <v>736</v>
      </c>
      <c r="R139" t="s">
        <v>737</v>
      </c>
    </row>
    <row r="140" spans="1:18" x14ac:dyDescent="0.25">
      <c r="A140" s="6">
        <v>136</v>
      </c>
      <c r="B140" s="7">
        <v>45501</v>
      </c>
      <c r="C140" s="8" t="s">
        <v>124</v>
      </c>
      <c r="D140" s="8" t="s">
        <v>93</v>
      </c>
      <c r="E140" s="8" t="s">
        <v>102</v>
      </c>
      <c r="F140" s="8" t="s">
        <v>138</v>
      </c>
      <c r="G140" s="6">
        <v>43</v>
      </c>
      <c r="H140" s="25">
        <v>6800</v>
      </c>
      <c r="I140" s="6">
        <v>0</v>
      </c>
      <c r="J140" s="6">
        <f t="shared" si="4"/>
        <v>292400</v>
      </c>
      <c r="K140" s="6">
        <f t="shared" si="5"/>
        <v>292400</v>
      </c>
      <c r="L140" s="8" t="s">
        <v>187</v>
      </c>
      <c r="M140" s="8" t="s">
        <v>96</v>
      </c>
      <c r="N140">
        <v>7</v>
      </c>
      <c r="O140">
        <v>2024</v>
      </c>
      <c r="P140" s="29" t="s">
        <v>712</v>
      </c>
      <c r="Q140" t="s">
        <v>734</v>
      </c>
      <c r="R140" t="s">
        <v>737</v>
      </c>
    </row>
    <row r="141" spans="1:18" x14ac:dyDescent="0.25">
      <c r="A141" s="9">
        <v>137</v>
      </c>
      <c r="B141" s="10">
        <v>45023</v>
      </c>
      <c r="C141" s="11" t="s">
        <v>101</v>
      </c>
      <c r="D141" s="11" t="s">
        <v>117</v>
      </c>
      <c r="E141" s="11" t="s">
        <v>74</v>
      </c>
      <c r="F141" s="11" t="s">
        <v>212</v>
      </c>
      <c r="G141" s="9">
        <v>10</v>
      </c>
      <c r="H141" s="26">
        <v>7200</v>
      </c>
      <c r="I141" s="9">
        <v>0</v>
      </c>
      <c r="J141" s="9">
        <f t="shared" si="4"/>
        <v>72000</v>
      </c>
      <c r="K141" s="9">
        <f t="shared" si="5"/>
        <v>72000</v>
      </c>
      <c r="L141" s="11" t="s">
        <v>76</v>
      </c>
      <c r="M141" s="11" t="s">
        <v>91</v>
      </c>
      <c r="N141">
        <v>4</v>
      </c>
      <c r="O141">
        <v>2023</v>
      </c>
      <c r="P141" s="29" t="s">
        <v>716</v>
      </c>
      <c r="Q141" t="s">
        <v>736</v>
      </c>
      <c r="R141" t="s">
        <v>739</v>
      </c>
    </row>
    <row r="142" spans="1:18" x14ac:dyDescent="0.25">
      <c r="A142" s="6">
        <v>138</v>
      </c>
      <c r="B142" s="7">
        <v>45072</v>
      </c>
      <c r="C142" s="8" t="s">
        <v>78</v>
      </c>
      <c r="D142" s="8" t="s">
        <v>73</v>
      </c>
      <c r="E142" s="8" t="s">
        <v>102</v>
      </c>
      <c r="F142" s="8" t="s">
        <v>181</v>
      </c>
      <c r="G142" s="6">
        <v>30</v>
      </c>
      <c r="H142" s="25">
        <v>4500</v>
      </c>
      <c r="I142" s="6">
        <v>0</v>
      </c>
      <c r="J142" s="6">
        <f t="shared" si="4"/>
        <v>135000</v>
      </c>
      <c r="K142" s="6">
        <f t="shared" si="5"/>
        <v>135000</v>
      </c>
      <c r="L142" s="8" t="s">
        <v>76</v>
      </c>
      <c r="M142" s="8" t="s">
        <v>96</v>
      </c>
      <c r="N142">
        <v>5</v>
      </c>
      <c r="O142">
        <v>2023</v>
      </c>
      <c r="P142" s="29" t="s">
        <v>730</v>
      </c>
      <c r="Q142" t="s">
        <v>736</v>
      </c>
      <c r="R142" t="s">
        <v>739</v>
      </c>
    </row>
    <row r="143" spans="1:18" x14ac:dyDescent="0.25">
      <c r="A143" s="9">
        <v>139</v>
      </c>
      <c r="B143" s="10">
        <v>45259</v>
      </c>
      <c r="C143" s="11" t="s">
        <v>124</v>
      </c>
      <c r="D143" s="11" t="s">
        <v>93</v>
      </c>
      <c r="E143" s="11" t="s">
        <v>79</v>
      </c>
      <c r="F143" s="11" t="s">
        <v>136</v>
      </c>
      <c r="G143" s="9">
        <v>49</v>
      </c>
      <c r="H143" s="26">
        <v>79800</v>
      </c>
      <c r="I143" s="9">
        <v>0</v>
      </c>
      <c r="J143" s="9">
        <f t="shared" si="4"/>
        <v>3910200</v>
      </c>
      <c r="K143" s="9">
        <f t="shared" si="5"/>
        <v>3910200</v>
      </c>
      <c r="L143" s="11" t="s">
        <v>76</v>
      </c>
      <c r="M143" s="11" t="s">
        <v>77</v>
      </c>
      <c r="N143">
        <v>11</v>
      </c>
      <c r="O143">
        <v>2023</v>
      </c>
      <c r="P143" s="29" t="s">
        <v>718</v>
      </c>
      <c r="Q143" t="s">
        <v>733</v>
      </c>
      <c r="R143" t="s">
        <v>737</v>
      </c>
    </row>
    <row r="144" spans="1:18" x14ac:dyDescent="0.25">
      <c r="A144" s="6">
        <v>140</v>
      </c>
      <c r="B144" s="7">
        <v>45380</v>
      </c>
      <c r="C144" s="8" t="s">
        <v>114</v>
      </c>
      <c r="D144" s="8" t="s">
        <v>83</v>
      </c>
      <c r="E144" s="8" t="s">
        <v>102</v>
      </c>
      <c r="F144" s="8" t="s">
        <v>197</v>
      </c>
      <c r="G144" s="6">
        <v>14</v>
      </c>
      <c r="H144" s="25">
        <v>3800</v>
      </c>
      <c r="I144" s="6">
        <v>0</v>
      </c>
      <c r="J144" s="6">
        <f t="shared" si="4"/>
        <v>53200</v>
      </c>
      <c r="K144" s="6">
        <f t="shared" si="5"/>
        <v>53200</v>
      </c>
      <c r="L144" s="8" t="s">
        <v>187</v>
      </c>
      <c r="M144" s="8" t="s">
        <v>77</v>
      </c>
      <c r="N144">
        <v>3</v>
      </c>
      <c r="O144">
        <v>2024</v>
      </c>
      <c r="P144" s="29" t="s">
        <v>711</v>
      </c>
      <c r="Q144" t="s">
        <v>735</v>
      </c>
      <c r="R144" t="s">
        <v>739</v>
      </c>
    </row>
    <row r="145" spans="1:18" x14ac:dyDescent="0.25">
      <c r="A145" s="9">
        <v>141</v>
      </c>
      <c r="B145" s="10">
        <v>45367</v>
      </c>
      <c r="C145" s="11" t="s">
        <v>97</v>
      </c>
      <c r="D145" s="11" t="s">
        <v>117</v>
      </c>
      <c r="E145" s="11" t="s">
        <v>102</v>
      </c>
      <c r="F145" s="11" t="s">
        <v>197</v>
      </c>
      <c r="G145" s="9">
        <v>20</v>
      </c>
      <c r="H145" s="26">
        <v>3900</v>
      </c>
      <c r="I145" s="9">
        <v>10</v>
      </c>
      <c r="J145" s="9">
        <f t="shared" si="4"/>
        <v>78000</v>
      </c>
      <c r="K145" s="9">
        <f t="shared" si="5"/>
        <v>70200</v>
      </c>
      <c r="L145" s="11" t="s">
        <v>76</v>
      </c>
      <c r="M145" s="11" t="s">
        <v>91</v>
      </c>
      <c r="N145">
        <v>3</v>
      </c>
      <c r="O145">
        <v>2024</v>
      </c>
      <c r="P145" s="29" t="s">
        <v>711</v>
      </c>
      <c r="Q145" t="s">
        <v>735</v>
      </c>
      <c r="R145" t="s">
        <v>739</v>
      </c>
    </row>
    <row r="146" spans="1:18" x14ac:dyDescent="0.25">
      <c r="A146" s="6">
        <v>142</v>
      </c>
      <c r="B146" s="7">
        <v>44983</v>
      </c>
      <c r="C146" s="8" t="s">
        <v>78</v>
      </c>
      <c r="D146" s="8" t="s">
        <v>109</v>
      </c>
      <c r="E146" s="8" t="s">
        <v>74</v>
      </c>
      <c r="F146" s="8" t="s">
        <v>75</v>
      </c>
      <c r="G146" s="6">
        <v>49</v>
      </c>
      <c r="H146" s="25">
        <v>24000</v>
      </c>
      <c r="I146" s="6">
        <v>0</v>
      </c>
      <c r="J146" s="6">
        <f t="shared" si="4"/>
        <v>1176000</v>
      </c>
      <c r="K146" s="6">
        <f t="shared" si="5"/>
        <v>1176000</v>
      </c>
      <c r="L146" s="8" t="s">
        <v>76</v>
      </c>
      <c r="M146" s="8" t="s">
        <v>96</v>
      </c>
      <c r="N146">
        <v>2</v>
      </c>
      <c r="O146">
        <v>2023</v>
      </c>
      <c r="P146" s="29" t="s">
        <v>717</v>
      </c>
      <c r="Q146" t="s">
        <v>735</v>
      </c>
      <c r="R146" t="s">
        <v>737</v>
      </c>
    </row>
    <row r="147" spans="1:18" x14ac:dyDescent="0.25">
      <c r="A147" s="9">
        <v>143</v>
      </c>
      <c r="B147" s="10">
        <v>45139</v>
      </c>
      <c r="C147" s="11" t="s">
        <v>119</v>
      </c>
      <c r="D147" s="11" t="s">
        <v>83</v>
      </c>
      <c r="E147" s="11" t="s">
        <v>84</v>
      </c>
      <c r="F147" s="11" t="s">
        <v>128</v>
      </c>
      <c r="G147" s="9">
        <v>46</v>
      </c>
      <c r="H147" s="26">
        <v>4200</v>
      </c>
      <c r="I147" s="9">
        <v>0</v>
      </c>
      <c r="J147" s="9">
        <f t="shared" si="4"/>
        <v>193200</v>
      </c>
      <c r="K147" s="9">
        <f t="shared" si="5"/>
        <v>193200</v>
      </c>
      <c r="L147" s="11" t="s">
        <v>76</v>
      </c>
      <c r="M147" s="11" t="s">
        <v>96</v>
      </c>
      <c r="N147">
        <v>8</v>
      </c>
      <c r="O147">
        <v>2023</v>
      </c>
      <c r="P147" s="29" t="s">
        <v>713</v>
      </c>
      <c r="Q147" t="s">
        <v>734</v>
      </c>
      <c r="R147" t="s">
        <v>739</v>
      </c>
    </row>
    <row r="148" spans="1:18" x14ac:dyDescent="0.25">
      <c r="A148" s="6">
        <v>144</v>
      </c>
      <c r="B148" s="7">
        <v>45598</v>
      </c>
      <c r="C148" s="8" t="s">
        <v>78</v>
      </c>
      <c r="D148" s="8" t="s">
        <v>83</v>
      </c>
      <c r="E148" s="8" t="s">
        <v>79</v>
      </c>
      <c r="F148" s="8" t="s">
        <v>172</v>
      </c>
      <c r="G148" s="6">
        <v>21</v>
      </c>
      <c r="H148" s="25">
        <v>28300</v>
      </c>
      <c r="I148" s="6">
        <v>15</v>
      </c>
      <c r="J148" s="6">
        <f t="shared" si="4"/>
        <v>594300</v>
      </c>
      <c r="K148" s="6">
        <f t="shared" si="5"/>
        <v>505155</v>
      </c>
      <c r="L148" s="8" t="s">
        <v>76</v>
      </c>
      <c r="M148" s="8" t="s">
        <v>91</v>
      </c>
      <c r="N148">
        <v>11</v>
      </c>
      <c r="O148">
        <v>2024</v>
      </c>
      <c r="P148" s="29" t="s">
        <v>714</v>
      </c>
      <c r="Q148" t="s">
        <v>733</v>
      </c>
      <c r="R148" t="s">
        <v>737</v>
      </c>
    </row>
    <row r="149" spans="1:18" x14ac:dyDescent="0.25">
      <c r="A149" s="9">
        <v>145</v>
      </c>
      <c r="B149" s="10">
        <v>45582</v>
      </c>
      <c r="C149" s="11" t="s">
        <v>114</v>
      </c>
      <c r="D149" s="11" t="s">
        <v>117</v>
      </c>
      <c r="E149" s="11" t="s">
        <v>79</v>
      </c>
      <c r="F149" s="11" t="s">
        <v>115</v>
      </c>
      <c r="G149" s="9">
        <v>21</v>
      </c>
      <c r="H149" s="26">
        <v>8100</v>
      </c>
      <c r="I149" s="9">
        <v>20</v>
      </c>
      <c r="J149" s="9">
        <f t="shared" si="4"/>
        <v>170100</v>
      </c>
      <c r="K149" s="9">
        <f t="shared" si="5"/>
        <v>136080</v>
      </c>
      <c r="L149" s="11" t="s">
        <v>76</v>
      </c>
      <c r="M149" s="11" t="s">
        <v>91</v>
      </c>
      <c r="N149">
        <v>10</v>
      </c>
      <c r="O149">
        <v>2024</v>
      </c>
      <c r="P149" s="29" t="s">
        <v>709</v>
      </c>
      <c r="Q149" t="s">
        <v>733</v>
      </c>
      <c r="R149" t="s">
        <v>739</v>
      </c>
    </row>
    <row r="150" spans="1:18" x14ac:dyDescent="0.25">
      <c r="A150" s="6">
        <v>146</v>
      </c>
      <c r="B150" s="7">
        <v>45485</v>
      </c>
      <c r="C150" s="8" t="s">
        <v>88</v>
      </c>
      <c r="D150" s="8" t="s">
        <v>73</v>
      </c>
      <c r="E150" s="8" t="s">
        <v>111</v>
      </c>
      <c r="F150" s="8" t="s">
        <v>112</v>
      </c>
      <c r="G150" s="6">
        <v>38</v>
      </c>
      <c r="H150" s="25">
        <v>62500</v>
      </c>
      <c r="I150" s="6">
        <v>5</v>
      </c>
      <c r="J150" s="6">
        <f t="shared" si="4"/>
        <v>2375000</v>
      </c>
      <c r="K150" s="6">
        <f t="shared" si="5"/>
        <v>2256250</v>
      </c>
      <c r="L150" s="8" t="s">
        <v>76</v>
      </c>
      <c r="M150" s="8" t="s">
        <v>77</v>
      </c>
      <c r="N150">
        <v>7</v>
      </c>
      <c r="O150">
        <v>2024</v>
      </c>
      <c r="P150" s="29" t="s">
        <v>712</v>
      </c>
      <c r="Q150" t="s">
        <v>734</v>
      </c>
      <c r="R150" t="s">
        <v>737</v>
      </c>
    </row>
    <row r="151" spans="1:18" x14ac:dyDescent="0.25">
      <c r="A151" s="9">
        <v>147</v>
      </c>
      <c r="B151" s="10">
        <v>45244</v>
      </c>
      <c r="C151" s="11" t="s">
        <v>88</v>
      </c>
      <c r="D151" s="11" t="s">
        <v>109</v>
      </c>
      <c r="E151" s="11" t="s">
        <v>74</v>
      </c>
      <c r="F151" s="11" t="s">
        <v>142</v>
      </c>
      <c r="G151" s="9">
        <v>41</v>
      </c>
      <c r="H151" s="26">
        <v>11000</v>
      </c>
      <c r="I151" s="9">
        <v>20</v>
      </c>
      <c r="J151" s="9">
        <f t="shared" si="4"/>
        <v>451000</v>
      </c>
      <c r="K151" s="9">
        <f t="shared" si="5"/>
        <v>360800</v>
      </c>
      <c r="L151" s="11" t="s">
        <v>76</v>
      </c>
      <c r="M151" s="11" t="s">
        <v>81</v>
      </c>
      <c r="N151">
        <v>11</v>
      </c>
      <c r="O151">
        <v>2023</v>
      </c>
      <c r="P151" s="29" t="s">
        <v>718</v>
      </c>
      <c r="Q151" t="s">
        <v>733</v>
      </c>
      <c r="R151" t="s">
        <v>737</v>
      </c>
    </row>
    <row r="152" spans="1:18" x14ac:dyDescent="0.25">
      <c r="A152" s="6">
        <v>148</v>
      </c>
      <c r="B152" s="7">
        <v>45284</v>
      </c>
      <c r="C152" s="8" t="s">
        <v>88</v>
      </c>
      <c r="D152" s="8" t="s">
        <v>109</v>
      </c>
      <c r="E152" s="8" t="s">
        <v>84</v>
      </c>
      <c r="F152" s="8" t="s">
        <v>150</v>
      </c>
      <c r="G152" s="6">
        <v>13</v>
      </c>
      <c r="H152" s="25">
        <v>5200</v>
      </c>
      <c r="I152" s="6">
        <v>20</v>
      </c>
      <c r="J152" s="6">
        <f t="shared" si="4"/>
        <v>67600</v>
      </c>
      <c r="K152" s="6">
        <f t="shared" si="5"/>
        <v>54080</v>
      </c>
      <c r="L152" s="8" t="s">
        <v>76</v>
      </c>
      <c r="M152" s="8" t="s">
        <v>81</v>
      </c>
      <c r="N152">
        <v>12</v>
      </c>
      <c r="O152">
        <v>2023</v>
      </c>
      <c r="P152" s="29" t="s">
        <v>725</v>
      </c>
      <c r="Q152" t="s">
        <v>733</v>
      </c>
      <c r="R152" t="s">
        <v>739</v>
      </c>
    </row>
    <row r="153" spans="1:18" x14ac:dyDescent="0.25">
      <c r="A153" s="9">
        <v>149</v>
      </c>
      <c r="B153" s="10">
        <v>45333</v>
      </c>
      <c r="C153" s="11" t="s">
        <v>97</v>
      </c>
      <c r="D153" s="11" t="s">
        <v>109</v>
      </c>
      <c r="E153" s="11" t="s">
        <v>111</v>
      </c>
      <c r="F153" s="11" t="s">
        <v>159</v>
      </c>
      <c r="G153" s="9">
        <v>49</v>
      </c>
      <c r="H153" s="26">
        <v>13100</v>
      </c>
      <c r="I153" s="9">
        <v>20</v>
      </c>
      <c r="J153" s="9">
        <f t="shared" si="4"/>
        <v>641900</v>
      </c>
      <c r="K153" s="9">
        <f t="shared" si="5"/>
        <v>513520</v>
      </c>
      <c r="L153" s="11" t="s">
        <v>76</v>
      </c>
      <c r="M153" s="11" t="s">
        <v>96</v>
      </c>
      <c r="N153">
        <v>2</v>
      </c>
      <c r="O153">
        <v>2024</v>
      </c>
      <c r="P153" s="29" t="s">
        <v>729</v>
      </c>
      <c r="Q153" t="s">
        <v>735</v>
      </c>
      <c r="R153" t="s">
        <v>737</v>
      </c>
    </row>
    <row r="154" spans="1:18" x14ac:dyDescent="0.25">
      <c r="A154" s="6">
        <v>150</v>
      </c>
      <c r="B154" s="7">
        <v>45392</v>
      </c>
      <c r="C154" s="8" t="s">
        <v>88</v>
      </c>
      <c r="D154" s="8" t="s">
        <v>109</v>
      </c>
      <c r="E154" s="8" t="s">
        <v>111</v>
      </c>
      <c r="F154" s="8" t="s">
        <v>112</v>
      </c>
      <c r="G154" s="6">
        <v>41</v>
      </c>
      <c r="H154" s="25">
        <v>66100</v>
      </c>
      <c r="I154" s="6">
        <v>10</v>
      </c>
      <c r="J154" s="6">
        <f t="shared" si="4"/>
        <v>2710100</v>
      </c>
      <c r="K154" s="6">
        <f t="shared" si="5"/>
        <v>2439090</v>
      </c>
      <c r="L154" s="8" t="s">
        <v>76</v>
      </c>
      <c r="M154" s="8" t="s">
        <v>96</v>
      </c>
      <c r="N154">
        <v>4</v>
      </c>
      <c r="O154">
        <v>2024</v>
      </c>
      <c r="P154" s="29" t="s">
        <v>722</v>
      </c>
      <c r="Q154" t="s">
        <v>736</v>
      </c>
      <c r="R154" t="s">
        <v>737</v>
      </c>
    </row>
    <row r="155" spans="1:18" x14ac:dyDescent="0.25">
      <c r="A155" s="9">
        <v>151</v>
      </c>
      <c r="B155" s="10">
        <v>44984</v>
      </c>
      <c r="C155" s="11" t="s">
        <v>88</v>
      </c>
      <c r="D155" s="11" t="s">
        <v>93</v>
      </c>
      <c r="E155" s="11" t="s">
        <v>79</v>
      </c>
      <c r="F155" s="11" t="s">
        <v>179</v>
      </c>
      <c r="G155" s="9">
        <v>3</v>
      </c>
      <c r="H155" s="26">
        <v>2500</v>
      </c>
      <c r="I155" s="9">
        <v>0</v>
      </c>
      <c r="J155" s="9">
        <f t="shared" si="4"/>
        <v>7500</v>
      </c>
      <c r="K155" s="9">
        <f t="shared" si="5"/>
        <v>7500</v>
      </c>
      <c r="L155" s="11" t="s">
        <v>76</v>
      </c>
      <c r="M155" s="11" t="s">
        <v>96</v>
      </c>
      <c r="N155">
        <v>2</v>
      </c>
      <c r="O155">
        <v>2023</v>
      </c>
      <c r="P155" s="29" t="s">
        <v>717</v>
      </c>
      <c r="Q155" t="s">
        <v>735</v>
      </c>
      <c r="R155" t="s">
        <v>738</v>
      </c>
    </row>
    <row r="156" spans="1:18" x14ac:dyDescent="0.25">
      <c r="A156" s="6">
        <v>152</v>
      </c>
      <c r="B156" s="7">
        <v>45587</v>
      </c>
      <c r="C156" s="8" t="s">
        <v>97</v>
      </c>
      <c r="D156" s="8" t="s">
        <v>93</v>
      </c>
      <c r="E156" s="8" t="s">
        <v>102</v>
      </c>
      <c r="F156" s="8" t="s">
        <v>151</v>
      </c>
      <c r="G156" s="6">
        <v>36</v>
      </c>
      <c r="H156" s="25">
        <v>7600</v>
      </c>
      <c r="I156" s="6">
        <v>5</v>
      </c>
      <c r="J156" s="6">
        <f t="shared" si="4"/>
        <v>273600</v>
      </c>
      <c r="K156" s="6">
        <f t="shared" si="5"/>
        <v>259920</v>
      </c>
      <c r="L156" s="8" t="s">
        <v>123</v>
      </c>
      <c r="M156" s="8" t="s">
        <v>77</v>
      </c>
      <c r="N156">
        <v>10</v>
      </c>
      <c r="O156">
        <v>2024</v>
      </c>
      <c r="P156" s="29" t="s">
        <v>709</v>
      </c>
      <c r="Q156" t="s">
        <v>733</v>
      </c>
      <c r="R156" t="s">
        <v>737</v>
      </c>
    </row>
    <row r="157" spans="1:18" x14ac:dyDescent="0.25">
      <c r="A157" s="9">
        <v>153</v>
      </c>
      <c r="B157" s="10">
        <v>45512</v>
      </c>
      <c r="C157" s="11" t="s">
        <v>106</v>
      </c>
      <c r="D157" s="11" t="s">
        <v>117</v>
      </c>
      <c r="E157" s="11" t="s">
        <v>102</v>
      </c>
      <c r="F157" s="11" t="s">
        <v>197</v>
      </c>
      <c r="G157" s="9">
        <v>4</v>
      </c>
      <c r="H157" s="26">
        <v>3900</v>
      </c>
      <c r="I157" s="9">
        <v>15</v>
      </c>
      <c r="J157" s="9">
        <f t="shared" si="4"/>
        <v>15600</v>
      </c>
      <c r="K157" s="9">
        <f t="shared" si="5"/>
        <v>13260</v>
      </c>
      <c r="L157" s="11" t="s">
        <v>76</v>
      </c>
      <c r="M157" s="11" t="s">
        <v>96</v>
      </c>
      <c r="N157">
        <v>8</v>
      </c>
      <c r="O157">
        <v>2024</v>
      </c>
      <c r="P157" s="29" t="s">
        <v>710</v>
      </c>
      <c r="Q157" t="s">
        <v>734</v>
      </c>
      <c r="R157" t="s">
        <v>738</v>
      </c>
    </row>
    <row r="158" spans="1:18" x14ac:dyDescent="0.25">
      <c r="A158" s="6">
        <v>154</v>
      </c>
      <c r="B158" s="7">
        <v>45013</v>
      </c>
      <c r="C158" s="8" t="s">
        <v>82</v>
      </c>
      <c r="D158" s="8" t="s">
        <v>109</v>
      </c>
      <c r="E158" s="8" t="s">
        <v>79</v>
      </c>
      <c r="F158" s="8" t="s">
        <v>80</v>
      </c>
      <c r="G158" s="6">
        <v>29</v>
      </c>
      <c r="H158" s="25">
        <v>9200</v>
      </c>
      <c r="I158" s="6">
        <v>0</v>
      </c>
      <c r="J158" s="6">
        <f t="shared" si="4"/>
        <v>266800</v>
      </c>
      <c r="K158" s="6">
        <f t="shared" si="5"/>
        <v>266800</v>
      </c>
      <c r="L158" s="8" t="s">
        <v>76</v>
      </c>
      <c r="M158" s="8" t="s">
        <v>81</v>
      </c>
      <c r="N158">
        <v>3</v>
      </c>
      <c r="O158">
        <v>2023</v>
      </c>
      <c r="P158" s="29" t="s">
        <v>719</v>
      </c>
      <c r="Q158" t="s">
        <v>735</v>
      </c>
      <c r="R158" t="s">
        <v>737</v>
      </c>
    </row>
    <row r="159" spans="1:18" x14ac:dyDescent="0.25">
      <c r="A159" s="9">
        <v>155</v>
      </c>
      <c r="B159" s="10">
        <v>45308</v>
      </c>
      <c r="C159" s="11" t="s">
        <v>101</v>
      </c>
      <c r="D159" s="11" t="s">
        <v>83</v>
      </c>
      <c r="E159" s="11" t="s">
        <v>111</v>
      </c>
      <c r="F159" s="11" t="s">
        <v>132</v>
      </c>
      <c r="G159" s="9">
        <v>4</v>
      </c>
      <c r="H159" s="26">
        <v>8000</v>
      </c>
      <c r="I159" s="6">
        <v>0</v>
      </c>
      <c r="J159" s="9">
        <f t="shared" si="4"/>
        <v>32000</v>
      </c>
      <c r="K159" s="9">
        <f t="shared" si="5"/>
        <v>32000</v>
      </c>
      <c r="L159" s="11" t="s">
        <v>187</v>
      </c>
      <c r="M159" s="11" t="s">
        <v>96</v>
      </c>
      <c r="N159">
        <v>1</v>
      </c>
      <c r="O159">
        <v>2024</v>
      </c>
      <c r="P159" s="29" t="s">
        <v>727</v>
      </c>
      <c r="Q159" t="s">
        <v>735</v>
      </c>
      <c r="R159" t="s">
        <v>738</v>
      </c>
    </row>
    <row r="160" spans="1:18" x14ac:dyDescent="0.25">
      <c r="A160" s="6">
        <v>156</v>
      </c>
      <c r="B160" s="7">
        <v>45264</v>
      </c>
      <c r="C160" s="8" t="s">
        <v>97</v>
      </c>
      <c r="D160" s="8" t="s">
        <v>93</v>
      </c>
      <c r="E160" s="8" t="s">
        <v>111</v>
      </c>
      <c r="F160" s="8" t="s">
        <v>135</v>
      </c>
      <c r="G160" s="6">
        <v>43</v>
      </c>
      <c r="H160" s="25">
        <v>110700</v>
      </c>
      <c r="I160" s="6">
        <v>0</v>
      </c>
      <c r="J160" s="6">
        <f t="shared" si="4"/>
        <v>4760100</v>
      </c>
      <c r="K160" s="6">
        <f t="shared" si="5"/>
        <v>4760100</v>
      </c>
      <c r="L160" s="8" t="s">
        <v>123</v>
      </c>
      <c r="M160" s="8" t="s">
        <v>81</v>
      </c>
      <c r="N160">
        <v>12</v>
      </c>
      <c r="O160">
        <v>2023</v>
      </c>
      <c r="P160" s="29" t="s">
        <v>725</v>
      </c>
      <c r="Q160" t="s">
        <v>733</v>
      </c>
      <c r="R160" t="s">
        <v>737</v>
      </c>
    </row>
    <row r="161" spans="1:18" x14ac:dyDescent="0.25">
      <c r="A161" s="9">
        <v>157</v>
      </c>
      <c r="B161" s="10">
        <v>45010</v>
      </c>
      <c r="C161" s="11" t="s">
        <v>124</v>
      </c>
      <c r="D161" s="11" t="s">
        <v>109</v>
      </c>
      <c r="E161" s="11" t="s">
        <v>74</v>
      </c>
      <c r="F161" s="11" t="s">
        <v>190</v>
      </c>
      <c r="G161" s="9">
        <v>45</v>
      </c>
      <c r="H161" s="26">
        <v>36500</v>
      </c>
      <c r="I161" s="9">
        <v>10</v>
      </c>
      <c r="J161" s="9">
        <f t="shared" si="4"/>
        <v>1642500</v>
      </c>
      <c r="K161" s="9">
        <f t="shared" si="5"/>
        <v>1478250</v>
      </c>
      <c r="L161" s="11" t="s">
        <v>187</v>
      </c>
      <c r="M161" s="11" t="s">
        <v>81</v>
      </c>
      <c r="N161">
        <v>3</v>
      </c>
      <c r="O161">
        <v>2023</v>
      </c>
      <c r="P161" s="29" t="s">
        <v>719</v>
      </c>
      <c r="Q161" t="s">
        <v>735</v>
      </c>
      <c r="R161" t="s">
        <v>737</v>
      </c>
    </row>
    <row r="162" spans="1:18" x14ac:dyDescent="0.25">
      <c r="A162" s="6">
        <v>158</v>
      </c>
      <c r="B162" s="7">
        <v>45652</v>
      </c>
      <c r="C162" s="8" t="s">
        <v>97</v>
      </c>
      <c r="D162" s="8" t="s">
        <v>117</v>
      </c>
      <c r="E162" s="8" t="s">
        <v>102</v>
      </c>
      <c r="F162" s="8" t="s">
        <v>151</v>
      </c>
      <c r="G162" s="6">
        <v>22</v>
      </c>
      <c r="H162" s="25">
        <v>8000</v>
      </c>
      <c r="I162" s="6">
        <v>15</v>
      </c>
      <c r="J162" s="6">
        <f t="shared" si="4"/>
        <v>176000</v>
      </c>
      <c r="K162" s="6">
        <f t="shared" si="5"/>
        <v>149600</v>
      </c>
      <c r="L162" s="8" t="s">
        <v>187</v>
      </c>
      <c r="M162" s="8" t="s">
        <v>77</v>
      </c>
      <c r="N162">
        <v>12</v>
      </c>
      <c r="O162">
        <v>2024</v>
      </c>
      <c r="P162" s="29" t="s">
        <v>728</v>
      </c>
      <c r="Q162" t="s">
        <v>733</v>
      </c>
      <c r="R162" t="s">
        <v>739</v>
      </c>
    </row>
    <row r="163" spans="1:18" x14ac:dyDescent="0.25">
      <c r="A163" s="9">
        <v>159</v>
      </c>
      <c r="B163" s="10">
        <v>45613</v>
      </c>
      <c r="C163" s="11" t="s">
        <v>114</v>
      </c>
      <c r="D163" s="11" t="s">
        <v>93</v>
      </c>
      <c r="E163" s="11" t="s">
        <v>74</v>
      </c>
      <c r="F163" s="11" t="s">
        <v>94</v>
      </c>
      <c r="G163" s="9">
        <v>12</v>
      </c>
      <c r="H163" s="26">
        <v>34700</v>
      </c>
      <c r="I163" s="9">
        <v>20</v>
      </c>
      <c r="J163" s="9">
        <f t="shared" si="4"/>
        <v>416400</v>
      </c>
      <c r="K163" s="9">
        <f t="shared" si="5"/>
        <v>333120</v>
      </c>
      <c r="L163" s="11" t="s">
        <v>123</v>
      </c>
      <c r="M163" s="11" t="s">
        <v>96</v>
      </c>
      <c r="N163">
        <v>11</v>
      </c>
      <c r="O163">
        <v>2024</v>
      </c>
      <c r="P163" s="29" t="s">
        <v>714</v>
      </c>
      <c r="Q163" t="s">
        <v>733</v>
      </c>
      <c r="R163" t="s">
        <v>737</v>
      </c>
    </row>
    <row r="164" spans="1:18" x14ac:dyDescent="0.25">
      <c r="A164" s="6">
        <v>160</v>
      </c>
      <c r="B164" s="7">
        <v>45631</v>
      </c>
      <c r="C164" s="8" t="s">
        <v>106</v>
      </c>
      <c r="D164" s="8" t="s">
        <v>109</v>
      </c>
      <c r="E164" s="8" t="s">
        <v>84</v>
      </c>
      <c r="F164" s="8" t="s">
        <v>128</v>
      </c>
      <c r="G164" s="6">
        <v>7</v>
      </c>
      <c r="H164" s="25">
        <v>3900</v>
      </c>
      <c r="I164" s="6">
        <v>15</v>
      </c>
      <c r="J164" s="6">
        <f t="shared" si="4"/>
        <v>27300</v>
      </c>
      <c r="K164" s="6">
        <f t="shared" si="5"/>
        <v>23205</v>
      </c>
      <c r="L164" s="8" t="s">
        <v>76</v>
      </c>
      <c r="M164" s="8" t="s">
        <v>77</v>
      </c>
      <c r="N164">
        <v>12</v>
      </c>
      <c r="O164">
        <v>2024</v>
      </c>
      <c r="P164" s="29" t="s">
        <v>728</v>
      </c>
      <c r="Q164" t="s">
        <v>733</v>
      </c>
      <c r="R164" t="s">
        <v>738</v>
      </c>
    </row>
    <row r="165" spans="1:18" x14ac:dyDescent="0.25">
      <c r="A165" s="9">
        <v>161</v>
      </c>
      <c r="B165" s="10">
        <v>45242</v>
      </c>
      <c r="C165" s="11" t="s">
        <v>124</v>
      </c>
      <c r="D165" s="11" t="s">
        <v>109</v>
      </c>
      <c r="E165" s="11" t="s">
        <v>102</v>
      </c>
      <c r="F165" s="11" t="s">
        <v>151</v>
      </c>
      <c r="G165" s="9">
        <v>12</v>
      </c>
      <c r="H165" s="26">
        <v>7000</v>
      </c>
      <c r="I165" s="9">
        <v>15</v>
      </c>
      <c r="J165" s="9">
        <f t="shared" si="4"/>
        <v>84000</v>
      </c>
      <c r="K165" s="9">
        <f t="shared" si="5"/>
        <v>71400</v>
      </c>
      <c r="L165" s="11" t="s">
        <v>187</v>
      </c>
      <c r="M165" s="11" t="s">
        <v>81</v>
      </c>
      <c r="N165">
        <v>11</v>
      </c>
      <c r="O165">
        <v>2023</v>
      </c>
      <c r="P165" s="29" t="s">
        <v>718</v>
      </c>
      <c r="Q165" t="s">
        <v>733</v>
      </c>
      <c r="R165" t="s">
        <v>739</v>
      </c>
    </row>
    <row r="166" spans="1:18" x14ac:dyDescent="0.25">
      <c r="A166" s="6">
        <v>162</v>
      </c>
      <c r="B166" s="7">
        <v>45375</v>
      </c>
      <c r="C166" s="8" t="s">
        <v>78</v>
      </c>
      <c r="D166" s="8" t="s">
        <v>83</v>
      </c>
      <c r="E166" s="8" t="s">
        <v>74</v>
      </c>
      <c r="F166" s="8" t="s">
        <v>75</v>
      </c>
      <c r="G166" s="6">
        <v>40</v>
      </c>
      <c r="H166" s="25">
        <v>25100</v>
      </c>
      <c r="I166" s="6">
        <v>0</v>
      </c>
      <c r="J166" s="6">
        <f t="shared" si="4"/>
        <v>1004000</v>
      </c>
      <c r="K166" s="6">
        <f t="shared" si="5"/>
        <v>1004000</v>
      </c>
      <c r="L166" s="8" t="s">
        <v>76</v>
      </c>
      <c r="M166" s="8" t="s">
        <v>91</v>
      </c>
      <c r="N166">
        <v>3</v>
      </c>
      <c r="O166">
        <v>2024</v>
      </c>
      <c r="P166" s="29" t="s">
        <v>711</v>
      </c>
      <c r="Q166" t="s">
        <v>735</v>
      </c>
      <c r="R166" t="s">
        <v>737</v>
      </c>
    </row>
    <row r="167" spans="1:18" x14ac:dyDescent="0.25">
      <c r="A167" s="9">
        <v>163</v>
      </c>
      <c r="B167" s="10">
        <v>45473</v>
      </c>
      <c r="C167" s="11" t="s">
        <v>106</v>
      </c>
      <c r="D167" s="11" t="s">
        <v>117</v>
      </c>
      <c r="E167" s="11" t="s">
        <v>111</v>
      </c>
      <c r="F167" s="11" t="s">
        <v>156</v>
      </c>
      <c r="G167" s="9">
        <v>37</v>
      </c>
      <c r="H167" s="26">
        <v>41700</v>
      </c>
      <c r="I167" s="9">
        <v>20</v>
      </c>
      <c r="J167" s="9">
        <f t="shared" si="4"/>
        <v>1542900</v>
      </c>
      <c r="K167" s="9">
        <f t="shared" si="5"/>
        <v>1234320</v>
      </c>
      <c r="L167" s="11" t="s">
        <v>123</v>
      </c>
      <c r="M167" s="11" t="s">
        <v>91</v>
      </c>
      <c r="N167">
        <v>6</v>
      </c>
      <c r="O167">
        <v>2024</v>
      </c>
      <c r="P167" s="29" t="s">
        <v>720</v>
      </c>
      <c r="Q167" t="s">
        <v>736</v>
      </c>
      <c r="R167" t="s">
        <v>737</v>
      </c>
    </row>
    <row r="168" spans="1:18" x14ac:dyDescent="0.25">
      <c r="A168" s="6">
        <v>164</v>
      </c>
      <c r="B168" s="7">
        <v>45215</v>
      </c>
      <c r="C168" s="8" t="s">
        <v>114</v>
      </c>
      <c r="D168" s="8" t="s">
        <v>93</v>
      </c>
      <c r="E168" s="8" t="s">
        <v>102</v>
      </c>
      <c r="F168" s="8" t="s">
        <v>151</v>
      </c>
      <c r="G168" s="6">
        <v>13</v>
      </c>
      <c r="H168" s="25">
        <v>8600</v>
      </c>
      <c r="I168" s="6">
        <v>20</v>
      </c>
      <c r="J168" s="6">
        <f t="shared" si="4"/>
        <v>111800</v>
      </c>
      <c r="K168" s="6">
        <f t="shared" si="5"/>
        <v>89440</v>
      </c>
      <c r="L168" s="8" t="s">
        <v>187</v>
      </c>
      <c r="M168" s="8" t="s">
        <v>81</v>
      </c>
      <c r="N168">
        <v>10</v>
      </c>
      <c r="O168">
        <v>2023</v>
      </c>
      <c r="P168" s="29" t="s">
        <v>726</v>
      </c>
      <c r="Q168" t="s">
        <v>733</v>
      </c>
      <c r="R168" t="s">
        <v>739</v>
      </c>
    </row>
    <row r="169" spans="1:18" x14ac:dyDescent="0.25">
      <c r="A169" s="9">
        <v>165</v>
      </c>
      <c r="B169" s="10">
        <v>45183</v>
      </c>
      <c r="C169" s="11" t="s">
        <v>78</v>
      </c>
      <c r="D169" s="11" t="s">
        <v>83</v>
      </c>
      <c r="E169" s="11" t="s">
        <v>74</v>
      </c>
      <c r="F169" s="11" t="s">
        <v>118</v>
      </c>
      <c r="G169" s="9">
        <v>34</v>
      </c>
      <c r="H169" s="26">
        <v>30200</v>
      </c>
      <c r="I169" s="9">
        <v>0</v>
      </c>
      <c r="J169" s="9">
        <f t="shared" si="4"/>
        <v>1026800</v>
      </c>
      <c r="K169" s="9">
        <f t="shared" si="5"/>
        <v>1026800</v>
      </c>
      <c r="L169" s="11" t="s">
        <v>107</v>
      </c>
      <c r="M169" s="31" t="s">
        <v>695</v>
      </c>
      <c r="N169">
        <v>9</v>
      </c>
      <c r="O169">
        <v>2023</v>
      </c>
      <c r="P169" s="29" t="s">
        <v>715</v>
      </c>
      <c r="Q169" t="s">
        <v>734</v>
      </c>
      <c r="R169" t="s">
        <v>737</v>
      </c>
    </row>
    <row r="170" spans="1:18" x14ac:dyDescent="0.25">
      <c r="A170" s="6">
        <v>166</v>
      </c>
      <c r="B170" s="7">
        <v>45091</v>
      </c>
      <c r="C170" s="8" t="s">
        <v>101</v>
      </c>
      <c r="D170" s="8" t="s">
        <v>83</v>
      </c>
      <c r="E170" s="8" t="s">
        <v>102</v>
      </c>
      <c r="F170" s="8" t="s">
        <v>103</v>
      </c>
      <c r="G170" s="6">
        <v>6</v>
      </c>
      <c r="H170" s="25">
        <v>10900</v>
      </c>
      <c r="I170" s="6">
        <v>20</v>
      </c>
      <c r="J170" s="6">
        <f t="shared" si="4"/>
        <v>65400</v>
      </c>
      <c r="K170" s="6">
        <f t="shared" si="5"/>
        <v>52320</v>
      </c>
      <c r="L170" s="8" t="s">
        <v>123</v>
      </c>
      <c r="M170" s="8" t="s">
        <v>81</v>
      </c>
      <c r="N170">
        <v>6</v>
      </c>
      <c r="O170">
        <v>2023</v>
      </c>
      <c r="P170" s="29" t="s">
        <v>723</v>
      </c>
      <c r="Q170" t="s">
        <v>736</v>
      </c>
      <c r="R170" t="s">
        <v>739</v>
      </c>
    </row>
    <row r="171" spans="1:18" x14ac:dyDescent="0.25">
      <c r="A171" s="9">
        <v>167</v>
      </c>
      <c r="B171" s="10">
        <v>45447</v>
      </c>
      <c r="C171" s="11" t="s">
        <v>88</v>
      </c>
      <c r="D171" s="11" t="s">
        <v>73</v>
      </c>
      <c r="E171" s="11" t="s">
        <v>111</v>
      </c>
      <c r="F171" s="11" t="s">
        <v>192</v>
      </c>
      <c r="G171" s="9">
        <v>24</v>
      </c>
      <c r="H171" s="26">
        <v>94900</v>
      </c>
      <c r="I171" s="9">
        <v>0</v>
      </c>
      <c r="J171" s="9">
        <f t="shared" si="4"/>
        <v>2277600</v>
      </c>
      <c r="K171" s="9">
        <f t="shared" si="5"/>
        <v>2277600</v>
      </c>
      <c r="L171" s="11" t="s">
        <v>76</v>
      </c>
      <c r="M171" s="11" t="s">
        <v>77</v>
      </c>
      <c r="N171">
        <v>6</v>
      </c>
      <c r="O171">
        <v>2024</v>
      </c>
      <c r="P171" s="29" t="s">
        <v>720</v>
      </c>
      <c r="Q171" t="s">
        <v>736</v>
      </c>
      <c r="R171" t="s">
        <v>737</v>
      </c>
    </row>
    <row r="172" spans="1:18" x14ac:dyDescent="0.25">
      <c r="A172" s="6">
        <v>168</v>
      </c>
      <c r="B172" s="7">
        <v>45156</v>
      </c>
      <c r="C172" s="8" t="s">
        <v>78</v>
      </c>
      <c r="D172" s="8" t="s">
        <v>117</v>
      </c>
      <c r="E172" s="8" t="s">
        <v>79</v>
      </c>
      <c r="F172" s="8" t="s">
        <v>120</v>
      </c>
      <c r="G172" s="6">
        <v>9</v>
      </c>
      <c r="H172" s="25">
        <v>6600</v>
      </c>
      <c r="I172" s="6">
        <v>15</v>
      </c>
      <c r="J172" s="6">
        <f t="shared" si="4"/>
        <v>59400</v>
      </c>
      <c r="K172" s="6">
        <f t="shared" si="5"/>
        <v>50490</v>
      </c>
      <c r="L172" s="8" t="s">
        <v>76</v>
      </c>
      <c r="M172" s="8" t="s">
        <v>91</v>
      </c>
      <c r="N172">
        <v>8</v>
      </c>
      <c r="O172">
        <v>2023</v>
      </c>
      <c r="P172" s="29" t="s">
        <v>713</v>
      </c>
      <c r="Q172" t="s">
        <v>734</v>
      </c>
      <c r="R172" t="s">
        <v>739</v>
      </c>
    </row>
    <row r="173" spans="1:18" x14ac:dyDescent="0.25">
      <c r="A173" s="9">
        <v>169</v>
      </c>
      <c r="B173" s="10">
        <v>45069</v>
      </c>
      <c r="C173" s="11" t="s">
        <v>119</v>
      </c>
      <c r="D173" s="11" t="s">
        <v>83</v>
      </c>
      <c r="E173" s="11" t="s">
        <v>102</v>
      </c>
      <c r="F173" s="11" t="s">
        <v>138</v>
      </c>
      <c r="G173" s="9">
        <v>2</v>
      </c>
      <c r="H173" s="26">
        <v>7300</v>
      </c>
      <c r="I173" s="9">
        <v>10</v>
      </c>
      <c r="J173" s="9">
        <f t="shared" si="4"/>
        <v>14600</v>
      </c>
      <c r="K173" s="9">
        <f t="shared" si="5"/>
        <v>13140</v>
      </c>
      <c r="L173" s="11" t="s">
        <v>76</v>
      </c>
      <c r="M173" s="11" t="s">
        <v>81</v>
      </c>
      <c r="N173">
        <v>5</v>
      </c>
      <c r="O173">
        <v>2023</v>
      </c>
      <c r="P173" s="29" t="s">
        <v>730</v>
      </c>
      <c r="Q173" t="s">
        <v>736</v>
      </c>
      <c r="R173" t="s">
        <v>738</v>
      </c>
    </row>
    <row r="174" spans="1:18" x14ac:dyDescent="0.25">
      <c r="A174" s="6">
        <v>170</v>
      </c>
      <c r="B174" s="7">
        <v>45550</v>
      </c>
      <c r="C174" s="8" t="s">
        <v>82</v>
      </c>
      <c r="D174" s="8" t="s">
        <v>83</v>
      </c>
      <c r="E174" s="8" t="s">
        <v>79</v>
      </c>
      <c r="F174" s="8" t="s">
        <v>179</v>
      </c>
      <c r="G174" s="6">
        <v>8</v>
      </c>
      <c r="H174" s="25">
        <v>2400</v>
      </c>
      <c r="I174" s="6">
        <v>15</v>
      </c>
      <c r="J174" s="6">
        <f t="shared" si="4"/>
        <v>19200</v>
      </c>
      <c r="K174" s="6">
        <f t="shared" si="5"/>
        <v>16320</v>
      </c>
      <c r="L174" s="8" t="s">
        <v>76</v>
      </c>
      <c r="M174" s="8" t="s">
        <v>91</v>
      </c>
      <c r="N174">
        <v>9</v>
      </c>
      <c r="O174">
        <v>2024</v>
      </c>
      <c r="P174" s="29" t="s">
        <v>731</v>
      </c>
      <c r="Q174" t="s">
        <v>734</v>
      </c>
      <c r="R174" t="s">
        <v>738</v>
      </c>
    </row>
    <row r="175" spans="1:18" x14ac:dyDescent="0.25">
      <c r="A175" s="9">
        <v>171</v>
      </c>
      <c r="B175" s="10">
        <v>45564</v>
      </c>
      <c r="C175" s="11" t="s">
        <v>119</v>
      </c>
      <c r="D175" s="11" t="s">
        <v>73</v>
      </c>
      <c r="E175" s="11" t="s">
        <v>79</v>
      </c>
      <c r="F175" s="11" t="s">
        <v>172</v>
      </c>
      <c r="G175" s="9">
        <v>2</v>
      </c>
      <c r="H175" s="26">
        <v>26200</v>
      </c>
      <c r="I175" s="9">
        <v>15</v>
      </c>
      <c r="J175" s="9">
        <f t="shared" si="4"/>
        <v>52400</v>
      </c>
      <c r="K175" s="9">
        <f t="shared" si="5"/>
        <v>44540</v>
      </c>
      <c r="L175" s="11" t="s">
        <v>76</v>
      </c>
      <c r="M175" s="11" t="s">
        <v>81</v>
      </c>
      <c r="N175">
        <v>9</v>
      </c>
      <c r="O175">
        <v>2024</v>
      </c>
      <c r="P175" s="29" t="s">
        <v>731</v>
      </c>
      <c r="Q175" t="s">
        <v>734</v>
      </c>
      <c r="R175" t="s">
        <v>738</v>
      </c>
    </row>
    <row r="176" spans="1:18" x14ac:dyDescent="0.25">
      <c r="A176" s="6">
        <v>172</v>
      </c>
      <c r="B176" s="7">
        <v>45074</v>
      </c>
      <c r="C176" s="8" t="s">
        <v>101</v>
      </c>
      <c r="D176" s="8" t="s">
        <v>83</v>
      </c>
      <c r="E176" s="8" t="s">
        <v>79</v>
      </c>
      <c r="F176" s="8" t="s">
        <v>120</v>
      </c>
      <c r="G176" s="6">
        <v>27</v>
      </c>
      <c r="H176" s="25">
        <v>5800</v>
      </c>
      <c r="I176" s="6">
        <v>10</v>
      </c>
      <c r="J176" s="6">
        <f t="shared" si="4"/>
        <v>156600</v>
      </c>
      <c r="K176" s="6">
        <f t="shared" si="5"/>
        <v>140940</v>
      </c>
      <c r="L176" s="8" t="s">
        <v>76</v>
      </c>
      <c r="M176" s="8" t="s">
        <v>77</v>
      </c>
      <c r="N176">
        <v>5</v>
      </c>
      <c r="O176">
        <v>2023</v>
      </c>
      <c r="P176" s="29" t="s">
        <v>730</v>
      </c>
      <c r="Q176" t="s">
        <v>736</v>
      </c>
      <c r="R176" t="s">
        <v>739</v>
      </c>
    </row>
    <row r="177" spans="1:18" x14ac:dyDescent="0.25">
      <c r="A177" s="9">
        <v>173</v>
      </c>
      <c r="B177" s="10">
        <v>45413</v>
      </c>
      <c r="C177" s="11" t="s">
        <v>97</v>
      </c>
      <c r="D177" s="11" t="s">
        <v>93</v>
      </c>
      <c r="E177" s="11" t="s">
        <v>102</v>
      </c>
      <c r="F177" s="11" t="s">
        <v>138</v>
      </c>
      <c r="G177" s="9">
        <v>31</v>
      </c>
      <c r="H177" s="26">
        <v>6500</v>
      </c>
      <c r="I177" s="9">
        <v>0</v>
      </c>
      <c r="J177" s="9">
        <f t="shared" si="4"/>
        <v>201500</v>
      </c>
      <c r="K177" s="9">
        <f t="shared" si="5"/>
        <v>201500</v>
      </c>
      <c r="L177" s="11" t="s">
        <v>76</v>
      </c>
      <c r="M177" s="11" t="s">
        <v>91</v>
      </c>
      <c r="N177">
        <v>5</v>
      </c>
      <c r="O177">
        <v>2024</v>
      </c>
      <c r="P177" s="29" t="s">
        <v>732</v>
      </c>
      <c r="Q177" t="s">
        <v>736</v>
      </c>
      <c r="R177" t="s">
        <v>737</v>
      </c>
    </row>
    <row r="178" spans="1:18" x14ac:dyDescent="0.25">
      <c r="A178" s="6">
        <v>174</v>
      </c>
      <c r="B178" s="7">
        <v>45186</v>
      </c>
      <c r="C178" s="8" t="s">
        <v>78</v>
      </c>
      <c r="D178" s="8" t="s">
        <v>117</v>
      </c>
      <c r="E178" s="8" t="s">
        <v>79</v>
      </c>
      <c r="F178" s="8" t="s">
        <v>120</v>
      </c>
      <c r="G178" s="6">
        <v>43</v>
      </c>
      <c r="H178" s="25">
        <v>5800</v>
      </c>
      <c r="I178" s="6">
        <v>0</v>
      </c>
      <c r="J178" s="6">
        <f t="shared" si="4"/>
        <v>249400</v>
      </c>
      <c r="K178" s="6">
        <f t="shared" si="5"/>
        <v>249400</v>
      </c>
      <c r="L178" s="8" t="s">
        <v>76</v>
      </c>
      <c r="M178" s="8" t="s">
        <v>96</v>
      </c>
      <c r="N178">
        <v>9</v>
      </c>
      <c r="O178">
        <v>2023</v>
      </c>
      <c r="P178" s="29" t="s">
        <v>715</v>
      </c>
      <c r="Q178" t="s">
        <v>734</v>
      </c>
      <c r="R178" t="s">
        <v>737</v>
      </c>
    </row>
    <row r="179" spans="1:18" x14ac:dyDescent="0.25">
      <c r="A179" s="9">
        <v>175</v>
      </c>
      <c r="B179" s="10">
        <v>44972</v>
      </c>
      <c r="C179" s="11" t="s">
        <v>88</v>
      </c>
      <c r="D179" s="11" t="s">
        <v>93</v>
      </c>
      <c r="E179" s="11" t="s">
        <v>74</v>
      </c>
      <c r="F179" s="11" t="s">
        <v>142</v>
      </c>
      <c r="G179" s="9">
        <v>44</v>
      </c>
      <c r="H179" s="26">
        <v>13300</v>
      </c>
      <c r="I179" s="9">
        <v>15</v>
      </c>
      <c r="J179" s="9">
        <f t="shared" si="4"/>
        <v>585200</v>
      </c>
      <c r="K179" s="9">
        <f t="shared" si="5"/>
        <v>497420</v>
      </c>
      <c r="L179" s="11" t="s">
        <v>76</v>
      </c>
      <c r="M179" s="11" t="s">
        <v>91</v>
      </c>
      <c r="N179">
        <v>2</v>
      </c>
      <c r="O179">
        <v>2023</v>
      </c>
      <c r="P179" s="29" t="s">
        <v>717</v>
      </c>
      <c r="Q179" t="s">
        <v>735</v>
      </c>
      <c r="R179" t="s">
        <v>737</v>
      </c>
    </row>
    <row r="180" spans="1:18" x14ac:dyDescent="0.25">
      <c r="A180" s="6">
        <v>176</v>
      </c>
      <c r="B180" s="7">
        <v>45084</v>
      </c>
      <c r="C180" s="8" t="s">
        <v>108</v>
      </c>
      <c r="D180" s="8" t="s">
        <v>73</v>
      </c>
      <c r="E180" s="8" t="s">
        <v>111</v>
      </c>
      <c r="F180" s="8" t="s">
        <v>192</v>
      </c>
      <c r="G180" s="6">
        <v>3</v>
      </c>
      <c r="H180" s="25">
        <v>92500</v>
      </c>
      <c r="I180" s="6">
        <v>0</v>
      </c>
      <c r="J180" s="6">
        <f t="shared" si="4"/>
        <v>277500</v>
      </c>
      <c r="K180" s="6">
        <f t="shared" si="5"/>
        <v>277500</v>
      </c>
      <c r="L180" s="8" t="s">
        <v>187</v>
      </c>
      <c r="M180" s="8" t="s">
        <v>77</v>
      </c>
      <c r="N180">
        <v>6</v>
      </c>
      <c r="O180">
        <v>2023</v>
      </c>
      <c r="P180" s="29" t="s">
        <v>723</v>
      </c>
      <c r="Q180" t="s">
        <v>736</v>
      </c>
      <c r="R180" t="s">
        <v>737</v>
      </c>
    </row>
    <row r="181" spans="1:18" x14ac:dyDescent="0.25">
      <c r="A181" s="9">
        <v>177</v>
      </c>
      <c r="B181" s="10">
        <v>45244</v>
      </c>
      <c r="C181" s="11" t="s">
        <v>82</v>
      </c>
      <c r="D181" s="11" t="s">
        <v>83</v>
      </c>
      <c r="E181" s="11" t="s">
        <v>102</v>
      </c>
      <c r="F181" s="11" t="s">
        <v>197</v>
      </c>
      <c r="G181" s="9">
        <v>49</v>
      </c>
      <c r="H181" s="26">
        <v>3700</v>
      </c>
      <c r="I181" s="9">
        <v>0</v>
      </c>
      <c r="J181" s="9">
        <f t="shared" si="4"/>
        <v>181300</v>
      </c>
      <c r="K181" s="9">
        <f t="shared" si="5"/>
        <v>181300</v>
      </c>
      <c r="L181" s="11" t="s">
        <v>76</v>
      </c>
      <c r="M181" s="11" t="s">
        <v>96</v>
      </c>
      <c r="N181">
        <v>11</v>
      </c>
      <c r="O181">
        <v>2023</v>
      </c>
      <c r="P181" s="29" t="s">
        <v>718</v>
      </c>
      <c r="Q181" t="s">
        <v>733</v>
      </c>
      <c r="R181" t="s">
        <v>739</v>
      </c>
    </row>
    <row r="182" spans="1:18" x14ac:dyDescent="0.25">
      <c r="A182" s="6">
        <v>178</v>
      </c>
      <c r="B182" s="7">
        <v>44975</v>
      </c>
      <c r="C182" s="8" t="s">
        <v>88</v>
      </c>
      <c r="D182" s="8" t="s">
        <v>117</v>
      </c>
      <c r="E182" s="8" t="s">
        <v>79</v>
      </c>
      <c r="F182" s="8" t="s">
        <v>120</v>
      </c>
      <c r="G182" s="6">
        <v>26</v>
      </c>
      <c r="H182" s="25">
        <v>6100</v>
      </c>
      <c r="I182" s="6">
        <v>0</v>
      </c>
      <c r="J182" s="6">
        <f t="shared" si="4"/>
        <v>158600</v>
      </c>
      <c r="K182" s="6">
        <f t="shared" si="5"/>
        <v>158600</v>
      </c>
      <c r="L182" s="8" t="s">
        <v>187</v>
      </c>
      <c r="M182" s="8" t="s">
        <v>91</v>
      </c>
      <c r="N182">
        <v>2</v>
      </c>
      <c r="O182">
        <v>2023</v>
      </c>
      <c r="P182" s="29" t="s">
        <v>717</v>
      </c>
      <c r="Q182" t="s">
        <v>735</v>
      </c>
      <c r="R182" t="s">
        <v>739</v>
      </c>
    </row>
    <row r="183" spans="1:18" x14ac:dyDescent="0.25">
      <c r="A183" s="9">
        <v>179</v>
      </c>
      <c r="B183" s="10">
        <v>45237</v>
      </c>
      <c r="C183" s="11" t="s">
        <v>119</v>
      </c>
      <c r="D183" s="11" t="s">
        <v>83</v>
      </c>
      <c r="E183" s="11" t="s">
        <v>74</v>
      </c>
      <c r="F183" s="11" t="s">
        <v>190</v>
      </c>
      <c r="G183" s="9">
        <v>47</v>
      </c>
      <c r="H183" s="26">
        <v>35200</v>
      </c>
      <c r="I183" s="9">
        <v>10</v>
      </c>
      <c r="J183" s="9">
        <f t="shared" si="4"/>
        <v>1654400</v>
      </c>
      <c r="K183" s="9">
        <f t="shared" si="5"/>
        <v>1488960</v>
      </c>
      <c r="L183" s="11" t="s">
        <v>76</v>
      </c>
      <c r="M183" s="11" t="s">
        <v>91</v>
      </c>
      <c r="N183">
        <v>11</v>
      </c>
      <c r="O183">
        <v>2023</v>
      </c>
      <c r="P183" s="29" t="s">
        <v>718</v>
      </c>
      <c r="Q183" t="s">
        <v>733</v>
      </c>
      <c r="R183" t="s">
        <v>737</v>
      </c>
    </row>
    <row r="184" spans="1:18" x14ac:dyDescent="0.25">
      <c r="A184" s="6">
        <v>180</v>
      </c>
      <c r="B184" s="7">
        <v>45023</v>
      </c>
      <c r="C184" s="8" t="s">
        <v>82</v>
      </c>
      <c r="D184" s="8" t="s">
        <v>117</v>
      </c>
      <c r="E184" s="8" t="s">
        <v>74</v>
      </c>
      <c r="F184" s="8" t="s">
        <v>118</v>
      </c>
      <c r="G184" s="6">
        <v>43</v>
      </c>
      <c r="H184" s="25">
        <v>25800</v>
      </c>
      <c r="I184" s="6">
        <v>10</v>
      </c>
      <c r="J184" s="6">
        <f t="shared" si="4"/>
        <v>1109400</v>
      </c>
      <c r="K184" s="6">
        <f t="shared" si="5"/>
        <v>998460</v>
      </c>
      <c r="L184" s="8" t="s">
        <v>76</v>
      </c>
      <c r="M184" s="8" t="s">
        <v>91</v>
      </c>
      <c r="N184">
        <v>4</v>
      </c>
      <c r="O184">
        <v>2023</v>
      </c>
      <c r="P184" s="29" t="s">
        <v>716</v>
      </c>
      <c r="Q184" t="s">
        <v>736</v>
      </c>
      <c r="R184" t="s">
        <v>737</v>
      </c>
    </row>
    <row r="185" spans="1:18" x14ac:dyDescent="0.25">
      <c r="A185" s="9">
        <v>181</v>
      </c>
      <c r="B185" s="10">
        <v>45629</v>
      </c>
      <c r="C185" s="11" t="s">
        <v>108</v>
      </c>
      <c r="D185" s="11" t="s">
        <v>83</v>
      </c>
      <c r="E185" s="11" t="s">
        <v>74</v>
      </c>
      <c r="F185" s="11" t="s">
        <v>99</v>
      </c>
      <c r="G185" s="9">
        <v>23</v>
      </c>
      <c r="H185" s="26">
        <v>3200</v>
      </c>
      <c r="I185" s="9">
        <v>0</v>
      </c>
      <c r="J185" s="9">
        <f t="shared" si="4"/>
        <v>73600</v>
      </c>
      <c r="K185" s="9">
        <f t="shared" si="5"/>
        <v>73600</v>
      </c>
      <c r="L185" s="11" t="s">
        <v>76</v>
      </c>
      <c r="M185" s="11" t="s">
        <v>91</v>
      </c>
      <c r="N185">
        <v>12</v>
      </c>
      <c r="O185">
        <v>2024</v>
      </c>
      <c r="P185" s="29" t="s">
        <v>728</v>
      </c>
      <c r="Q185" t="s">
        <v>733</v>
      </c>
      <c r="R185" t="s">
        <v>739</v>
      </c>
    </row>
    <row r="186" spans="1:18" x14ac:dyDescent="0.25">
      <c r="A186" s="6">
        <v>182</v>
      </c>
      <c r="B186" s="7">
        <v>45581</v>
      </c>
      <c r="C186" s="8" t="s">
        <v>78</v>
      </c>
      <c r="D186" s="8" t="s">
        <v>73</v>
      </c>
      <c r="E186" s="8" t="s">
        <v>111</v>
      </c>
      <c r="F186" s="8" t="s">
        <v>132</v>
      </c>
      <c r="G186" s="6">
        <v>48</v>
      </c>
      <c r="H186" s="25">
        <v>7700</v>
      </c>
      <c r="I186" s="6">
        <v>0</v>
      </c>
      <c r="J186" s="6">
        <f t="shared" si="4"/>
        <v>369600</v>
      </c>
      <c r="K186" s="6">
        <f t="shared" si="5"/>
        <v>369600</v>
      </c>
      <c r="L186" s="8" t="s">
        <v>187</v>
      </c>
      <c r="M186" s="8" t="s">
        <v>77</v>
      </c>
      <c r="N186">
        <v>10</v>
      </c>
      <c r="O186">
        <v>2024</v>
      </c>
      <c r="P186" s="29" t="s">
        <v>709</v>
      </c>
      <c r="Q186" t="s">
        <v>733</v>
      </c>
      <c r="R186" t="s">
        <v>737</v>
      </c>
    </row>
    <row r="187" spans="1:18" x14ac:dyDescent="0.25">
      <c r="A187" s="9">
        <v>183</v>
      </c>
      <c r="B187" s="10">
        <v>45549</v>
      </c>
      <c r="C187" s="11" t="s">
        <v>119</v>
      </c>
      <c r="D187" s="11" t="s">
        <v>73</v>
      </c>
      <c r="E187" s="11" t="s">
        <v>84</v>
      </c>
      <c r="F187" s="11" t="s">
        <v>150</v>
      </c>
      <c r="G187" s="9">
        <v>42</v>
      </c>
      <c r="H187" s="26">
        <v>5300</v>
      </c>
      <c r="I187" s="9">
        <v>10</v>
      </c>
      <c r="J187" s="9">
        <f t="shared" si="4"/>
        <v>222600</v>
      </c>
      <c r="K187" s="9">
        <f t="shared" si="5"/>
        <v>200340</v>
      </c>
      <c r="L187" s="11" t="s">
        <v>76</v>
      </c>
      <c r="M187" s="11" t="s">
        <v>91</v>
      </c>
      <c r="N187">
        <v>9</v>
      </c>
      <c r="O187">
        <v>2024</v>
      </c>
      <c r="P187" s="29" t="s">
        <v>731</v>
      </c>
      <c r="Q187" t="s">
        <v>734</v>
      </c>
      <c r="R187" t="s">
        <v>737</v>
      </c>
    </row>
    <row r="188" spans="1:18" x14ac:dyDescent="0.25">
      <c r="A188" s="6">
        <v>184</v>
      </c>
      <c r="B188" s="7">
        <v>44987</v>
      </c>
      <c r="C188" s="8" t="s">
        <v>124</v>
      </c>
      <c r="D188" s="8" t="s">
        <v>109</v>
      </c>
      <c r="E188" s="8" t="s">
        <v>111</v>
      </c>
      <c r="F188" s="8" t="s">
        <v>132</v>
      </c>
      <c r="G188" s="6">
        <v>49</v>
      </c>
      <c r="H188" s="25">
        <v>7400</v>
      </c>
      <c r="I188" s="6">
        <v>10</v>
      </c>
      <c r="J188" s="6">
        <f t="shared" si="4"/>
        <v>362600</v>
      </c>
      <c r="K188" s="6">
        <f t="shared" si="5"/>
        <v>326340</v>
      </c>
      <c r="L188" s="8" t="s">
        <v>76</v>
      </c>
      <c r="M188" s="8" t="s">
        <v>81</v>
      </c>
      <c r="N188">
        <v>3</v>
      </c>
      <c r="O188">
        <v>2023</v>
      </c>
      <c r="P188" s="29" t="s">
        <v>719</v>
      </c>
      <c r="Q188" t="s">
        <v>735</v>
      </c>
      <c r="R188" t="s">
        <v>737</v>
      </c>
    </row>
    <row r="189" spans="1:18" x14ac:dyDescent="0.25">
      <c r="A189" s="9">
        <v>185</v>
      </c>
      <c r="B189" s="10">
        <v>45597</v>
      </c>
      <c r="C189" s="11" t="s">
        <v>114</v>
      </c>
      <c r="D189" s="11" t="s">
        <v>117</v>
      </c>
      <c r="E189" s="11" t="s">
        <v>74</v>
      </c>
      <c r="F189" s="11" t="s">
        <v>75</v>
      </c>
      <c r="G189" s="9">
        <v>2</v>
      </c>
      <c r="H189" s="26">
        <v>25100</v>
      </c>
      <c r="I189" s="9">
        <v>10</v>
      </c>
      <c r="J189" s="9">
        <f t="shared" si="4"/>
        <v>50200</v>
      </c>
      <c r="K189" s="9">
        <f t="shared" si="5"/>
        <v>45180</v>
      </c>
      <c r="L189" s="11" t="s">
        <v>187</v>
      </c>
      <c r="M189" s="11" t="s">
        <v>91</v>
      </c>
      <c r="N189">
        <v>11</v>
      </c>
      <c r="O189">
        <v>2024</v>
      </c>
      <c r="P189" s="29" t="s">
        <v>714</v>
      </c>
      <c r="Q189" t="s">
        <v>733</v>
      </c>
      <c r="R189" t="s">
        <v>738</v>
      </c>
    </row>
    <row r="190" spans="1:18" x14ac:dyDescent="0.25">
      <c r="A190" s="6">
        <v>186</v>
      </c>
      <c r="B190" s="7">
        <v>45293</v>
      </c>
      <c r="C190" s="8" t="s">
        <v>82</v>
      </c>
      <c r="D190" s="8" t="s">
        <v>73</v>
      </c>
      <c r="E190" s="8" t="s">
        <v>74</v>
      </c>
      <c r="F190" s="8" t="s">
        <v>190</v>
      </c>
      <c r="G190" s="6">
        <v>14</v>
      </c>
      <c r="H190" s="25">
        <v>34400</v>
      </c>
      <c r="I190" s="6">
        <v>15</v>
      </c>
      <c r="J190" s="6">
        <f t="shared" si="4"/>
        <v>481600</v>
      </c>
      <c r="K190" s="6">
        <f t="shared" si="5"/>
        <v>409360</v>
      </c>
      <c r="L190" s="8" t="s">
        <v>123</v>
      </c>
      <c r="M190" s="8" t="s">
        <v>96</v>
      </c>
      <c r="N190">
        <v>1</v>
      </c>
      <c r="O190">
        <v>2024</v>
      </c>
      <c r="P190" s="29" t="s">
        <v>727</v>
      </c>
      <c r="Q190" t="s">
        <v>735</v>
      </c>
      <c r="R190" t="s">
        <v>737</v>
      </c>
    </row>
    <row r="191" spans="1:18" x14ac:dyDescent="0.25">
      <c r="A191" s="9">
        <v>187</v>
      </c>
      <c r="B191" s="10">
        <v>45429</v>
      </c>
      <c r="C191" s="11" t="s">
        <v>106</v>
      </c>
      <c r="D191" s="11" t="s">
        <v>73</v>
      </c>
      <c r="E191" s="11" t="s">
        <v>84</v>
      </c>
      <c r="F191" s="11" t="s">
        <v>150</v>
      </c>
      <c r="G191" s="9">
        <v>46</v>
      </c>
      <c r="H191" s="26">
        <v>5600</v>
      </c>
      <c r="I191" s="9">
        <v>20</v>
      </c>
      <c r="J191" s="9">
        <f t="shared" si="4"/>
        <v>257600</v>
      </c>
      <c r="K191" s="9">
        <f t="shared" si="5"/>
        <v>206080</v>
      </c>
      <c r="L191" s="11" t="s">
        <v>76</v>
      </c>
      <c r="M191" s="11" t="s">
        <v>77</v>
      </c>
      <c r="N191">
        <v>5</v>
      </c>
      <c r="O191">
        <v>2024</v>
      </c>
      <c r="P191" s="29" t="s">
        <v>732</v>
      </c>
      <c r="Q191" t="s">
        <v>736</v>
      </c>
      <c r="R191" t="s">
        <v>737</v>
      </c>
    </row>
    <row r="192" spans="1:18" x14ac:dyDescent="0.25">
      <c r="A192" s="6">
        <v>188</v>
      </c>
      <c r="B192" s="7">
        <v>45625</v>
      </c>
      <c r="C192" s="8" t="s">
        <v>88</v>
      </c>
      <c r="D192" s="30" t="s">
        <v>703</v>
      </c>
      <c r="E192" s="8" t="s">
        <v>79</v>
      </c>
      <c r="F192" s="8" t="s">
        <v>179</v>
      </c>
      <c r="G192" s="6">
        <v>11</v>
      </c>
      <c r="H192" s="25">
        <v>2800</v>
      </c>
      <c r="I192" s="6">
        <v>20</v>
      </c>
      <c r="J192" s="6">
        <f t="shared" si="4"/>
        <v>30800</v>
      </c>
      <c r="K192" s="6">
        <f t="shared" si="5"/>
        <v>24640</v>
      </c>
      <c r="L192" s="8" t="s">
        <v>187</v>
      </c>
      <c r="M192" s="8" t="s">
        <v>81</v>
      </c>
      <c r="N192">
        <v>11</v>
      </c>
      <c r="O192">
        <v>2024</v>
      </c>
      <c r="P192" s="29" t="s">
        <v>714</v>
      </c>
      <c r="Q192" t="s">
        <v>733</v>
      </c>
      <c r="R192" t="s">
        <v>738</v>
      </c>
    </row>
    <row r="193" spans="1:18" x14ac:dyDescent="0.25">
      <c r="A193" s="9">
        <v>189</v>
      </c>
      <c r="B193" s="10">
        <v>45297</v>
      </c>
      <c r="C193" s="11" t="s">
        <v>82</v>
      </c>
      <c r="D193" s="11" t="s">
        <v>109</v>
      </c>
      <c r="E193" s="11" t="s">
        <v>79</v>
      </c>
      <c r="F193" s="11" t="s">
        <v>80</v>
      </c>
      <c r="G193" s="9">
        <v>16</v>
      </c>
      <c r="H193" s="26">
        <v>9300</v>
      </c>
      <c r="I193" s="9">
        <v>0</v>
      </c>
      <c r="J193" s="9">
        <f t="shared" si="4"/>
        <v>148800</v>
      </c>
      <c r="K193" s="9">
        <f t="shared" si="5"/>
        <v>148800</v>
      </c>
      <c r="L193" s="11" t="s">
        <v>187</v>
      </c>
      <c r="M193" s="11" t="s">
        <v>77</v>
      </c>
      <c r="N193">
        <v>1</v>
      </c>
      <c r="O193">
        <v>2024</v>
      </c>
      <c r="P193" s="29" t="s">
        <v>727</v>
      </c>
      <c r="Q193" t="s">
        <v>735</v>
      </c>
      <c r="R193" t="s">
        <v>739</v>
      </c>
    </row>
    <row r="194" spans="1:18" x14ac:dyDescent="0.25">
      <c r="A194" s="6">
        <v>190</v>
      </c>
      <c r="B194" s="7">
        <v>45494</v>
      </c>
      <c r="C194" s="8" t="s">
        <v>124</v>
      </c>
      <c r="D194" s="8" t="s">
        <v>117</v>
      </c>
      <c r="E194" s="8" t="s">
        <v>111</v>
      </c>
      <c r="F194" s="8" t="s">
        <v>166</v>
      </c>
      <c r="G194" s="6">
        <v>6</v>
      </c>
      <c r="H194" s="25">
        <v>29500</v>
      </c>
      <c r="I194" s="6">
        <v>15</v>
      </c>
      <c r="J194" s="6">
        <f t="shared" ref="J194:J257" si="6">G194*H194</f>
        <v>177000</v>
      </c>
      <c r="K194" s="6">
        <f t="shared" ref="K194:K257" si="7">J194*(1-I194/100)</f>
        <v>150450</v>
      </c>
      <c r="L194" s="8" t="s">
        <v>76</v>
      </c>
      <c r="M194" s="8" t="s">
        <v>91</v>
      </c>
      <c r="N194">
        <v>7</v>
      </c>
      <c r="O194">
        <v>2024</v>
      </c>
      <c r="P194" s="29" t="s">
        <v>712</v>
      </c>
      <c r="Q194" t="s">
        <v>734</v>
      </c>
      <c r="R194" t="s">
        <v>739</v>
      </c>
    </row>
    <row r="195" spans="1:18" x14ac:dyDescent="0.25">
      <c r="A195" s="9">
        <v>191</v>
      </c>
      <c r="B195" s="10">
        <v>45417</v>
      </c>
      <c r="C195" s="11" t="s">
        <v>82</v>
      </c>
      <c r="D195" s="11" t="s">
        <v>83</v>
      </c>
      <c r="E195" s="11" t="s">
        <v>111</v>
      </c>
      <c r="F195" s="11" t="s">
        <v>112</v>
      </c>
      <c r="G195" s="9">
        <v>21</v>
      </c>
      <c r="H195" s="26">
        <v>60500</v>
      </c>
      <c r="I195" s="9">
        <v>5</v>
      </c>
      <c r="J195" s="9">
        <f t="shared" si="6"/>
        <v>1270500</v>
      </c>
      <c r="K195" s="9">
        <f t="shared" si="7"/>
        <v>1206975</v>
      </c>
      <c r="L195" s="11" t="s">
        <v>76</v>
      </c>
      <c r="M195" s="11" t="s">
        <v>91</v>
      </c>
      <c r="N195">
        <v>5</v>
      </c>
      <c r="O195">
        <v>2024</v>
      </c>
      <c r="P195" s="29" t="s">
        <v>732</v>
      </c>
      <c r="Q195" t="s">
        <v>736</v>
      </c>
      <c r="R195" t="s">
        <v>737</v>
      </c>
    </row>
    <row r="196" spans="1:18" x14ac:dyDescent="0.25">
      <c r="A196" s="6">
        <v>192</v>
      </c>
      <c r="B196" s="7">
        <v>45623</v>
      </c>
      <c r="C196" s="8" t="s">
        <v>82</v>
      </c>
      <c r="D196" s="8" t="s">
        <v>117</v>
      </c>
      <c r="E196" s="8" t="s">
        <v>84</v>
      </c>
      <c r="F196" s="8" t="s">
        <v>128</v>
      </c>
      <c r="G196" s="6">
        <v>9</v>
      </c>
      <c r="H196" s="25">
        <v>4600</v>
      </c>
      <c r="I196" s="6">
        <v>20</v>
      </c>
      <c r="J196" s="6">
        <f t="shared" si="6"/>
        <v>41400</v>
      </c>
      <c r="K196" s="6">
        <f t="shared" si="7"/>
        <v>33120</v>
      </c>
      <c r="L196" s="8" t="s">
        <v>76</v>
      </c>
      <c r="M196" s="8" t="s">
        <v>77</v>
      </c>
      <c r="N196">
        <v>11</v>
      </c>
      <c r="O196">
        <v>2024</v>
      </c>
      <c r="P196" s="29" t="s">
        <v>714</v>
      </c>
      <c r="Q196" t="s">
        <v>733</v>
      </c>
      <c r="R196" t="s">
        <v>738</v>
      </c>
    </row>
    <row r="197" spans="1:18" x14ac:dyDescent="0.25">
      <c r="A197" s="9">
        <v>193</v>
      </c>
      <c r="B197" s="10">
        <v>45143</v>
      </c>
      <c r="C197" s="11" t="s">
        <v>82</v>
      </c>
      <c r="D197" s="11" t="s">
        <v>109</v>
      </c>
      <c r="E197" s="11" t="s">
        <v>74</v>
      </c>
      <c r="F197" s="11" t="s">
        <v>142</v>
      </c>
      <c r="G197" s="9">
        <v>46</v>
      </c>
      <c r="H197" s="26">
        <v>11300</v>
      </c>
      <c r="I197" s="9">
        <v>20</v>
      </c>
      <c r="J197" s="9">
        <f t="shared" si="6"/>
        <v>519800</v>
      </c>
      <c r="K197" s="9">
        <f t="shared" si="7"/>
        <v>415840</v>
      </c>
      <c r="L197" s="11" t="s">
        <v>76</v>
      </c>
      <c r="M197" s="11" t="s">
        <v>96</v>
      </c>
      <c r="N197">
        <v>8</v>
      </c>
      <c r="O197">
        <v>2023</v>
      </c>
      <c r="P197" s="29" t="s">
        <v>713</v>
      </c>
      <c r="Q197" t="s">
        <v>734</v>
      </c>
      <c r="R197" t="s">
        <v>737</v>
      </c>
    </row>
    <row r="198" spans="1:18" x14ac:dyDescent="0.25">
      <c r="A198" s="6">
        <v>194</v>
      </c>
      <c r="B198" s="7">
        <v>45007</v>
      </c>
      <c r="C198" s="8" t="s">
        <v>101</v>
      </c>
      <c r="D198" s="8" t="s">
        <v>109</v>
      </c>
      <c r="E198" s="8" t="s">
        <v>102</v>
      </c>
      <c r="F198" s="8" t="s">
        <v>110</v>
      </c>
      <c r="G198" s="6">
        <v>20</v>
      </c>
      <c r="H198" s="25">
        <v>20500</v>
      </c>
      <c r="I198" s="6">
        <v>0</v>
      </c>
      <c r="J198" s="6">
        <f t="shared" si="6"/>
        <v>410000</v>
      </c>
      <c r="K198" s="6">
        <f t="shared" si="7"/>
        <v>410000</v>
      </c>
      <c r="L198" s="8" t="s">
        <v>76</v>
      </c>
      <c r="M198" s="8" t="s">
        <v>77</v>
      </c>
      <c r="N198">
        <v>3</v>
      </c>
      <c r="O198">
        <v>2023</v>
      </c>
      <c r="P198" s="29" t="s">
        <v>719</v>
      </c>
      <c r="Q198" t="s">
        <v>735</v>
      </c>
      <c r="R198" t="s">
        <v>737</v>
      </c>
    </row>
    <row r="199" spans="1:18" x14ac:dyDescent="0.25">
      <c r="A199" s="9">
        <v>195</v>
      </c>
      <c r="B199" s="10">
        <v>45583</v>
      </c>
      <c r="C199" s="11" t="s">
        <v>108</v>
      </c>
      <c r="D199" s="11" t="s">
        <v>93</v>
      </c>
      <c r="E199" s="11" t="s">
        <v>102</v>
      </c>
      <c r="F199" s="11" t="s">
        <v>103</v>
      </c>
      <c r="G199" s="9">
        <v>40</v>
      </c>
      <c r="H199" s="26">
        <v>9200</v>
      </c>
      <c r="I199" s="9">
        <v>20</v>
      </c>
      <c r="J199" s="9">
        <f t="shared" si="6"/>
        <v>368000</v>
      </c>
      <c r="K199" s="9">
        <f t="shared" si="7"/>
        <v>294400</v>
      </c>
      <c r="L199" s="11" t="s">
        <v>187</v>
      </c>
      <c r="M199" s="11" t="s">
        <v>96</v>
      </c>
      <c r="N199">
        <v>10</v>
      </c>
      <c r="O199">
        <v>2024</v>
      </c>
      <c r="P199" s="29" t="s">
        <v>709</v>
      </c>
      <c r="Q199" t="s">
        <v>733</v>
      </c>
      <c r="R199" t="s">
        <v>737</v>
      </c>
    </row>
    <row r="200" spans="1:18" x14ac:dyDescent="0.25">
      <c r="A200" s="6">
        <v>196</v>
      </c>
      <c r="B200" s="7">
        <v>45504</v>
      </c>
      <c r="C200" s="8" t="s">
        <v>78</v>
      </c>
      <c r="D200" s="8" t="s">
        <v>73</v>
      </c>
      <c r="E200" s="8" t="s">
        <v>79</v>
      </c>
      <c r="F200" s="8" t="s">
        <v>136</v>
      </c>
      <c r="G200" s="6">
        <v>50</v>
      </c>
      <c r="H200" s="25">
        <v>96700</v>
      </c>
      <c r="I200" s="6">
        <v>20</v>
      </c>
      <c r="J200" s="6">
        <f t="shared" si="6"/>
        <v>4835000</v>
      </c>
      <c r="K200" s="6">
        <f t="shared" si="7"/>
        <v>3868000</v>
      </c>
      <c r="L200" s="8" t="s">
        <v>76</v>
      </c>
      <c r="M200" s="8" t="s">
        <v>81</v>
      </c>
      <c r="N200">
        <v>7</v>
      </c>
      <c r="O200">
        <v>2024</v>
      </c>
      <c r="P200" s="29" t="s">
        <v>712</v>
      </c>
      <c r="Q200" t="s">
        <v>734</v>
      </c>
      <c r="R200" t="s">
        <v>737</v>
      </c>
    </row>
    <row r="201" spans="1:18" x14ac:dyDescent="0.25">
      <c r="A201" s="9">
        <v>197</v>
      </c>
      <c r="B201" s="10">
        <v>45512</v>
      </c>
      <c r="C201" s="11" t="s">
        <v>114</v>
      </c>
      <c r="D201" s="11" t="s">
        <v>93</v>
      </c>
      <c r="E201" s="11" t="s">
        <v>79</v>
      </c>
      <c r="F201" s="11" t="s">
        <v>172</v>
      </c>
      <c r="G201" s="9">
        <v>35</v>
      </c>
      <c r="H201" s="26">
        <v>28100</v>
      </c>
      <c r="I201" s="9">
        <v>5</v>
      </c>
      <c r="J201" s="9">
        <f t="shared" si="6"/>
        <v>983500</v>
      </c>
      <c r="K201" s="9">
        <f t="shared" si="7"/>
        <v>934325</v>
      </c>
      <c r="L201" s="11" t="s">
        <v>76</v>
      </c>
      <c r="M201" s="11" t="s">
        <v>96</v>
      </c>
      <c r="N201">
        <v>8</v>
      </c>
      <c r="O201">
        <v>2024</v>
      </c>
      <c r="P201" s="29" t="s">
        <v>710</v>
      </c>
      <c r="Q201" t="s">
        <v>734</v>
      </c>
      <c r="R201" t="s">
        <v>737</v>
      </c>
    </row>
    <row r="202" spans="1:18" x14ac:dyDescent="0.25">
      <c r="A202" s="6">
        <v>198</v>
      </c>
      <c r="B202" s="7">
        <v>45147</v>
      </c>
      <c r="C202" s="8" t="s">
        <v>114</v>
      </c>
      <c r="D202" s="30" t="s">
        <v>703</v>
      </c>
      <c r="E202" s="8" t="s">
        <v>111</v>
      </c>
      <c r="F202" s="8" t="s">
        <v>112</v>
      </c>
      <c r="G202" s="6">
        <v>11</v>
      </c>
      <c r="H202" s="25">
        <v>69700</v>
      </c>
      <c r="I202" s="6">
        <v>5</v>
      </c>
      <c r="J202" s="6">
        <f t="shared" si="6"/>
        <v>766700</v>
      </c>
      <c r="K202" s="6">
        <f t="shared" si="7"/>
        <v>728365</v>
      </c>
      <c r="L202" s="8" t="s">
        <v>76</v>
      </c>
      <c r="M202" s="8" t="s">
        <v>91</v>
      </c>
      <c r="N202">
        <v>8</v>
      </c>
      <c r="O202">
        <v>2023</v>
      </c>
      <c r="P202" s="29" t="s">
        <v>713</v>
      </c>
      <c r="Q202" t="s">
        <v>734</v>
      </c>
      <c r="R202" t="s">
        <v>737</v>
      </c>
    </row>
    <row r="203" spans="1:18" x14ac:dyDescent="0.25">
      <c r="A203" s="9">
        <v>199</v>
      </c>
      <c r="B203" s="10">
        <v>45135</v>
      </c>
      <c r="C203" s="11" t="s">
        <v>88</v>
      </c>
      <c r="D203" s="11" t="s">
        <v>93</v>
      </c>
      <c r="E203" s="11" t="s">
        <v>84</v>
      </c>
      <c r="F203" s="11" t="s">
        <v>200</v>
      </c>
      <c r="G203" s="9">
        <v>21</v>
      </c>
      <c r="H203" s="26">
        <v>3600</v>
      </c>
      <c r="I203" s="9">
        <v>5</v>
      </c>
      <c r="J203" s="9">
        <f t="shared" si="6"/>
        <v>75600</v>
      </c>
      <c r="K203" s="9">
        <f t="shared" si="7"/>
        <v>71820</v>
      </c>
      <c r="L203" s="11" t="s">
        <v>187</v>
      </c>
      <c r="M203" s="11" t="s">
        <v>96</v>
      </c>
      <c r="N203">
        <v>7</v>
      </c>
      <c r="O203">
        <v>2023</v>
      </c>
      <c r="P203" s="29" t="s">
        <v>724</v>
      </c>
      <c r="Q203" t="s">
        <v>734</v>
      </c>
      <c r="R203" t="s">
        <v>739</v>
      </c>
    </row>
    <row r="204" spans="1:18" x14ac:dyDescent="0.25">
      <c r="A204" s="6">
        <v>200</v>
      </c>
      <c r="B204" s="7">
        <v>45060</v>
      </c>
      <c r="C204" s="8" t="s">
        <v>88</v>
      </c>
      <c r="D204" s="8" t="s">
        <v>93</v>
      </c>
      <c r="E204" s="8" t="s">
        <v>102</v>
      </c>
      <c r="F204" s="8" t="s">
        <v>137</v>
      </c>
      <c r="G204" s="6">
        <v>30</v>
      </c>
      <c r="H204" s="25">
        <v>2200</v>
      </c>
      <c r="I204" s="6">
        <v>0</v>
      </c>
      <c r="J204" s="6">
        <f t="shared" si="6"/>
        <v>66000</v>
      </c>
      <c r="K204" s="6">
        <f t="shared" si="7"/>
        <v>66000</v>
      </c>
      <c r="L204" s="8" t="s">
        <v>76</v>
      </c>
      <c r="M204" s="8" t="s">
        <v>91</v>
      </c>
      <c r="N204">
        <v>5</v>
      </c>
      <c r="O204">
        <v>2023</v>
      </c>
      <c r="P204" s="29" t="s">
        <v>730</v>
      </c>
      <c r="Q204" t="s">
        <v>736</v>
      </c>
      <c r="R204" t="s">
        <v>739</v>
      </c>
    </row>
    <row r="205" spans="1:18" x14ac:dyDescent="0.25">
      <c r="A205" s="9">
        <v>201</v>
      </c>
      <c r="B205" s="10">
        <v>45071</v>
      </c>
      <c r="C205" s="11" t="s">
        <v>97</v>
      </c>
      <c r="D205" s="11" t="s">
        <v>73</v>
      </c>
      <c r="E205" s="11" t="s">
        <v>74</v>
      </c>
      <c r="F205" s="11" t="s">
        <v>140</v>
      </c>
      <c r="G205" s="9">
        <v>27</v>
      </c>
      <c r="H205" s="26">
        <v>5000</v>
      </c>
      <c r="I205" s="9">
        <v>20</v>
      </c>
      <c r="J205" s="9">
        <f t="shared" si="6"/>
        <v>135000</v>
      </c>
      <c r="K205" s="9">
        <f t="shared" si="7"/>
        <v>108000</v>
      </c>
      <c r="L205" s="11" t="s">
        <v>76</v>
      </c>
      <c r="M205" s="11" t="s">
        <v>81</v>
      </c>
      <c r="N205">
        <v>5</v>
      </c>
      <c r="O205">
        <v>2023</v>
      </c>
      <c r="P205" s="29" t="s">
        <v>730</v>
      </c>
      <c r="Q205" t="s">
        <v>736</v>
      </c>
      <c r="R205" t="s">
        <v>739</v>
      </c>
    </row>
    <row r="206" spans="1:18" x14ac:dyDescent="0.25">
      <c r="A206" s="6">
        <v>202</v>
      </c>
      <c r="B206" s="7">
        <v>44969</v>
      </c>
      <c r="C206" s="8" t="s">
        <v>124</v>
      </c>
      <c r="D206" s="8" t="s">
        <v>117</v>
      </c>
      <c r="E206" s="8" t="s">
        <v>84</v>
      </c>
      <c r="F206" s="8" t="s">
        <v>128</v>
      </c>
      <c r="G206" s="6">
        <v>33</v>
      </c>
      <c r="H206" s="25">
        <v>4300</v>
      </c>
      <c r="I206" s="6">
        <v>5</v>
      </c>
      <c r="J206" s="6">
        <f t="shared" si="6"/>
        <v>141900</v>
      </c>
      <c r="K206" s="6">
        <f t="shared" si="7"/>
        <v>134805</v>
      </c>
      <c r="L206" s="8" t="s">
        <v>76</v>
      </c>
      <c r="M206" s="8" t="s">
        <v>96</v>
      </c>
      <c r="N206">
        <v>2</v>
      </c>
      <c r="O206">
        <v>2023</v>
      </c>
      <c r="P206" s="29" t="s">
        <v>717</v>
      </c>
      <c r="Q206" t="s">
        <v>735</v>
      </c>
      <c r="R206" t="s">
        <v>739</v>
      </c>
    </row>
    <row r="207" spans="1:18" x14ac:dyDescent="0.25">
      <c r="A207" s="9">
        <v>203</v>
      </c>
      <c r="B207" s="10">
        <v>44950</v>
      </c>
      <c r="C207" s="11" t="s">
        <v>97</v>
      </c>
      <c r="D207" s="11" t="s">
        <v>83</v>
      </c>
      <c r="E207" s="11" t="s">
        <v>102</v>
      </c>
      <c r="F207" s="11" t="s">
        <v>197</v>
      </c>
      <c r="G207" s="9">
        <v>14</v>
      </c>
      <c r="H207" s="26">
        <v>4300</v>
      </c>
      <c r="I207" s="9">
        <v>0</v>
      </c>
      <c r="J207" s="9">
        <f t="shared" si="6"/>
        <v>60200</v>
      </c>
      <c r="K207" s="9">
        <f t="shared" si="7"/>
        <v>60200</v>
      </c>
      <c r="L207" s="11" t="s">
        <v>76</v>
      </c>
      <c r="M207" s="11" t="s">
        <v>77</v>
      </c>
      <c r="N207">
        <v>1</v>
      </c>
      <c r="O207">
        <v>2023</v>
      </c>
      <c r="P207" s="29" t="s">
        <v>721</v>
      </c>
      <c r="Q207" t="s">
        <v>735</v>
      </c>
      <c r="R207" t="s">
        <v>739</v>
      </c>
    </row>
    <row r="208" spans="1:18" x14ac:dyDescent="0.25">
      <c r="A208" s="6">
        <v>204</v>
      </c>
      <c r="B208" s="7">
        <v>45215</v>
      </c>
      <c r="C208" s="8" t="s">
        <v>119</v>
      </c>
      <c r="D208" s="8" t="s">
        <v>93</v>
      </c>
      <c r="E208" s="8" t="s">
        <v>111</v>
      </c>
      <c r="F208" s="8" t="s">
        <v>135</v>
      </c>
      <c r="G208" s="6">
        <v>7</v>
      </c>
      <c r="H208" s="25">
        <v>118900</v>
      </c>
      <c r="I208" s="6">
        <v>15</v>
      </c>
      <c r="J208" s="6">
        <f t="shared" si="6"/>
        <v>832300</v>
      </c>
      <c r="K208" s="6">
        <f t="shared" si="7"/>
        <v>707455</v>
      </c>
      <c r="L208" s="8" t="s">
        <v>76</v>
      </c>
      <c r="M208" s="8" t="s">
        <v>96</v>
      </c>
      <c r="N208">
        <v>10</v>
      </c>
      <c r="O208">
        <v>2023</v>
      </c>
      <c r="P208" s="29" t="s">
        <v>726</v>
      </c>
      <c r="Q208" t="s">
        <v>733</v>
      </c>
      <c r="R208" t="s">
        <v>737</v>
      </c>
    </row>
    <row r="209" spans="1:18" x14ac:dyDescent="0.25">
      <c r="A209" s="9">
        <v>205</v>
      </c>
      <c r="B209" s="10">
        <v>45566</v>
      </c>
      <c r="C209" s="11" t="s">
        <v>114</v>
      </c>
      <c r="D209" s="11" t="s">
        <v>117</v>
      </c>
      <c r="E209" s="11" t="s">
        <v>79</v>
      </c>
      <c r="F209" s="11" t="s">
        <v>115</v>
      </c>
      <c r="G209" s="9">
        <v>36</v>
      </c>
      <c r="H209" s="26">
        <v>8200</v>
      </c>
      <c r="I209" s="9">
        <v>0</v>
      </c>
      <c r="J209" s="9">
        <f t="shared" si="6"/>
        <v>295200</v>
      </c>
      <c r="K209" s="9">
        <f t="shared" si="7"/>
        <v>295200</v>
      </c>
      <c r="L209" s="11" t="s">
        <v>76</v>
      </c>
      <c r="M209" s="11" t="s">
        <v>96</v>
      </c>
      <c r="N209">
        <v>10</v>
      </c>
      <c r="O209">
        <v>2024</v>
      </c>
      <c r="P209" s="29" t="s">
        <v>709</v>
      </c>
      <c r="Q209" t="s">
        <v>733</v>
      </c>
      <c r="R209" t="s">
        <v>737</v>
      </c>
    </row>
    <row r="210" spans="1:18" x14ac:dyDescent="0.25">
      <c r="A210" s="6">
        <v>206</v>
      </c>
      <c r="B210" s="7">
        <v>45322</v>
      </c>
      <c r="C210" s="8" t="s">
        <v>82</v>
      </c>
      <c r="D210" s="8" t="s">
        <v>83</v>
      </c>
      <c r="E210" s="8" t="s">
        <v>102</v>
      </c>
      <c r="F210" s="8" t="s">
        <v>110</v>
      </c>
      <c r="G210" s="6">
        <v>40</v>
      </c>
      <c r="H210" s="25">
        <v>24300</v>
      </c>
      <c r="I210" s="6">
        <v>0</v>
      </c>
      <c r="J210" s="6">
        <f t="shared" si="6"/>
        <v>972000</v>
      </c>
      <c r="K210" s="6">
        <f t="shared" si="7"/>
        <v>972000</v>
      </c>
      <c r="L210" s="8" t="s">
        <v>187</v>
      </c>
      <c r="M210" s="8" t="s">
        <v>77</v>
      </c>
      <c r="N210">
        <v>1</v>
      </c>
      <c r="O210">
        <v>2024</v>
      </c>
      <c r="P210" s="29" t="s">
        <v>727</v>
      </c>
      <c r="Q210" t="s">
        <v>735</v>
      </c>
      <c r="R210" t="s">
        <v>737</v>
      </c>
    </row>
    <row r="211" spans="1:18" x14ac:dyDescent="0.25">
      <c r="A211" s="9">
        <v>207</v>
      </c>
      <c r="B211" s="10">
        <v>45203</v>
      </c>
      <c r="C211" s="11" t="s">
        <v>114</v>
      </c>
      <c r="D211" s="11" t="s">
        <v>117</v>
      </c>
      <c r="E211" s="11" t="s">
        <v>74</v>
      </c>
      <c r="F211" s="11" t="s">
        <v>212</v>
      </c>
      <c r="G211" s="9">
        <v>13</v>
      </c>
      <c r="H211" s="26">
        <v>8700</v>
      </c>
      <c r="I211" s="9">
        <v>10</v>
      </c>
      <c r="J211" s="9">
        <f t="shared" si="6"/>
        <v>113100</v>
      </c>
      <c r="K211" s="9">
        <f t="shared" si="7"/>
        <v>101790</v>
      </c>
      <c r="L211" s="11" t="s">
        <v>76</v>
      </c>
      <c r="M211" s="11" t="s">
        <v>91</v>
      </c>
      <c r="N211">
        <v>10</v>
      </c>
      <c r="O211">
        <v>2023</v>
      </c>
      <c r="P211" s="29" t="s">
        <v>726</v>
      </c>
      <c r="Q211" t="s">
        <v>733</v>
      </c>
      <c r="R211" t="s">
        <v>739</v>
      </c>
    </row>
    <row r="212" spans="1:18" x14ac:dyDescent="0.25">
      <c r="A212" s="6">
        <v>208</v>
      </c>
      <c r="B212" s="7">
        <v>45232</v>
      </c>
      <c r="C212" s="8" t="s">
        <v>78</v>
      </c>
      <c r="D212" s="8" t="s">
        <v>73</v>
      </c>
      <c r="E212" s="8" t="s">
        <v>84</v>
      </c>
      <c r="F212" s="8" t="s">
        <v>200</v>
      </c>
      <c r="G212" s="6">
        <v>34</v>
      </c>
      <c r="H212" s="25">
        <v>3500</v>
      </c>
      <c r="I212" s="6">
        <v>0</v>
      </c>
      <c r="J212" s="6">
        <f t="shared" si="6"/>
        <v>119000</v>
      </c>
      <c r="K212" s="6">
        <f t="shared" si="7"/>
        <v>119000</v>
      </c>
      <c r="L212" s="8" t="s">
        <v>76</v>
      </c>
      <c r="M212" s="8" t="s">
        <v>81</v>
      </c>
      <c r="N212">
        <v>11</v>
      </c>
      <c r="O212">
        <v>2023</v>
      </c>
      <c r="P212" s="29" t="s">
        <v>718</v>
      </c>
      <c r="Q212" t="s">
        <v>733</v>
      </c>
      <c r="R212" t="s">
        <v>739</v>
      </c>
    </row>
    <row r="213" spans="1:18" x14ac:dyDescent="0.25">
      <c r="A213" s="9">
        <v>209</v>
      </c>
      <c r="B213" s="10">
        <v>45554</v>
      </c>
      <c r="C213" s="11" t="s">
        <v>88</v>
      </c>
      <c r="D213" s="11" t="s">
        <v>109</v>
      </c>
      <c r="E213" s="11" t="s">
        <v>111</v>
      </c>
      <c r="F213" s="11" t="s">
        <v>135</v>
      </c>
      <c r="G213" s="9">
        <v>33</v>
      </c>
      <c r="H213" s="26">
        <v>120600</v>
      </c>
      <c r="I213" s="9">
        <v>15</v>
      </c>
      <c r="J213" s="9">
        <f t="shared" si="6"/>
        <v>3979800</v>
      </c>
      <c r="K213" s="9">
        <f t="shared" si="7"/>
        <v>3382830</v>
      </c>
      <c r="L213" s="11" t="s">
        <v>187</v>
      </c>
      <c r="M213" s="11" t="s">
        <v>91</v>
      </c>
      <c r="N213">
        <v>9</v>
      </c>
      <c r="O213">
        <v>2024</v>
      </c>
      <c r="P213" s="29" t="s">
        <v>731</v>
      </c>
      <c r="Q213" t="s">
        <v>734</v>
      </c>
      <c r="R213" t="s">
        <v>737</v>
      </c>
    </row>
    <row r="214" spans="1:18" x14ac:dyDescent="0.25">
      <c r="A214" s="6">
        <v>210</v>
      </c>
      <c r="B214" s="7">
        <v>45503</v>
      </c>
      <c r="C214" s="8" t="s">
        <v>101</v>
      </c>
      <c r="D214" s="8" t="s">
        <v>83</v>
      </c>
      <c r="E214" s="8" t="s">
        <v>79</v>
      </c>
      <c r="F214" s="8" t="s">
        <v>120</v>
      </c>
      <c r="G214" s="6">
        <v>8</v>
      </c>
      <c r="H214" s="25">
        <v>5900</v>
      </c>
      <c r="I214" s="6">
        <v>20</v>
      </c>
      <c r="J214" s="6">
        <f t="shared" si="6"/>
        <v>47200</v>
      </c>
      <c r="K214" s="6">
        <f t="shared" si="7"/>
        <v>37760</v>
      </c>
      <c r="L214" s="8" t="s">
        <v>123</v>
      </c>
      <c r="M214" s="8" t="s">
        <v>96</v>
      </c>
      <c r="N214">
        <v>7</v>
      </c>
      <c r="O214">
        <v>2024</v>
      </c>
      <c r="P214" s="29" t="s">
        <v>712</v>
      </c>
      <c r="Q214" t="s">
        <v>734</v>
      </c>
      <c r="R214" t="s">
        <v>738</v>
      </c>
    </row>
    <row r="215" spans="1:18" x14ac:dyDescent="0.25">
      <c r="A215" s="9">
        <v>211</v>
      </c>
      <c r="B215" s="10">
        <v>45424</v>
      </c>
      <c r="C215" s="11" t="s">
        <v>78</v>
      </c>
      <c r="D215" s="11" t="s">
        <v>93</v>
      </c>
      <c r="E215" s="11" t="s">
        <v>111</v>
      </c>
      <c r="F215" s="11" t="s">
        <v>135</v>
      </c>
      <c r="G215" s="9">
        <v>50</v>
      </c>
      <c r="H215" s="26">
        <v>131300</v>
      </c>
      <c r="I215" s="9">
        <v>15</v>
      </c>
      <c r="J215" s="9">
        <f t="shared" si="6"/>
        <v>6565000</v>
      </c>
      <c r="K215" s="9">
        <f t="shared" si="7"/>
        <v>5580250</v>
      </c>
      <c r="L215" s="11" t="s">
        <v>76</v>
      </c>
      <c r="M215" s="11" t="s">
        <v>81</v>
      </c>
      <c r="N215">
        <v>5</v>
      </c>
      <c r="O215">
        <v>2024</v>
      </c>
      <c r="P215" s="29" t="s">
        <v>732</v>
      </c>
      <c r="Q215" t="s">
        <v>736</v>
      </c>
      <c r="R215" t="s">
        <v>737</v>
      </c>
    </row>
    <row r="216" spans="1:18" x14ac:dyDescent="0.25">
      <c r="A216" s="6">
        <v>212</v>
      </c>
      <c r="B216" s="7">
        <v>44979</v>
      </c>
      <c r="C216" s="8" t="s">
        <v>124</v>
      </c>
      <c r="D216" s="8" t="s">
        <v>83</v>
      </c>
      <c r="E216" s="8" t="s">
        <v>84</v>
      </c>
      <c r="F216" s="8" t="s">
        <v>148</v>
      </c>
      <c r="G216" s="6">
        <v>44</v>
      </c>
      <c r="H216" s="25">
        <v>4500</v>
      </c>
      <c r="I216" s="6">
        <v>0</v>
      </c>
      <c r="J216" s="6">
        <f t="shared" si="6"/>
        <v>198000</v>
      </c>
      <c r="K216" s="6">
        <f t="shared" si="7"/>
        <v>198000</v>
      </c>
      <c r="L216" s="8" t="s">
        <v>76</v>
      </c>
      <c r="M216" s="8" t="s">
        <v>77</v>
      </c>
      <c r="N216">
        <v>2</v>
      </c>
      <c r="O216">
        <v>2023</v>
      </c>
      <c r="P216" s="29" t="s">
        <v>717</v>
      </c>
      <c r="Q216" t="s">
        <v>735</v>
      </c>
      <c r="R216" t="s">
        <v>739</v>
      </c>
    </row>
    <row r="217" spans="1:18" x14ac:dyDescent="0.25">
      <c r="A217" s="9">
        <v>213</v>
      </c>
      <c r="B217" s="10">
        <v>44946</v>
      </c>
      <c r="C217" s="11" t="s">
        <v>119</v>
      </c>
      <c r="D217" s="11" t="s">
        <v>117</v>
      </c>
      <c r="E217" s="11" t="s">
        <v>111</v>
      </c>
      <c r="F217" s="11" t="s">
        <v>166</v>
      </c>
      <c r="G217" s="9">
        <v>14</v>
      </c>
      <c r="H217" s="26">
        <v>28100</v>
      </c>
      <c r="I217" s="9">
        <v>20</v>
      </c>
      <c r="J217" s="9">
        <f t="shared" si="6"/>
        <v>393400</v>
      </c>
      <c r="K217" s="9">
        <f t="shared" si="7"/>
        <v>314720</v>
      </c>
      <c r="L217" s="11" t="s">
        <v>76</v>
      </c>
      <c r="M217" s="11" t="s">
        <v>91</v>
      </c>
      <c r="N217">
        <v>1</v>
      </c>
      <c r="O217">
        <v>2023</v>
      </c>
      <c r="P217" s="29" t="s">
        <v>721</v>
      </c>
      <c r="Q217" t="s">
        <v>735</v>
      </c>
      <c r="R217" t="s">
        <v>737</v>
      </c>
    </row>
    <row r="218" spans="1:18" x14ac:dyDescent="0.25">
      <c r="A218" s="6">
        <v>214</v>
      </c>
      <c r="B218" s="7">
        <v>45049</v>
      </c>
      <c r="C218" s="8" t="s">
        <v>108</v>
      </c>
      <c r="D218" s="8" t="s">
        <v>93</v>
      </c>
      <c r="E218" s="8" t="s">
        <v>84</v>
      </c>
      <c r="F218" s="8" t="s">
        <v>200</v>
      </c>
      <c r="G218" s="6">
        <v>31</v>
      </c>
      <c r="H218" s="25">
        <v>3700</v>
      </c>
      <c r="I218" s="6">
        <v>0</v>
      </c>
      <c r="J218" s="6">
        <f t="shared" si="6"/>
        <v>114700</v>
      </c>
      <c r="K218" s="6">
        <f t="shared" si="7"/>
        <v>114700</v>
      </c>
      <c r="L218" s="8" t="s">
        <v>76</v>
      </c>
      <c r="M218" s="8" t="s">
        <v>96</v>
      </c>
      <c r="N218">
        <v>5</v>
      </c>
      <c r="O218">
        <v>2023</v>
      </c>
      <c r="P218" s="29" t="s">
        <v>730</v>
      </c>
      <c r="Q218" t="s">
        <v>736</v>
      </c>
      <c r="R218" t="s">
        <v>739</v>
      </c>
    </row>
    <row r="219" spans="1:18" x14ac:dyDescent="0.25">
      <c r="A219" s="9">
        <v>215</v>
      </c>
      <c r="B219" s="10">
        <v>45397</v>
      </c>
      <c r="C219" s="11" t="s">
        <v>82</v>
      </c>
      <c r="D219" s="11" t="s">
        <v>117</v>
      </c>
      <c r="E219" s="11" t="s">
        <v>102</v>
      </c>
      <c r="F219" s="11" t="s">
        <v>157</v>
      </c>
      <c r="G219" s="9">
        <v>47</v>
      </c>
      <c r="H219" s="26">
        <v>12800</v>
      </c>
      <c r="I219" s="9">
        <v>10</v>
      </c>
      <c r="J219" s="9">
        <f t="shared" si="6"/>
        <v>601600</v>
      </c>
      <c r="K219" s="9">
        <f t="shared" si="7"/>
        <v>541440</v>
      </c>
      <c r="L219" s="11" t="s">
        <v>187</v>
      </c>
      <c r="M219" s="11" t="s">
        <v>96</v>
      </c>
      <c r="N219">
        <v>4</v>
      </c>
      <c r="O219">
        <v>2024</v>
      </c>
      <c r="P219" s="29" t="s">
        <v>722</v>
      </c>
      <c r="Q219" t="s">
        <v>736</v>
      </c>
      <c r="R219" t="s">
        <v>737</v>
      </c>
    </row>
    <row r="220" spans="1:18" x14ac:dyDescent="0.25">
      <c r="A220" s="6">
        <v>216</v>
      </c>
      <c r="B220" s="7">
        <v>45570</v>
      </c>
      <c r="C220" s="8" t="s">
        <v>106</v>
      </c>
      <c r="D220" s="8" t="s">
        <v>109</v>
      </c>
      <c r="E220" s="8" t="s">
        <v>74</v>
      </c>
      <c r="F220" s="8" t="s">
        <v>190</v>
      </c>
      <c r="G220" s="6">
        <v>20</v>
      </c>
      <c r="H220" s="25">
        <v>30600</v>
      </c>
      <c r="I220" s="6">
        <v>15</v>
      </c>
      <c r="J220" s="6">
        <f t="shared" si="6"/>
        <v>612000</v>
      </c>
      <c r="K220" s="6">
        <f t="shared" si="7"/>
        <v>520200</v>
      </c>
      <c r="L220" s="8" t="s">
        <v>187</v>
      </c>
      <c r="M220" s="8" t="s">
        <v>81</v>
      </c>
      <c r="N220">
        <v>10</v>
      </c>
      <c r="O220">
        <v>2024</v>
      </c>
      <c r="P220" s="29" t="s">
        <v>709</v>
      </c>
      <c r="Q220" t="s">
        <v>733</v>
      </c>
      <c r="R220" t="s">
        <v>737</v>
      </c>
    </row>
    <row r="221" spans="1:18" x14ac:dyDescent="0.25">
      <c r="A221" s="9">
        <v>217</v>
      </c>
      <c r="B221" s="10">
        <v>45648</v>
      </c>
      <c r="C221" s="11" t="s">
        <v>119</v>
      </c>
      <c r="D221" s="11" t="s">
        <v>117</v>
      </c>
      <c r="E221" s="11" t="s">
        <v>111</v>
      </c>
      <c r="F221" s="11" t="s">
        <v>132</v>
      </c>
      <c r="G221" s="9">
        <v>47</v>
      </c>
      <c r="H221" s="26">
        <v>7800</v>
      </c>
      <c r="I221" s="9">
        <v>10</v>
      </c>
      <c r="J221" s="9">
        <f t="shared" si="6"/>
        <v>366600</v>
      </c>
      <c r="K221" s="9">
        <f t="shared" si="7"/>
        <v>329940</v>
      </c>
      <c r="L221" s="11" t="s">
        <v>76</v>
      </c>
      <c r="M221" s="11" t="s">
        <v>77</v>
      </c>
      <c r="N221">
        <v>12</v>
      </c>
      <c r="O221">
        <v>2024</v>
      </c>
      <c r="P221" s="29" t="s">
        <v>728</v>
      </c>
      <c r="Q221" t="s">
        <v>733</v>
      </c>
      <c r="R221" t="s">
        <v>737</v>
      </c>
    </row>
    <row r="222" spans="1:18" x14ac:dyDescent="0.25">
      <c r="A222" s="6">
        <v>218</v>
      </c>
      <c r="B222" s="7">
        <v>45619</v>
      </c>
      <c r="C222" s="8" t="s">
        <v>82</v>
      </c>
      <c r="D222" s="8" t="s">
        <v>83</v>
      </c>
      <c r="E222" s="8" t="s">
        <v>111</v>
      </c>
      <c r="F222" s="8" t="s">
        <v>132</v>
      </c>
      <c r="G222" s="6">
        <v>10</v>
      </c>
      <c r="H222" s="25">
        <v>8500</v>
      </c>
      <c r="I222" s="6">
        <v>15</v>
      </c>
      <c r="J222" s="6">
        <f t="shared" si="6"/>
        <v>85000</v>
      </c>
      <c r="K222" s="6">
        <f t="shared" si="7"/>
        <v>72250</v>
      </c>
      <c r="L222" s="8" t="s">
        <v>76</v>
      </c>
      <c r="M222" s="8" t="s">
        <v>96</v>
      </c>
      <c r="N222">
        <v>11</v>
      </c>
      <c r="O222">
        <v>2024</v>
      </c>
      <c r="P222" s="29" t="s">
        <v>714</v>
      </c>
      <c r="Q222" t="s">
        <v>733</v>
      </c>
      <c r="R222" t="s">
        <v>739</v>
      </c>
    </row>
    <row r="223" spans="1:18" x14ac:dyDescent="0.25">
      <c r="A223" s="9">
        <v>219</v>
      </c>
      <c r="B223" s="10">
        <v>45007</v>
      </c>
      <c r="C223" s="11" t="s">
        <v>88</v>
      </c>
      <c r="D223" s="11" t="s">
        <v>83</v>
      </c>
      <c r="E223" s="11" t="s">
        <v>74</v>
      </c>
      <c r="F223" s="11" t="s">
        <v>99</v>
      </c>
      <c r="G223" s="9">
        <v>35</v>
      </c>
      <c r="H223" s="26">
        <v>3300</v>
      </c>
      <c r="I223" s="9">
        <v>0</v>
      </c>
      <c r="J223" s="9">
        <f t="shared" si="6"/>
        <v>115500</v>
      </c>
      <c r="K223" s="9">
        <f t="shared" si="7"/>
        <v>115500</v>
      </c>
      <c r="L223" s="11" t="s">
        <v>76</v>
      </c>
      <c r="M223" s="11" t="s">
        <v>96</v>
      </c>
      <c r="N223">
        <v>3</v>
      </c>
      <c r="O223">
        <v>2023</v>
      </c>
      <c r="P223" s="29" t="s">
        <v>719</v>
      </c>
      <c r="Q223" t="s">
        <v>735</v>
      </c>
      <c r="R223" t="s">
        <v>739</v>
      </c>
    </row>
    <row r="224" spans="1:18" x14ac:dyDescent="0.25">
      <c r="A224" s="6">
        <v>220</v>
      </c>
      <c r="B224" s="7">
        <v>45038</v>
      </c>
      <c r="C224" s="8" t="s">
        <v>124</v>
      </c>
      <c r="D224" s="8" t="s">
        <v>93</v>
      </c>
      <c r="E224" s="8" t="s">
        <v>84</v>
      </c>
      <c r="F224" s="8" t="s">
        <v>90</v>
      </c>
      <c r="G224" s="6">
        <v>34</v>
      </c>
      <c r="H224" s="25">
        <v>1600</v>
      </c>
      <c r="I224" s="6">
        <v>0</v>
      </c>
      <c r="J224" s="6">
        <f t="shared" si="6"/>
        <v>54400</v>
      </c>
      <c r="K224" s="6">
        <f t="shared" si="7"/>
        <v>54400</v>
      </c>
      <c r="L224" s="8" t="s">
        <v>76</v>
      </c>
      <c r="M224" s="31" t="s">
        <v>695</v>
      </c>
      <c r="N224">
        <v>4</v>
      </c>
      <c r="O224">
        <v>2023</v>
      </c>
      <c r="P224" s="29" t="s">
        <v>716</v>
      </c>
      <c r="Q224" t="s">
        <v>736</v>
      </c>
      <c r="R224" t="s">
        <v>739</v>
      </c>
    </row>
    <row r="225" spans="1:18" x14ac:dyDescent="0.25">
      <c r="A225" s="9">
        <v>223</v>
      </c>
      <c r="B225" s="10">
        <v>45573</v>
      </c>
      <c r="C225" s="11" t="s">
        <v>106</v>
      </c>
      <c r="D225" s="11" t="s">
        <v>93</v>
      </c>
      <c r="E225" s="11" t="s">
        <v>79</v>
      </c>
      <c r="F225" s="11" t="s">
        <v>122</v>
      </c>
      <c r="G225" s="9">
        <v>12</v>
      </c>
      <c r="H225" s="26">
        <v>18100</v>
      </c>
      <c r="I225" s="9">
        <v>20</v>
      </c>
      <c r="J225" s="9">
        <f t="shared" si="6"/>
        <v>217200</v>
      </c>
      <c r="K225" s="9">
        <f t="shared" si="7"/>
        <v>173760</v>
      </c>
      <c r="L225" s="11" t="s">
        <v>123</v>
      </c>
      <c r="M225" s="11" t="s">
        <v>77</v>
      </c>
      <c r="N225">
        <v>10</v>
      </c>
      <c r="O225">
        <v>2024</v>
      </c>
      <c r="P225" s="29" t="s">
        <v>709</v>
      </c>
      <c r="Q225" t="s">
        <v>733</v>
      </c>
      <c r="R225" t="s">
        <v>739</v>
      </c>
    </row>
    <row r="226" spans="1:18" x14ac:dyDescent="0.25">
      <c r="A226" s="6">
        <v>224</v>
      </c>
      <c r="B226" s="7">
        <v>45598</v>
      </c>
      <c r="C226" s="8" t="s">
        <v>119</v>
      </c>
      <c r="D226" s="8" t="s">
        <v>109</v>
      </c>
      <c r="E226" s="8" t="s">
        <v>74</v>
      </c>
      <c r="F226" s="8" t="s">
        <v>94</v>
      </c>
      <c r="G226" s="6">
        <v>37</v>
      </c>
      <c r="H226" s="25">
        <v>31600</v>
      </c>
      <c r="I226" s="6">
        <v>0</v>
      </c>
      <c r="J226" s="6">
        <f t="shared" si="6"/>
        <v>1169200</v>
      </c>
      <c r="K226" s="6">
        <f t="shared" si="7"/>
        <v>1169200</v>
      </c>
      <c r="L226" s="8" t="s">
        <v>76</v>
      </c>
      <c r="M226" s="8" t="s">
        <v>96</v>
      </c>
      <c r="N226">
        <v>11</v>
      </c>
      <c r="O226">
        <v>2024</v>
      </c>
      <c r="P226" s="29" t="s">
        <v>714</v>
      </c>
      <c r="Q226" t="s">
        <v>733</v>
      </c>
      <c r="R226" t="s">
        <v>737</v>
      </c>
    </row>
    <row r="227" spans="1:18" x14ac:dyDescent="0.25">
      <c r="A227" s="9">
        <v>225</v>
      </c>
      <c r="B227" s="10">
        <v>45569</v>
      </c>
      <c r="C227" s="11" t="s">
        <v>82</v>
      </c>
      <c r="D227" s="11" t="s">
        <v>93</v>
      </c>
      <c r="E227" s="11" t="s">
        <v>111</v>
      </c>
      <c r="F227" s="11" t="s">
        <v>166</v>
      </c>
      <c r="G227" s="9">
        <v>30</v>
      </c>
      <c r="H227" s="26">
        <v>31200</v>
      </c>
      <c r="I227" s="9">
        <v>0</v>
      </c>
      <c r="J227" s="9">
        <f t="shared" si="6"/>
        <v>936000</v>
      </c>
      <c r="K227" s="9">
        <f t="shared" si="7"/>
        <v>936000</v>
      </c>
      <c r="L227" s="11" t="s">
        <v>76</v>
      </c>
      <c r="M227" s="11" t="s">
        <v>77</v>
      </c>
      <c r="N227">
        <v>10</v>
      </c>
      <c r="O227">
        <v>2024</v>
      </c>
      <c r="P227" s="29" t="s">
        <v>709</v>
      </c>
      <c r="Q227" t="s">
        <v>733</v>
      </c>
      <c r="R227" t="s">
        <v>737</v>
      </c>
    </row>
    <row r="228" spans="1:18" x14ac:dyDescent="0.25">
      <c r="A228" s="6">
        <v>226</v>
      </c>
      <c r="B228" s="7">
        <v>45093</v>
      </c>
      <c r="C228" s="8" t="s">
        <v>119</v>
      </c>
      <c r="D228" s="8" t="s">
        <v>117</v>
      </c>
      <c r="E228" s="8" t="s">
        <v>84</v>
      </c>
      <c r="F228" s="8" t="s">
        <v>206</v>
      </c>
      <c r="G228" s="6">
        <v>19</v>
      </c>
      <c r="H228" s="25">
        <v>15200</v>
      </c>
      <c r="I228" s="6">
        <v>0</v>
      </c>
      <c r="J228" s="6">
        <f t="shared" si="6"/>
        <v>288800</v>
      </c>
      <c r="K228" s="6">
        <f t="shared" si="7"/>
        <v>288800</v>
      </c>
      <c r="L228" s="8" t="s">
        <v>76</v>
      </c>
      <c r="M228" s="8" t="s">
        <v>81</v>
      </c>
      <c r="N228">
        <v>6</v>
      </c>
      <c r="O228">
        <v>2023</v>
      </c>
      <c r="P228" s="29" t="s">
        <v>723</v>
      </c>
      <c r="Q228" t="s">
        <v>736</v>
      </c>
      <c r="R228" t="s">
        <v>737</v>
      </c>
    </row>
    <row r="229" spans="1:18" x14ac:dyDescent="0.25">
      <c r="A229" s="9">
        <v>227</v>
      </c>
      <c r="B229" s="10">
        <v>45552</v>
      </c>
      <c r="C229" s="11" t="s">
        <v>114</v>
      </c>
      <c r="D229" s="11" t="s">
        <v>83</v>
      </c>
      <c r="E229" s="11" t="s">
        <v>102</v>
      </c>
      <c r="F229" s="11" t="s">
        <v>157</v>
      </c>
      <c r="G229" s="9">
        <v>43</v>
      </c>
      <c r="H229" s="26">
        <v>11100</v>
      </c>
      <c r="I229" s="9">
        <v>5</v>
      </c>
      <c r="J229" s="9">
        <f t="shared" si="6"/>
        <v>477300</v>
      </c>
      <c r="K229" s="9">
        <f t="shared" si="7"/>
        <v>453435</v>
      </c>
      <c r="L229" s="11" t="s">
        <v>76</v>
      </c>
      <c r="M229" s="31" t="s">
        <v>695</v>
      </c>
      <c r="N229">
        <v>9</v>
      </c>
      <c r="O229">
        <v>2024</v>
      </c>
      <c r="P229" s="29" t="s">
        <v>731</v>
      </c>
      <c r="Q229" t="s">
        <v>734</v>
      </c>
      <c r="R229" t="s">
        <v>737</v>
      </c>
    </row>
    <row r="230" spans="1:18" x14ac:dyDescent="0.25">
      <c r="A230" s="6">
        <v>228</v>
      </c>
      <c r="B230" s="7">
        <v>45258</v>
      </c>
      <c r="C230" s="8" t="s">
        <v>106</v>
      </c>
      <c r="D230" s="8" t="s">
        <v>73</v>
      </c>
      <c r="E230" s="8" t="s">
        <v>74</v>
      </c>
      <c r="F230" s="8" t="s">
        <v>140</v>
      </c>
      <c r="G230" s="6">
        <v>49</v>
      </c>
      <c r="H230" s="25">
        <v>4300</v>
      </c>
      <c r="I230" s="6">
        <v>0</v>
      </c>
      <c r="J230" s="6">
        <f t="shared" si="6"/>
        <v>210700</v>
      </c>
      <c r="K230" s="6">
        <f t="shared" si="7"/>
        <v>210700</v>
      </c>
      <c r="L230" s="8" t="s">
        <v>76</v>
      </c>
      <c r="M230" s="8" t="s">
        <v>96</v>
      </c>
      <c r="N230">
        <v>11</v>
      </c>
      <c r="O230">
        <v>2023</v>
      </c>
      <c r="P230" s="29" t="s">
        <v>718</v>
      </c>
      <c r="Q230" t="s">
        <v>733</v>
      </c>
      <c r="R230" t="s">
        <v>737</v>
      </c>
    </row>
    <row r="231" spans="1:18" x14ac:dyDescent="0.25">
      <c r="A231" s="9">
        <v>229</v>
      </c>
      <c r="B231" s="10">
        <v>45523</v>
      </c>
      <c r="C231" s="11" t="s">
        <v>124</v>
      </c>
      <c r="D231" s="11" t="s">
        <v>73</v>
      </c>
      <c r="E231" s="11" t="s">
        <v>74</v>
      </c>
      <c r="F231" s="11" t="s">
        <v>212</v>
      </c>
      <c r="G231" s="9">
        <v>4</v>
      </c>
      <c r="H231" s="26">
        <v>8600</v>
      </c>
      <c r="I231" s="9">
        <v>0</v>
      </c>
      <c r="J231" s="9">
        <f t="shared" si="6"/>
        <v>34400</v>
      </c>
      <c r="K231" s="9">
        <f t="shared" si="7"/>
        <v>34400</v>
      </c>
      <c r="L231" s="11" t="s">
        <v>187</v>
      </c>
      <c r="M231" s="11" t="s">
        <v>91</v>
      </c>
      <c r="N231">
        <v>8</v>
      </c>
      <c r="O231">
        <v>2024</v>
      </c>
      <c r="P231" s="29" t="s">
        <v>710</v>
      </c>
      <c r="Q231" t="s">
        <v>734</v>
      </c>
      <c r="R231" t="s">
        <v>738</v>
      </c>
    </row>
    <row r="232" spans="1:18" x14ac:dyDescent="0.25">
      <c r="A232" s="6">
        <v>230</v>
      </c>
      <c r="B232" s="7">
        <v>45090</v>
      </c>
      <c r="C232" s="8" t="s">
        <v>114</v>
      </c>
      <c r="D232" s="8" t="s">
        <v>93</v>
      </c>
      <c r="E232" s="8" t="s">
        <v>74</v>
      </c>
      <c r="F232" s="8" t="s">
        <v>118</v>
      </c>
      <c r="G232" s="6">
        <v>19</v>
      </c>
      <c r="H232" s="25">
        <v>29700</v>
      </c>
      <c r="I232" s="6">
        <v>0</v>
      </c>
      <c r="J232" s="6">
        <f t="shared" si="6"/>
        <v>564300</v>
      </c>
      <c r="K232" s="6">
        <f t="shared" si="7"/>
        <v>564300</v>
      </c>
      <c r="L232" s="8" t="s">
        <v>76</v>
      </c>
      <c r="M232" s="8" t="s">
        <v>81</v>
      </c>
      <c r="N232">
        <v>6</v>
      </c>
      <c r="O232">
        <v>2023</v>
      </c>
      <c r="P232" s="29" t="s">
        <v>723</v>
      </c>
      <c r="Q232" t="s">
        <v>736</v>
      </c>
      <c r="R232" t="s">
        <v>737</v>
      </c>
    </row>
    <row r="233" spans="1:18" x14ac:dyDescent="0.25">
      <c r="A233" s="9">
        <v>231</v>
      </c>
      <c r="B233" s="10">
        <v>45063</v>
      </c>
      <c r="C233" s="11" t="s">
        <v>119</v>
      </c>
      <c r="D233" s="11" t="s">
        <v>109</v>
      </c>
      <c r="E233" s="11" t="s">
        <v>111</v>
      </c>
      <c r="F233" s="11" t="s">
        <v>132</v>
      </c>
      <c r="G233" s="9">
        <v>36</v>
      </c>
      <c r="H233" s="26">
        <v>7500</v>
      </c>
      <c r="I233" s="9">
        <v>20</v>
      </c>
      <c r="J233" s="9">
        <f t="shared" si="6"/>
        <v>270000</v>
      </c>
      <c r="K233" s="9">
        <f t="shared" si="7"/>
        <v>216000</v>
      </c>
      <c r="L233" s="11" t="s">
        <v>107</v>
      </c>
      <c r="M233" s="11" t="s">
        <v>81</v>
      </c>
      <c r="N233">
        <v>5</v>
      </c>
      <c r="O233">
        <v>2023</v>
      </c>
      <c r="P233" s="29" t="s">
        <v>730</v>
      </c>
      <c r="Q233" t="s">
        <v>736</v>
      </c>
      <c r="R233" t="s">
        <v>737</v>
      </c>
    </row>
    <row r="234" spans="1:18" x14ac:dyDescent="0.25">
      <c r="A234" s="6">
        <v>232</v>
      </c>
      <c r="B234" s="7">
        <v>45239</v>
      </c>
      <c r="C234" s="8" t="s">
        <v>124</v>
      </c>
      <c r="D234" s="8" t="s">
        <v>73</v>
      </c>
      <c r="E234" s="8" t="s">
        <v>102</v>
      </c>
      <c r="F234" s="8" t="s">
        <v>197</v>
      </c>
      <c r="G234" s="6">
        <v>24</v>
      </c>
      <c r="H234" s="25">
        <v>3900</v>
      </c>
      <c r="I234" s="6">
        <v>0</v>
      </c>
      <c r="J234" s="6">
        <f t="shared" si="6"/>
        <v>93600</v>
      </c>
      <c r="K234" s="6">
        <f t="shared" si="7"/>
        <v>93600</v>
      </c>
      <c r="L234" s="8" t="s">
        <v>76</v>
      </c>
      <c r="M234" s="8" t="s">
        <v>77</v>
      </c>
      <c r="N234">
        <v>11</v>
      </c>
      <c r="O234">
        <v>2023</v>
      </c>
      <c r="P234" s="29" t="s">
        <v>718</v>
      </c>
      <c r="Q234" t="s">
        <v>733</v>
      </c>
      <c r="R234" t="s">
        <v>739</v>
      </c>
    </row>
    <row r="235" spans="1:18" x14ac:dyDescent="0.25">
      <c r="A235" s="9">
        <v>233</v>
      </c>
      <c r="B235" s="10">
        <v>45487</v>
      </c>
      <c r="C235" s="11" t="s">
        <v>82</v>
      </c>
      <c r="D235" s="11" t="s">
        <v>109</v>
      </c>
      <c r="E235" s="11" t="s">
        <v>102</v>
      </c>
      <c r="F235" s="11" t="s">
        <v>103</v>
      </c>
      <c r="G235" s="9">
        <v>34</v>
      </c>
      <c r="H235" s="26">
        <v>9200</v>
      </c>
      <c r="I235" s="9">
        <v>15</v>
      </c>
      <c r="J235" s="9">
        <f t="shared" si="6"/>
        <v>312800</v>
      </c>
      <c r="K235" s="9">
        <f t="shared" si="7"/>
        <v>265880</v>
      </c>
      <c r="L235" s="11" t="s">
        <v>76</v>
      </c>
      <c r="M235" s="11" t="s">
        <v>81</v>
      </c>
      <c r="N235">
        <v>7</v>
      </c>
      <c r="O235">
        <v>2024</v>
      </c>
      <c r="P235" s="29" t="s">
        <v>712</v>
      </c>
      <c r="Q235" t="s">
        <v>734</v>
      </c>
      <c r="R235" t="s">
        <v>737</v>
      </c>
    </row>
    <row r="236" spans="1:18" x14ac:dyDescent="0.25">
      <c r="A236" s="6">
        <v>234</v>
      </c>
      <c r="B236" s="7">
        <v>45524</v>
      </c>
      <c r="C236" s="8" t="s">
        <v>119</v>
      </c>
      <c r="D236" s="8" t="s">
        <v>73</v>
      </c>
      <c r="E236" s="8" t="s">
        <v>102</v>
      </c>
      <c r="F236" s="8" t="s">
        <v>197</v>
      </c>
      <c r="G236" s="6">
        <v>30</v>
      </c>
      <c r="H236" s="25">
        <v>4200</v>
      </c>
      <c r="I236" s="6">
        <v>5</v>
      </c>
      <c r="J236" s="6">
        <f t="shared" si="6"/>
        <v>126000</v>
      </c>
      <c r="K236" s="6">
        <f t="shared" si="7"/>
        <v>119700</v>
      </c>
      <c r="L236" s="8" t="s">
        <v>76</v>
      </c>
      <c r="M236" s="8" t="s">
        <v>91</v>
      </c>
      <c r="N236">
        <v>8</v>
      </c>
      <c r="O236">
        <v>2024</v>
      </c>
      <c r="P236" s="29" t="s">
        <v>710</v>
      </c>
      <c r="Q236" t="s">
        <v>734</v>
      </c>
      <c r="R236" t="s">
        <v>739</v>
      </c>
    </row>
    <row r="237" spans="1:18" x14ac:dyDescent="0.25">
      <c r="A237" s="9">
        <v>235</v>
      </c>
      <c r="B237" s="10">
        <v>45504</v>
      </c>
      <c r="C237" s="11" t="s">
        <v>78</v>
      </c>
      <c r="D237" s="11" t="s">
        <v>93</v>
      </c>
      <c r="E237" s="11" t="s">
        <v>111</v>
      </c>
      <c r="F237" s="11" t="s">
        <v>135</v>
      </c>
      <c r="G237" s="9">
        <v>26</v>
      </c>
      <c r="H237" s="26">
        <v>124300</v>
      </c>
      <c r="I237" s="9">
        <v>15</v>
      </c>
      <c r="J237" s="9">
        <f t="shared" si="6"/>
        <v>3231800</v>
      </c>
      <c r="K237" s="9">
        <f t="shared" si="7"/>
        <v>2747030</v>
      </c>
      <c r="L237" s="11" t="s">
        <v>76</v>
      </c>
      <c r="M237" s="11" t="s">
        <v>77</v>
      </c>
      <c r="N237">
        <v>7</v>
      </c>
      <c r="O237">
        <v>2024</v>
      </c>
      <c r="P237" s="29" t="s">
        <v>712</v>
      </c>
      <c r="Q237" t="s">
        <v>734</v>
      </c>
      <c r="R237" t="s">
        <v>737</v>
      </c>
    </row>
    <row r="238" spans="1:18" x14ac:dyDescent="0.25">
      <c r="A238" s="6">
        <v>236</v>
      </c>
      <c r="B238" s="7">
        <v>45268</v>
      </c>
      <c r="C238" s="8" t="s">
        <v>124</v>
      </c>
      <c r="D238" s="8" t="s">
        <v>73</v>
      </c>
      <c r="E238" s="8" t="s">
        <v>79</v>
      </c>
      <c r="F238" s="8" t="s">
        <v>115</v>
      </c>
      <c r="G238" s="6">
        <v>5</v>
      </c>
      <c r="H238" s="25">
        <v>8900</v>
      </c>
      <c r="I238" s="6">
        <v>0</v>
      </c>
      <c r="J238" s="6">
        <f t="shared" si="6"/>
        <v>44500</v>
      </c>
      <c r="K238" s="6">
        <f t="shared" si="7"/>
        <v>44500</v>
      </c>
      <c r="L238" s="8" t="s">
        <v>76</v>
      </c>
      <c r="M238" s="8" t="s">
        <v>77</v>
      </c>
      <c r="N238">
        <v>12</v>
      </c>
      <c r="O238">
        <v>2023</v>
      </c>
      <c r="P238" s="29" t="s">
        <v>725</v>
      </c>
      <c r="Q238" t="s">
        <v>733</v>
      </c>
      <c r="R238" t="s">
        <v>738</v>
      </c>
    </row>
    <row r="239" spans="1:18" x14ac:dyDescent="0.25">
      <c r="A239" s="9">
        <v>237</v>
      </c>
      <c r="B239" s="10">
        <v>45410</v>
      </c>
      <c r="C239" s="11" t="s">
        <v>78</v>
      </c>
      <c r="D239" s="30" t="s">
        <v>703</v>
      </c>
      <c r="E239" s="11" t="s">
        <v>111</v>
      </c>
      <c r="F239" s="11" t="s">
        <v>166</v>
      </c>
      <c r="G239" s="9">
        <v>50</v>
      </c>
      <c r="H239" s="26">
        <v>30600</v>
      </c>
      <c r="I239" s="9">
        <v>0</v>
      </c>
      <c r="J239" s="9">
        <f t="shared" si="6"/>
        <v>1530000</v>
      </c>
      <c r="K239" s="9">
        <f t="shared" si="7"/>
        <v>1530000</v>
      </c>
      <c r="L239" s="11" t="s">
        <v>76</v>
      </c>
      <c r="M239" s="11" t="s">
        <v>91</v>
      </c>
      <c r="N239">
        <v>4</v>
      </c>
      <c r="O239">
        <v>2024</v>
      </c>
      <c r="P239" s="29" t="s">
        <v>722</v>
      </c>
      <c r="Q239" t="s">
        <v>736</v>
      </c>
      <c r="R239" t="s">
        <v>737</v>
      </c>
    </row>
    <row r="240" spans="1:18" x14ac:dyDescent="0.25">
      <c r="A240" s="6">
        <v>238</v>
      </c>
      <c r="B240" s="7">
        <v>45318</v>
      </c>
      <c r="C240" s="8" t="s">
        <v>119</v>
      </c>
      <c r="D240" s="8" t="s">
        <v>83</v>
      </c>
      <c r="E240" s="8" t="s">
        <v>111</v>
      </c>
      <c r="F240" s="8" t="s">
        <v>112</v>
      </c>
      <c r="G240" s="6">
        <v>43</v>
      </c>
      <c r="H240" s="25">
        <v>69600</v>
      </c>
      <c r="I240" s="6">
        <v>15</v>
      </c>
      <c r="J240" s="6">
        <f t="shared" si="6"/>
        <v>2992800</v>
      </c>
      <c r="K240" s="6">
        <f t="shared" si="7"/>
        <v>2543880</v>
      </c>
      <c r="L240" s="8" t="s">
        <v>107</v>
      </c>
      <c r="M240" s="8" t="s">
        <v>81</v>
      </c>
      <c r="N240">
        <v>1</v>
      </c>
      <c r="O240">
        <v>2024</v>
      </c>
      <c r="P240" s="29" t="s">
        <v>727</v>
      </c>
      <c r="Q240" t="s">
        <v>735</v>
      </c>
      <c r="R240" t="s">
        <v>737</v>
      </c>
    </row>
    <row r="241" spans="1:18" x14ac:dyDescent="0.25">
      <c r="A241" s="9">
        <v>239</v>
      </c>
      <c r="B241" s="10">
        <v>45283</v>
      </c>
      <c r="C241" s="11" t="s">
        <v>97</v>
      </c>
      <c r="D241" s="11" t="s">
        <v>109</v>
      </c>
      <c r="E241" s="11" t="s">
        <v>102</v>
      </c>
      <c r="F241" s="11" t="s">
        <v>151</v>
      </c>
      <c r="G241" s="9">
        <v>47</v>
      </c>
      <c r="H241" s="26">
        <v>7700</v>
      </c>
      <c r="I241" s="9">
        <v>20</v>
      </c>
      <c r="J241" s="9">
        <f t="shared" si="6"/>
        <v>361900</v>
      </c>
      <c r="K241" s="9">
        <f t="shared" si="7"/>
        <v>289520</v>
      </c>
      <c r="L241" s="11" t="s">
        <v>123</v>
      </c>
      <c r="M241" s="11" t="s">
        <v>77</v>
      </c>
      <c r="N241">
        <v>12</v>
      </c>
      <c r="O241">
        <v>2023</v>
      </c>
      <c r="P241" s="29" t="s">
        <v>725</v>
      </c>
      <c r="Q241" t="s">
        <v>733</v>
      </c>
      <c r="R241" t="s">
        <v>737</v>
      </c>
    </row>
    <row r="242" spans="1:18" x14ac:dyDescent="0.25">
      <c r="A242" s="6">
        <v>240</v>
      </c>
      <c r="B242" s="7">
        <v>44950</v>
      </c>
      <c r="C242" s="8" t="s">
        <v>101</v>
      </c>
      <c r="D242" s="8" t="s">
        <v>83</v>
      </c>
      <c r="E242" s="8" t="s">
        <v>102</v>
      </c>
      <c r="F242" s="8" t="s">
        <v>151</v>
      </c>
      <c r="G242" s="6">
        <v>15</v>
      </c>
      <c r="H242" s="25">
        <v>7700</v>
      </c>
      <c r="I242" s="6">
        <v>0</v>
      </c>
      <c r="J242" s="6">
        <f t="shared" si="6"/>
        <v>115500</v>
      </c>
      <c r="K242" s="6">
        <f t="shared" si="7"/>
        <v>115500</v>
      </c>
      <c r="L242" s="8" t="s">
        <v>76</v>
      </c>
      <c r="M242" s="8" t="s">
        <v>96</v>
      </c>
      <c r="N242">
        <v>1</v>
      </c>
      <c r="O242">
        <v>2023</v>
      </c>
      <c r="P242" s="29" t="s">
        <v>721</v>
      </c>
      <c r="Q242" t="s">
        <v>735</v>
      </c>
      <c r="R242" t="s">
        <v>739</v>
      </c>
    </row>
    <row r="243" spans="1:18" x14ac:dyDescent="0.25">
      <c r="A243" s="9">
        <v>241</v>
      </c>
      <c r="B243" s="10">
        <v>45209</v>
      </c>
      <c r="C243" s="11" t="s">
        <v>106</v>
      </c>
      <c r="D243" s="11" t="s">
        <v>73</v>
      </c>
      <c r="E243" s="11" t="s">
        <v>79</v>
      </c>
      <c r="F243" s="11" t="s">
        <v>115</v>
      </c>
      <c r="G243" s="9">
        <v>2</v>
      </c>
      <c r="H243" s="26">
        <v>9500</v>
      </c>
      <c r="I243" s="9">
        <v>0</v>
      </c>
      <c r="J243" s="9">
        <f t="shared" si="6"/>
        <v>19000</v>
      </c>
      <c r="K243" s="9">
        <f t="shared" si="7"/>
        <v>19000</v>
      </c>
      <c r="L243" s="11" t="s">
        <v>76</v>
      </c>
      <c r="M243" s="11" t="s">
        <v>77</v>
      </c>
      <c r="N243">
        <v>10</v>
      </c>
      <c r="O243">
        <v>2023</v>
      </c>
      <c r="P243" s="29" t="s">
        <v>726</v>
      </c>
      <c r="Q243" t="s">
        <v>733</v>
      </c>
      <c r="R243" t="s">
        <v>738</v>
      </c>
    </row>
    <row r="244" spans="1:18" x14ac:dyDescent="0.25">
      <c r="A244" s="6">
        <v>242</v>
      </c>
      <c r="B244" s="7">
        <v>45535</v>
      </c>
      <c r="C244" s="8" t="s">
        <v>78</v>
      </c>
      <c r="D244" s="8" t="s">
        <v>83</v>
      </c>
      <c r="E244" s="8" t="s">
        <v>102</v>
      </c>
      <c r="F244" s="8" t="s">
        <v>138</v>
      </c>
      <c r="G244" s="6">
        <v>3</v>
      </c>
      <c r="H244" s="25">
        <v>6200</v>
      </c>
      <c r="I244" s="6">
        <v>10</v>
      </c>
      <c r="J244" s="6">
        <f t="shared" si="6"/>
        <v>18600</v>
      </c>
      <c r="K244" s="6">
        <f t="shared" si="7"/>
        <v>16740</v>
      </c>
      <c r="L244" s="8" t="s">
        <v>76</v>
      </c>
      <c r="M244" s="8" t="s">
        <v>81</v>
      </c>
      <c r="N244">
        <v>8</v>
      </c>
      <c r="O244">
        <v>2024</v>
      </c>
      <c r="P244" s="29" t="s">
        <v>710</v>
      </c>
      <c r="Q244" t="s">
        <v>734</v>
      </c>
      <c r="R244" t="s">
        <v>738</v>
      </c>
    </row>
    <row r="245" spans="1:18" x14ac:dyDescent="0.25">
      <c r="A245" s="9">
        <v>243</v>
      </c>
      <c r="B245" s="10">
        <v>45238</v>
      </c>
      <c r="C245" s="11" t="s">
        <v>78</v>
      </c>
      <c r="D245" s="11" t="s">
        <v>109</v>
      </c>
      <c r="E245" s="11" t="s">
        <v>102</v>
      </c>
      <c r="F245" s="11" t="s">
        <v>110</v>
      </c>
      <c r="G245" s="9">
        <v>47</v>
      </c>
      <c r="H245" s="26">
        <v>21100</v>
      </c>
      <c r="I245" s="9">
        <v>0</v>
      </c>
      <c r="J245" s="9">
        <f t="shared" si="6"/>
        <v>991700</v>
      </c>
      <c r="K245" s="9">
        <f t="shared" si="7"/>
        <v>991700</v>
      </c>
      <c r="L245" s="11" t="s">
        <v>76</v>
      </c>
      <c r="M245" s="11" t="s">
        <v>96</v>
      </c>
      <c r="N245">
        <v>11</v>
      </c>
      <c r="O245">
        <v>2023</v>
      </c>
      <c r="P245" s="29" t="s">
        <v>718</v>
      </c>
      <c r="Q245" t="s">
        <v>733</v>
      </c>
      <c r="R245" t="s">
        <v>737</v>
      </c>
    </row>
    <row r="246" spans="1:18" x14ac:dyDescent="0.25">
      <c r="A246" s="6">
        <v>244</v>
      </c>
      <c r="B246" s="7">
        <v>45088</v>
      </c>
      <c r="C246" s="8" t="s">
        <v>108</v>
      </c>
      <c r="D246" s="8" t="s">
        <v>93</v>
      </c>
      <c r="E246" s="8" t="s">
        <v>84</v>
      </c>
      <c r="F246" s="8" t="s">
        <v>148</v>
      </c>
      <c r="G246" s="6">
        <v>4</v>
      </c>
      <c r="H246" s="25">
        <v>4700</v>
      </c>
      <c r="I246" s="6">
        <v>15</v>
      </c>
      <c r="J246" s="6">
        <f t="shared" si="6"/>
        <v>18800</v>
      </c>
      <c r="K246" s="6">
        <f t="shared" si="7"/>
        <v>15980</v>
      </c>
      <c r="L246" s="8" t="s">
        <v>76</v>
      </c>
      <c r="M246" s="8" t="s">
        <v>81</v>
      </c>
      <c r="N246">
        <v>6</v>
      </c>
      <c r="O246">
        <v>2023</v>
      </c>
      <c r="P246" s="29" t="s">
        <v>723</v>
      </c>
      <c r="Q246" t="s">
        <v>736</v>
      </c>
      <c r="R246" t="s">
        <v>738</v>
      </c>
    </row>
    <row r="247" spans="1:18" x14ac:dyDescent="0.25">
      <c r="A247" s="9">
        <v>245</v>
      </c>
      <c r="B247" s="10">
        <v>45622</v>
      </c>
      <c r="C247" s="11" t="s">
        <v>114</v>
      </c>
      <c r="D247" s="11" t="s">
        <v>93</v>
      </c>
      <c r="E247" s="11" t="s">
        <v>111</v>
      </c>
      <c r="F247" s="11" t="s">
        <v>192</v>
      </c>
      <c r="G247" s="9">
        <v>42</v>
      </c>
      <c r="H247" s="26">
        <v>108600</v>
      </c>
      <c r="I247" s="9">
        <v>15</v>
      </c>
      <c r="J247" s="9">
        <f t="shared" si="6"/>
        <v>4561200</v>
      </c>
      <c r="K247" s="9">
        <f t="shared" si="7"/>
        <v>3877020</v>
      </c>
      <c r="L247" s="11" t="s">
        <v>187</v>
      </c>
      <c r="M247" s="11" t="s">
        <v>96</v>
      </c>
      <c r="N247">
        <v>11</v>
      </c>
      <c r="O247">
        <v>2024</v>
      </c>
      <c r="P247" s="29" t="s">
        <v>714</v>
      </c>
      <c r="Q247" t="s">
        <v>733</v>
      </c>
      <c r="R247" t="s">
        <v>737</v>
      </c>
    </row>
    <row r="248" spans="1:18" x14ac:dyDescent="0.25">
      <c r="A248" s="6">
        <v>246</v>
      </c>
      <c r="B248" s="7">
        <v>45325</v>
      </c>
      <c r="C248" s="8" t="s">
        <v>114</v>
      </c>
      <c r="D248" s="8" t="s">
        <v>109</v>
      </c>
      <c r="E248" s="8" t="s">
        <v>74</v>
      </c>
      <c r="F248" s="8" t="s">
        <v>140</v>
      </c>
      <c r="G248" s="6">
        <v>35</v>
      </c>
      <c r="H248" s="25">
        <v>4300</v>
      </c>
      <c r="I248" s="6">
        <v>0</v>
      </c>
      <c r="J248" s="6">
        <f t="shared" si="6"/>
        <v>150500</v>
      </c>
      <c r="K248" s="6">
        <f t="shared" si="7"/>
        <v>150500</v>
      </c>
      <c r="L248" s="8" t="s">
        <v>76</v>
      </c>
      <c r="M248" s="8" t="s">
        <v>81</v>
      </c>
      <c r="N248">
        <v>2</v>
      </c>
      <c r="O248">
        <v>2024</v>
      </c>
      <c r="P248" s="29" t="s">
        <v>729</v>
      </c>
      <c r="Q248" t="s">
        <v>735</v>
      </c>
      <c r="R248" t="s">
        <v>739</v>
      </c>
    </row>
    <row r="249" spans="1:18" x14ac:dyDescent="0.25">
      <c r="A249" s="9">
        <v>247</v>
      </c>
      <c r="B249" s="10">
        <v>45651</v>
      </c>
      <c r="C249" s="11" t="s">
        <v>108</v>
      </c>
      <c r="D249" s="11" t="s">
        <v>83</v>
      </c>
      <c r="E249" s="11" t="s">
        <v>79</v>
      </c>
      <c r="F249" s="11" t="s">
        <v>115</v>
      </c>
      <c r="G249" s="9">
        <v>36</v>
      </c>
      <c r="H249" s="26">
        <v>10300</v>
      </c>
      <c r="I249" s="9">
        <v>0</v>
      </c>
      <c r="J249" s="9">
        <f t="shared" si="6"/>
        <v>370800</v>
      </c>
      <c r="K249" s="9">
        <f t="shared" si="7"/>
        <v>370800</v>
      </c>
      <c r="L249" s="11" t="s">
        <v>76</v>
      </c>
      <c r="M249" s="11" t="s">
        <v>91</v>
      </c>
      <c r="N249">
        <v>12</v>
      </c>
      <c r="O249">
        <v>2024</v>
      </c>
      <c r="P249" s="29" t="s">
        <v>728</v>
      </c>
      <c r="Q249" t="s">
        <v>733</v>
      </c>
      <c r="R249" t="s">
        <v>737</v>
      </c>
    </row>
    <row r="250" spans="1:18" x14ac:dyDescent="0.25">
      <c r="A250" s="6">
        <v>248</v>
      </c>
      <c r="B250" s="7">
        <v>45188</v>
      </c>
      <c r="C250" s="8" t="s">
        <v>106</v>
      </c>
      <c r="D250" s="8" t="s">
        <v>117</v>
      </c>
      <c r="E250" s="8" t="s">
        <v>79</v>
      </c>
      <c r="F250" s="8" t="s">
        <v>172</v>
      </c>
      <c r="G250" s="6">
        <v>6</v>
      </c>
      <c r="H250" s="25">
        <v>27800</v>
      </c>
      <c r="I250" s="6">
        <v>0</v>
      </c>
      <c r="J250" s="6">
        <f t="shared" si="6"/>
        <v>166800</v>
      </c>
      <c r="K250" s="6">
        <f t="shared" si="7"/>
        <v>166800</v>
      </c>
      <c r="L250" s="8" t="s">
        <v>76</v>
      </c>
      <c r="M250" s="8" t="s">
        <v>81</v>
      </c>
      <c r="N250">
        <v>9</v>
      </c>
      <c r="O250">
        <v>2023</v>
      </c>
      <c r="P250" s="29" t="s">
        <v>715</v>
      </c>
      <c r="Q250" t="s">
        <v>734</v>
      </c>
      <c r="R250" t="s">
        <v>739</v>
      </c>
    </row>
    <row r="251" spans="1:18" x14ac:dyDescent="0.25">
      <c r="A251" s="9">
        <v>249</v>
      </c>
      <c r="B251" s="10">
        <v>44967</v>
      </c>
      <c r="C251" s="11" t="s">
        <v>114</v>
      </c>
      <c r="D251" s="11" t="s">
        <v>93</v>
      </c>
      <c r="E251" s="11" t="s">
        <v>102</v>
      </c>
      <c r="F251" s="11" t="s">
        <v>138</v>
      </c>
      <c r="G251" s="9">
        <v>13</v>
      </c>
      <c r="H251" s="26">
        <v>7300</v>
      </c>
      <c r="I251" s="9">
        <v>5</v>
      </c>
      <c r="J251" s="9">
        <f t="shared" si="6"/>
        <v>94900</v>
      </c>
      <c r="K251" s="9">
        <f t="shared" si="7"/>
        <v>90155</v>
      </c>
      <c r="L251" s="11" t="s">
        <v>187</v>
      </c>
      <c r="M251" s="11" t="s">
        <v>81</v>
      </c>
      <c r="N251">
        <v>2</v>
      </c>
      <c r="O251">
        <v>2023</v>
      </c>
      <c r="P251" s="29" t="s">
        <v>717</v>
      </c>
      <c r="Q251" t="s">
        <v>735</v>
      </c>
      <c r="R251" t="s">
        <v>739</v>
      </c>
    </row>
    <row r="252" spans="1:18" x14ac:dyDescent="0.25">
      <c r="A252" s="6">
        <v>250</v>
      </c>
      <c r="B252" s="7">
        <v>44965</v>
      </c>
      <c r="C252" s="8" t="s">
        <v>88</v>
      </c>
      <c r="D252" s="8" t="s">
        <v>117</v>
      </c>
      <c r="E252" s="8" t="s">
        <v>79</v>
      </c>
      <c r="F252" s="8" t="s">
        <v>80</v>
      </c>
      <c r="G252" s="6">
        <v>48</v>
      </c>
      <c r="H252" s="25">
        <v>9600</v>
      </c>
      <c r="I252" s="6">
        <v>0</v>
      </c>
      <c r="J252" s="6">
        <f t="shared" si="6"/>
        <v>460800</v>
      </c>
      <c r="K252" s="6">
        <f t="shared" si="7"/>
        <v>460800</v>
      </c>
      <c r="L252" s="8" t="s">
        <v>76</v>
      </c>
      <c r="M252" s="8" t="s">
        <v>91</v>
      </c>
      <c r="N252">
        <v>2</v>
      </c>
      <c r="O252">
        <v>2023</v>
      </c>
      <c r="P252" s="29" t="s">
        <v>717</v>
      </c>
      <c r="Q252" t="s">
        <v>735</v>
      </c>
      <c r="R252" t="s">
        <v>737</v>
      </c>
    </row>
    <row r="253" spans="1:18" x14ac:dyDescent="0.25">
      <c r="A253" s="9">
        <v>251</v>
      </c>
      <c r="B253" s="10">
        <v>45639</v>
      </c>
      <c r="C253" s="11" t="s">
        <v>124</v>
      </c>
      <c r="D253" s="11" t="s">
        <v>109</v>
      </c>
      <c r="E253" s="11" t="s">
        <v>111</v>
      </c>
      <c r="F253" s="11" t="s">
        <v>156</v>
      </c>
      <c r="G253" s="9">
        <v>50</v>
      </c>
      <c r="H253" s="26">
        <v>43600</v>
      </c>
      <c r="I253" s="9">
        <v>10</v>
      </c>
      <c r="J253" s="9">
        <f t="shared" si="6"/>
        <v>2180000</v>
      </c>
      <c r="K253" s="9">
        <f t="shared" si="7"/>
        <v>1962000</v>
      </c>
      <c r="L253" s="11" t="s">
        <v>76</v>
      </c>
      <c r="M253" s="11" t="s">
        <v>91</v>
      </c>
      <c r="N253">
        <v>12</v>
      </c>
      <c r="O253">
        <v>2024</v>
      </c>
      <c r="P253" s="29" t="s">
        <v>728</v>
      </c>
      <c r="Q253" t="s">
        <v>733</v>
      </c>
      <c r="R253" t="s">
        <v>737</v>
      </c>
    </row>
    <row r="254" spans="1:18" x14ac:dyDescent="0.25">
      <c r="A254" s="6">
        <v>391</v>
      </c>
      <c r="B254" s="7">
        <v>45088</v>
      </c>
      <c r="C254" s="8" t="s">
        <v>82</v>
      </c>
      <c r="D254" s="8" t="s">
        <v>93</v>
      </c>
      <c r="E254" s="8" t="s">
        <v>111</v>
      </c>
      <c r="F254" s="8" t="s">
        <v>112</v>
      </c>
      <c r="G254" s="6">
        <v>43</v>
      </c>
      <c r="H254" s="25">
        <v>58600</v>
      </c>
      <c r="I254" s="6">
        <v>10</v>
      </c>
      <c r="J254" s="6">
        <f t="shared" si="6"/>
        <v>2519800</v>
      </c>
      <c r="K254" s="6">
        <f t="shared" si="7"/>
        <v>2267820</v>
      </c>
      <c r="L254" s="8" t="s">
        <v>123</v>
      </c>
      <c r="M254" s="8" t="s">
        <v>96</v>
      </c>
      <c r="N254">
        <v>6</v>
      </c>
      <c r="O254">
        <v>2023</v>
      </c>
      <c r="P254" s="29" t="s">
        <v>723</v>
      </c>
      <c r="Q254" t="s">
        <v>736</v>
      </c>
      <c r="R254" t="s">
        <v>737</v>
      </c>
    </row>
    <row r="255" spans="1:18" x14ac:dyDescent="0.25">
      <c r="A255" s="9">
        <v>252</v>
      </c>
      <c r="B255" s="10">
        <v>45591</v>
      </c>
      <c r="C255" s="11" t="s">
        <v>88</v>
      </c>
      <c r="D255" s="11" t="s">
        <v>117</v>
      </c>
      <c r="E255" s="11" t="s">
        <v>74</v>
      </c>
      <c r="F255" s="11" t="s">
        <v>212</v>
      </c>
      <c r="G255" s="9">
        <v>32</v>
      </c>
      <c r="H255" s="26">
        <v>8200</v>
      </c>
      <c r="I255" s="9">
        <v>20</v>
      </c>
      <c r="J255" s="9">
        <f t="shared" si="6"/>
        <v>262400</v>
      </c>
      <c r="K255" s="9">
        <f t="shared" si="7"/>
        <v>209920</v>
      </c>
      <c r="L255" s="11" t="s">
        <v>76</v>
      </c>
      <c r="M255" s="11" t="s">
        <v>91</v>
      </c>
      <c r="N255">
        <v>10</v>
      </c>
      <c r="O255">
        <v>2024</v>
      </c>
      <c r="P255" s="29" t="s">
        <v>709</v>
      </c>
      <c r="Q255" t="s">
        <v>733</v>
      </c>
      <c r="R255" t="s">
        <v>737</v>
      </c>
    </row>
    <row r="256" spans="1:18" x14ac:dyDescent="0.25">
      <c r="A256" s="6">
        <v>253</v>
      </c>
      <c r="B256" s="7">
        <v>45254</v>
      </c>
      <c r="C256" s="8" t="s">
        <v>106</v>
      </c>
      <c r="D256" s="8" t="s">
        <v>117</v>
      </c>
      <c r="E256" s="8" t="s">
        <v>74</v>
      </c>
      <c r="F256" s="8" t="s">
        <v>140</v>
      </c>
      <c r="G256" s="6">
        <v>15</v>
      </c>
      <c r="H256" s="25">
        <v>4100</v>
      </c>
      <c r="I256" s="6">
        <v>0</v>
      </c>
      <c r="J256" s="6">
        <f t="shared" si="6"/>
        <v>61500</v>
      </c>
      <c r="K256" s="6">
        <f t="shared" si="7"/>
        <v>61500</v>
      </c>
      <c r="L256" s="8" t="s">
        <v>187</v>
      </c>
      <c r="M256" s="8" t="s">
        <v>77</v>
      </c>
      <c r="N256">
        <v>11</v>
      </c>
      <c r="O256">
        <v>2023</v>
      </c>
      <c r="P256" s="29" t="s">
        <v>718</v>
      </c>
      <c r="Q256" t="s">
        <v>733</v>
      </c>
      <c r="R256" t="s">
        <v>739</v>
      </c>
    </row>
    <row r="257" spans="1:18" x14ac:dyDescent="0.25">
      <c r="A257" s="9">
        <v>254</v>
      </c>
      <c r="B257" s="10">
        <v>45493</v>
      </c>
      <c r="C257" s="11" t="s">
        <v>124</v>
      </c>
      <c r="D257" s="11" t="s">
        <v>93</v>
      </c>
      <c r="E257" s="11" t="s">
        <v>111</v>
      </c>
      <c r="F257" s="11" t="s">
        <v>135</v>
      </c>
      <c r="G257" s="9">
        <v>22</v>
      </c>
      <c r="H257" s="26">
        <v>107900</v>
      </c>
      <c r="I257" s="9">
        <v>5</v>
      </c>
      <c r="J257" s="9">
        <f t="shared" si="6"/>
        <v>2373800</v>
      </c>
      <c r="K257" s="9">
        <f t="shared" si="7"/>
        <v>2255110</v>
      </c>
      <c r="L257" s="11" t="s">
        <v>76</v>
      </c>
      <c r="M257" s="11" t="s">
        <v>81</v>
      </c>
      <c r="N257">
        <v>7</v>
      </c>
      <c r="O257">
        <v>2024</v>
      </c>
      <c r="P257" s="29" t="s">
        <v>712</v>
      </c>
      <c r="Q257" t="s">
        <v>734</v>
      </c>
      <c r="R257" t="s">
        <v>737</v>
      </c>
    </row>
    <row r="258" spans="1:18" x14ac:dyDescent="0.25">
      <c r="A258" s="6">
        <v>255</v>
      </c>
      <c r="B258" s="7">
        <v>45490</v>
      </c>
      <c r="C258" s="8" t="s">
        <v>88</v>
      </c>
      <c r="D258" s="8" t="s">
        <v>117</v>
      </c>
      <c r="E258" s="8" t="s">
        <v>111</v>
      </c>
      <c r="F258" s="8" t="s">
        <v>159</v>
      </c>
      <c r="G258" s="6">
        <v>47</v>
      </c>
      <c r="H258" s="25">
        <v>12200</v>
      </c>
      <c r="I258" s="6">
        <v>0</v>
      </c>
      <c r="J258" s="6">
        <f t="shared" ref="J258:J321" si="8">G258*H258</f>
        <v>573400</v>
      </c>
      <c r="K258" s="6">
        <f t="shared" ref="K258:K321" si="9">J258*(1-I258/100)</f>
        <v>573400</v>
      </c>
      <c r="L258" s="8" t="s">
        <v>187</v>
      </c>
      <c r="M258" s="8" t="s">
        <v>81</v>
      </c>
      <c r="N258">
        <v>7</v>
      </c>
      <c r="O258">
        <v>2024</v>
      </c>
      <c r="P258" s="29" t="s">
        <v>712</v>
      </c>
      <c r="Q258" t="s">
        <v>734</v>
      </c>
      <c r="R258" t="s">
        <v>737</v>
      </c>
    </row>
    <row r="259" spans="1:18" x14ac:dyDescent="0.25">
      <c r="A259" s="9">
        <v>256</v>
      </c>
      <c r="B259" s="10">
        <v>45486</v>
      </c>
      <c r="C259" s="11" t="s">
        <v>119</v>
      </c>
      <c r="D259" s="11" t="s">
        <v>109</v>
      </c>
      <c r="E259" s="11" t="s">
        <v>102</v>
      </c>
      <c r="F259" s="11" t="s">
        <v>138</v>
      </c>
      <c r="G259" s="9">
        <v>5</v>
      </c>
      <c r="H259" s="26">
        <v>6700</v>
      </c>
      <c r="I259" s="9">
        <v>20</v>
      </c>
      <c r="J259" s="9">
        <f t="shared" si="8"/>
        <v>33500</v>
      </c>
      <c r="K259" s="9">
        <f t="shared" si="9"/>
        <v>26800</v>
      </c>
      <c r="L259" s="11" t="s">
        <v>123</v>
      </c>
      <c r="M259" s="11" t="s">
        <v>77</v>
      </c>
      <c r="N259">
        <v>7</v>
      </c>
      <c r="O259">
        <v>2024</v>
      </c>
      <c r="P259" s="29" t="s">
        <v>712</v>
      </c>
      <c r="Q259" t="s">
        <v>734</v>
      </c>
      <c r="R259" t="s">
        <v>738</v>
      </c>
    </row>
    <row r="260" spans="1:18" x14ac:dyDescent="0.25">
      <c r="A260" s="6">
        <v>257</v>
      </c>
      <c r="B260" s="7">
        <v>45108</v>
      </c>
      <c r="C260" s="8" t="s">
        <v>114</v>
      </c>
      <c r="D260" s="8" t="s">
        <v>109</v>
      </c>
      <c r="E260" s="8" t="s">
        <v>84</v>
      </c>
      <c r="F260" s="8" t="s">
        <v>150</v>
      </c>
      <c r="G260" s="6">
        <v>1</v>
      </c>
      <c r="H260" s="25">
        <v>5900</v>
      </c>
      <c r="I260" s="6">
        <v>0</v>
      </c>
      <c r="J260" s="6">
        <f t="shared" si="8"/>
        <v>5900</v>
      </c>
      <c r="K260" s="6">
        <f t="shared" si="9"/>
        <v>5900</v>
      </c>
      <c r="L260" s="8" t="s">
        <v>76</v>
      </c>
      <c r="M260" s="8" t="s">
        <v>91</v>
      </c>
      <c r="N260">
        <v>7</v>
      </c>
      <c r="O260">
        <v>2023</v>
      </c>
      <c r="P260" s="29" t="s">
        <v>724</v>
      </c>
      <c r="Q260" t="s">
        <v>734</v>
      </c>
      <c r="R260" t="s">
        <v>738</v>
      </c>
    </row>
    <row r="261" spans="1:18" x14ac:dyDescent="0.25">
      <c r="A261" s="9">
        <v>258</v>
      </c>
      <c r="B261" s="10">
        <v>44988</v>
      </c>
      <c r="C261" s="11" t="s">
        <v>124</v>
      </c>
      <c r="D261" s="11" t="s">
        <v>93</v>
      </c>
      <c r="E261" s="11" t="s">
        <v>111</v>
      </c>
      <c r="F261" s="11" t="s">
        <v>159</v>
      </c>
      <c r="G261" s="9">
        <v>35</v>
      </c>
      <c r="H261" s="26">
        <v>10800</v>
      </c>
      <c r="I261" s="9">
        <v>0</v>
      </c>
      <c r="J261" s="9">
        <f t="shared" si="8"/>
        <v>378000</v>
      </c>
      <c r="K261" s="9">
        <f t="shared" si="9"/>
        <v>378000</v>
      </c>
      <c r="L261" s="11" t="s">
        <v>76</v>
      </c>
      <c r="M261" s="11" t="s">
        <v>77</v>
      </c>
      <c r="N261">
        <v>3</v>
      </c>
      <c r="O261">
        <v>2023</v>
      </c>
      <c r="P261" s="29" t="s">
        <v>719</v>
      </c>
      <c r="Q261" t="s">
        <v>735</v>
      </c>
      <c r="R261" t="s">
        <v>737</v>
      </c>
    </row>
    <row r="262" spans="1:18" x14ac:dyDescent="0.25">
      <c r="A262" s="6">
        <v>259</v>
      </c>
      <c r="B262" s="7">
        <v>45469</v>
      </c>
      <c r="C262" s="8" t="s">
        <v>101</v>
      </c>
      <c r="D262" s="8" t="s">
        <v>93</v>
      </c>
      <c r="E262" s="8" t="s">
        <v>74</v>
      </c>
      <c r="F262" s="8" t="s">
        <v>94</v>
      </c>
      <c r="G262" s="6">
        <v>45</v>
      </c>
      <c r="H262" s="25">
        <v>35900</v>
      </c>
      <c r="I262" s="6">
        <v>0</v>
      </c>
      <c r="J262" s="6">
        <f t="shared" si="8"/>
        <v>1615500</v>
      </c>
      <c r="K262" s="6">
        <f t="shared" si="9"/>
        <v>1615500</v>
      </c>
      <c r="L262" s="8" t="s">
        <v>187</v>
      </c>
      <c r="M262" s="8" t="s">
        <v>81</v>
      </c>
      <c r="N262">
        <v>6</v>
      </c>
      <c r="O262">
        <v>2024</v>
      </c>
      <c r="P262" s="29" t="s">
        <v>720</v>
      </c>
      <c r="Q262" t="s">
        <v>736</v>
      </c>
      <c r="R262" t="s">
        <v>737</v>
      </c>
    </row>
    <row r="263" spans="1:18" x14ac:dyDescent="0.25">
      <c r="A263" s="9">
        <v>260</v>
      </c>
      <c r="B263" s="10">
        <v>45173</v>
      </c>
      <c r="C263" s="11" t="s">
        <v>82</v>
      </c>
      <c r="D263" s="11" t="s">
        <v>109</v>
      </c>
      <c r="E263" s="11" t="s">
        <v>84</v>
      </c>
      <c r="F263" s="11" t="s">
        <v>90</v>
      </c>
      <c r="G263" s="9">
        <v>17</v>
      </c>
      <c r="H263" s="26">
        <v>1900</v>
      </c>
      <c r="I263" s="9">
        <v>20</v>
      </c>
      <c r="J263" s="9">
        <f t="shared" si="8"/>
        <v>32300</v>
      </c>
      <c r="K263" s="9">
        <f t="shared" si="9"/>
        <v>25840</v>
      </c>
      <c r="L263" s="11" t="s">
        <v>187</v>
      </c>
      <c r="M263" s="11" t="s">
        <v>96</v>
      </c>
      <c r="N263">
        <v>9</v>
      </c>
      <c r="O263">
        <v>2023</v>
      </c>
      <c r="P263" s="29" t="s">
        <v>715</v>
      </c>
      <c r="Q263" t="s">
        <v>734</v>
      </c>
      <c r="R263" t="s">
        <v>738</v>
      </c>
    </row>
    <row r="264" spans="1:18" x14ac:dyDescent="0.25">
      <c r="A264" s="6">
        <v>261</v>
      </c>
      <c r="B264" s="7">
        <v>45333</v>
      </c>
      <c r="C264" s="8" t="s">
        <v>97</v>
      </c>
      <c r="D264" s="8" t="s">
        <v>117</v>
      </c>
      <c r="E264" s="8" t="s">
        <v>111</v>
      </c>
      <c r="F264" s="8" t="s">
        <v>159</v>
      </c>
      <c r="G264" s="6">
        <v>45</v>
      </c>
      <c r="H264" s="25">
        <v>12500</v>
      </c>
      <c r="I264" s="6">
        <v>15</v>
      </c>
      <c r="J264" s="6">
        <f t="shared" si="8"/>
        <v>562500</v>
      </c>
      <c r="K264" s="6">
        <f t="shared" si="9"/>
        <v>478125</v>
      </c>
      <c r="L264" s="8" t="s">
        <v>76</v>
      </c>
      <c r="M264" s="8" t="s">
        <v>77</v>
      </c>
      <c r="N264">
        <v>2</v>
      </c>
      <c r="O264">
        <v>2024</v>
      </c>
      <c r="P264" s="29" t="s">
        <v>729</v>
      </c>
      <c r="Q264" t="s">
        <v>735</v>
      </c>
      <c r="R264" t="s">
        <v>737</v>
      </c>
    </row>
    <row r="265" spans="1:18" x14ac:dyDescent="0.25">
      <c r="A265" s="9">
        <v>262</v>
      </c>
      <c r="B265" s="10">
        <v>45592</v>
      </c>
      <c r="C265" s="11" t="s">
        <v>78</v>
      </c>
      <c r="D265" s="11" t="s">
        <v>73</v>
      </c>
      <c r="E265" s="11" t="s">
        <v>111</v>
      </c>
      <c r="F265" s="11" t="s">
        <v>165</v>
      </c>
      <c r="G265" s="9">
        <v>31</v>
      </c>
      <c r="H265" s="26">
        <v>17900</v>
      </c>
      <c r="I265" s="9">
        <v>15</v>
      </c>
      <c r="J265" s="9">
        <f t="shared" si="8"/>
        <v>554900</v>
      </c>
      <c r="K265" s="9">
        <f t="shared" si="9"/>
        <v>471665</v>
      </c>
      <c r="L265" s="11" t="s">
        <v>76</v>
      </c>
      <c r="M265" s="11" t="s">
        <v>77</v>
      </c>
      <c r="N265">
        <v>10</v>
      </c>
      <c r="O265">
        <v>2024</v>
      </c>
      <c r="P265" s="29" t="s">
        <v>709</v>
      </c>
      <c r="Q265" t="s">
        <v>733</v>
      </c>
      <c r="R265" t="s">
        <v>737</v>
      </c>
    </row>
    <row r="266" spans="1:18" x14ac:dyDescent="0.25">
      <c r="A266" s="6">
        <v>263</v>
      </c>
      <c r="B266" s="7">
        <v>45102</v>
      </c>
      <c r="C266" s="8" t="s">
        <v>97</v>
      </c>
      <c r="D266" s="8" t="s">
        <v>83</v>
      </c>
      <c r="E266" s="8" t="s">
        <v>111</v>
      </c>
      <c r="F266" s="8" t="s">
        <v>132</v>
      </c>
      <c r="G266" s="6">
        <v>7</v>
      </c>
      <c r="H266" s="25">
        <v>7800</v>
      </c>
      <c r="I266" s="6">
        <v>0</v>
      </c>
      <c r="J266" s="6">
        <f t="shared" si="8"/>
        <v>54600</v>
      </c>
      <c r="K266" s="6">
        <f t="shared" si="9"/>
        <v>54600</v>
      </c>
      <c r="L266" s="8" t="s">
        <v>107</v>
      </c>
      <c r="M266" s="8" t="s">
        <v>77</v>
      </c>
      <c r="N266">
        <v>6</v>
      </c>
      <c r="O266">
        <v>2023</v>
      </c>
      <c r="P266" s="29" t="s">
        <v>723</v>
      </c>
      <c r="Q266" t="s">
        <v>736</v>
      </c>
      <c r="R266" t="s">
        <v>739</v>
      </c>
    </row>
    <row r="267" spans="1:18" x14ac:dyDescent="0.25">
      <c r="A267" s="9">
        <v>264</v>
      </c>
      <c r="B267" s="10">
        <v>45054</v>
      </c>
      <c r="C267" s="11" t="s">
        <v>124</v>
      </c>
      <c r="D267" s="11" t="s">
        <v>83</v>
      </c>
      <c r="E267" s="11" t="s">
        <v>74</v>
      </c>
      <c r="F267" s="11" t="s">
        <v>94</v>
      </c>
      <c r="G267" s="9">
        <v>44</v>
      </c>
      <c r="H267" s="26">
        <v>39600</v>
      </c>
      <c r="I267" s="9">
        <v>0</v>
      </c>
      <c r="J267" s="9">
        <f t="shared" si="8"/>
        <v>1742400</v>
      </c>
      <c r="K267" s="9">
        <f t="shared" si="9"/>
        <v>1742400</v>
      </c>
      <c r="L267" s="11" t="s">
        <v>107</v>
      </c>
      <c r="M267" s="11" t="s">
        <v>77</v>
      </c>
      <c r="N267">
        <v>5</v>
      </c>
      <c r="O267">
        <v>2023</v>
      </c>
      <c r="P267" s="29" t="s">
        <v>730</v>
      </c>
      <c r="Q267" t="s">
        <v>736</v>
      </c>
      <c r="R267" t="s">
        <v>737</v>
      </c>
    </row>
    <row r="268" spans="1:18" x14ac:dyDescent="0.25">
      <c r="A268" s="6">
        <v>265</v>
      </c>
      <c r="B268" s="7">
        <v>45249</v>
      </c>
      <c r="C268" s="8" t="s">
        <v>78</v>
      </c>
      <c r="D268" s="8" t="s">
        <v>109</v>
      </c>
      <c r="E268" s="8" t="s">
        <v>102</v>
      </c>
      <c r="F268" s="8" t="s">
        <v>103</v>
      </c>
      <c r="G268" s="6">
        <v>46</v>
      </c>
      <c r="H268" s="25">
        <v>10700</v>
      </c>
      <c r="I268" s="6">
        <v>0</v>
      </c>
      <c r="J268" s="6">
        <f t="shared" si="8"/>
        <v>492200</v>
      </c>
      <c r="K268" s="6">
        <f t="shared" si="9"/>
        <v>492200</v>
      </c>
      <c r="L268" s="8" t="s">
        <v>187</v>
      </c>
      <c r="M268" s="8" t="s">
        <v>77</v>
      </c>
      <c r="N268">
        <v>11</v>
      </c>
      <c r="O268">
        <v>2023</v>
      </c>
      <c r="P268" s="29" t="s">
        <v>718</v>
      </c>
      <c r="Q268" t="s">
        <v>733</v>
      </c>
      <c r="R268" t="s">
        <v>737</v>
      </c>
    </row>
    <row r="269" spans="1:18" x14ac:dyDescent="0.25">
      <c r="A269" s="9">
        <v>266</v>
      </c>
      <c r="B269" s="10">
        <v>45093</v>
      </c>
      <c r="C269" s="11" t="s">
        <v>124</v>
      </c>
      <c r="D269" s="11" t="s">
        <v>109</v>
      </c>
      <c r="E269" s="11" t="s">
        <v>102</v>
      </c>
      <c r="F269" s="11" t="s">
        <v>151</v>
      </c>
      <c r="G269" s="9">
        <v>35</v>
      </c>
      <c r="H269" s="26">
        <v>8000</v>
      </c>
      <c r="I269" s="9">
        <v>20</v>
      </c>
      <c r="J269" s="9">
        <f t="shared" si="8"/>
        <v>280000</v>
      </c>
      <c r="K269" s="9">
        <f t="shared" si="9"/>
        <v>224000</v>
      </c>
      <c r="L269" s="11" t="s">
        <v>76</v>
      </c>
      <c r="M269" s="11" t="s">
        <v>81</v>
      </c>
      <c r="N269">
        <v>6</v>
      </c>
      <c r="O269">
        <v>2023</v>
      </c>
      <c r="P269" s="29" t="s">
        <v>723</v>
      </c>
      <c r="Q269" t="s">
        <v>736</v>
      </c>
      <c r="R269" t="s">
        <v>737</v>
      </c>
    </row>
    <row r="270" spans="1:18" x14ac:dyDescent="0.25">
      <c r="A270" s="6">
        <v>267</v>
      </c>
      <c r="B270" s="7">
        <v>45455</v>
      </c>
      <c r="C270" s="8" t="s">
        <v>97</v>
      </c>
      <c r="D270" s="8" t="s">
        <v>93</v>
      </c>
      <c r="E270" s="8" t="s">
        <v>74</v>
      </c>
      <c r="F270" s="8" t="s">
        <v>94</v>
      </c>
      <c r="G270" s="6">
        <v>15</v>
      </c>
      <c r="H270" s="25">
        <v>32400</v>
      </c>
      <c r="I270" s="6">
        <v>10</v>
      </c>
      <c r="J270" s="6">
        <f t="shared" si="8"/>
        <v>486000</v>
      </c>
      <c r="K270" s="6">
        <f t="shared" si="9"/>
        <v>437400</v>
      </c>
      <c r="L270" s="8" t="s">
        <v>187</v>
      </c>
      <c r="M270" s="8" t="s">
        <v>96</v>
      </c>
      <c r="N270">
        <v>6</v>
      </c>
      <c r="O270">
        <v>2024</v>
      </c>
      <c r="P270" s="29" t="s">
        <v>720</v>
      </c>
      <c r="Q270" t="s">
        <v>736</v>
      </c>
      <c r="R270" t="s">
        <v>737</v>
      </c>
    </row>
    <row r="271" spans="1:18" x14ac:dyDescent="0.25">
      <c r="A271" s="9">
        <v>268</v>
      </c>
      <c r="B271" s="10">
        <v>45555</v>
      </c>
      <c r="C271" s="11" t="s">
        <v>124</v>
      </c>
      <c r="D271" s="11" t="s">
        <v>83</v>
      </c>
      <c r="E271" s="11" t="s">
        <v>74</v>
      </c>
      <c r="F271" s="11" t="s">
        <v>94</v>
      </c>
      <c r="G271" s="9">
        <v>29</v>
      </c>
      <c r="H271" s="26">
        <v>37000</v>
      </c>
      <c r="I271" s="9">
        <v>10</v>
      </c>
      <c r="J271" s="9">
        <f t="shared" si="8"/>
        <v>1073000</v>
      </c>
      <c r="K271" s="9">
        <f t="shared" si="9"/>
        <v>965700</v>
      </c>
      <c r="L271" s="11" t="s">
        <v>76</v>
      </c>
      <c r="M271" s="11" t="s">
        <v>96</v>
      </c>
      <c r="N271">
        <v>9</v>
      </c>
      <c r="O271">
        <v>2024</v>
      </c>
      <c r="P271" s="29" t="s">
        <v>731</v>
      </c>
      <c r="Q271" t="s">
        <v>734</v>
      </c>
      <c r="R271" t="s">
        <v>737</v>
      </c>
    </row>
    <row r="272" spans="1:18" x14ac:dyDescent="0.25">
      <c r="A272" s="6">
        <v>269</v>
      </c>
      <c r="B272" s="7">
        <v>45311</v>
      </c>
      <c r="C272" s="8" t="s">
        <v>114</v>
      </c>
      <c r="D272" s="30" t="s">
        <v>703</v>
      </c>
      <c r="E272" s="8" t="s">
        <v>102</v>
      </c>
      <c r="F272" s="8" t="s">
        <v>151</v>
      </c>
      <c r="G272" s="6">
        <v>40</v>
      </c>
      <c r="H272" s="25">
        <v>6900</v>
      </c>
      <c r="I272" s="6">
        <v>15</v>
      </c>
      <c r="J272" s="6">
        <f t="shared" si="8"/>
        <v>276000</v>
      </c>
      <c r="K272" s="6">
        <f t="shared" si="9"/>
        <v>234600</v>
      </c>
      <c r="L272" s="8" t="s">
        <v>76</v>
      </c>
      <c r="M272" s="8" t="s">
        <v>81</v>
      </c>
      <c r="N272">
        <v>1</v>
      </c>
      <c r="O272">
        <v>2024</v>
      </c>
      <c r="P272" s="29" t="s">
        <v>727</v>
      </c>
      <c r="Q272" t="s">
        <v>735</v>
      </c>
      <c r="R272" t="s">
        <v>737</v>
      </c>
    </row>
    <row r="273" spans="1:18" x14ac:dyDescent="0.25">
      <c r="A273" s="9">
        <v>270</v>
      </c>
      <c r="B273" s="10">
        <v>45002</v>
      </c>
      <c r="C273" s="11" t="s">
        <v>97</v>
      </c>
      <c r="D273" s="30" t="s">
        <v>703</v>
      </c>
      <c r="E273" s="11" t="s">
        <v>84</v>
      </c>
      <c r="F273" s="11" t="s">
        <v>148</v>
      </c>
      <c r="G273" s="9">
        <v>41</v>
      </c>
      <c r="H273" s="26">
        <v>5200</v>
      </c>
      <c r="I273" s="9">
        <v>0</v>
      </c>
      <c r="J273" s="9">
        <f t="shared" si="8"/>
        <v>213200</v>
      </c>
      <c r="K273" s="9">
        <f t="shared" si="9"/>
        <v>213200</v>
      </c>
      <c r="L273" s="11" t="s">
        <v>76</v>
      </c>
      <c r="M273" s="11" t="s">
        <v>91</v>
      </c>
      <c r="N273">
        <v>3</v>
      </c>
      <c r="O273">
        <v>2023</v>
      </c>
      <c r="P273" s="29" t="s">
        <v>719</v>
      </c>
      <c r="Q273" t="s">
        <v>735</v>
      </c>
      <c r="R273" t="s">
        <v>737</v>
      </c>
    </row>
    <row r="274" spans="1:18" x14ac:dyDescent="0.25">
      <c r="A274" s="6">
        <v>271</v>
      </c>
      <c r="B274" s="7">
        <v>45413</v>
      </c>
      <c r="C274" s="8" t="s">
        <v>97</v>
      </c>
      <c r="D274" s="8" t="s">
        <v>73</v>
      </c>
      <c r="E274" s="8" t="s">
        <v>79</v>
      </c>
      <c r="F274" s="8" t="s">
        <v>179</v>
      </c>
      <c r="G274" s="6">
        <v>49</v>
      </c>
      <c r="H274" s="25">
        <v>2500</v>
      </c>
      <c r="I274" s="6">
        <v>0</v>
      </c>
      <c r="J274" s="6">
        <f t="shared" si="8"/>
        <v>122500</v>
      </c>
      <c r="K274" s="6">
        <f t="shared" si="9"/>
        <v>122500</v>
      </c>
      <c r="L274" s="8" t="s">
        <v>76</v>
      </c>
      <c r="M274" s="8" t="s">
        <v>81</v>
      </c>
      <c r="N274">
        <v>5</v>
      </c>
      <c r="O274">
        <v>2024</v>
      </c>
      <c r="P274" s="29" t="s">
        <v>732</v>
      </c>
      <c r="Q274" t="s">
        <v>736</v>
      </c>
      <c r="R274" t="s">
        <v>739</v>
      </c>
    </row>
    <row r="275" spans="1:18" x14ac:dyDescent="0.25">
      <c r="A275" s="9">
        <v>272</v>
      </c>
      <c r="B275" s="10">
        <v>45237</v>
      </c>
      <c r="C275" s="11" t="s">
        <v>114</v>
      </c>
      <c r="D275" s="11" t="s">
        <v>83</v>
      </c>
      <c r="E275" s="11" t="s">
        <v>102</v>
      </c>
      <c r="F275" s="11" t="s">
        <v>151</v>
      </c>
      <c r="G275" s="9">
        <v>6</v>
      </c>
      <c r="H275" s="26">
        <v>6900</v>
      </c>
      <c r="I275" s="9">
        <v>10</v>
      </c>
      <c r="J275" s="9">
        <f t="shared" si="8"/>
        <v>41400</v>
      </c>
      <c r="K275" s="9">
        <f t="shared" si="9"/>
        <v>37260</v>
      </c>
      <c r="L275" s="11" t="s">
        <v>76</v>
      </c>
      <c r="M275" s="11" t="s">
        <v>77</v>
      </c>
      <c r="N275">
        <v>11</v>
      </c>
      <c r="O275">
        <v>2023</v>
      </c>
      <c r="P275" s="29" t="s">
        <v>718</v>
      </c>
      <c r="Q275" t="s">
        <v>733</v>
      </c>
      <c r="R275" t="s">
        <v>738</v>
      </c>
    </row>
    <row r="276" spans="1:18" x14ac:dyDescent="0.25">
      <c r="A276" s="6">
        <v>273</v>
      </c>
      <c r="B276" s="7">
        <v>45539</v>
      </c>
      <c r="C276" s="8" t="s">
        <v>88</v>
      </c>
      <c r="D276" s="8" t="s">
        <v>83</v>
      </c>
      <c r="E276" s="8" t="s">
        <v>79</v>
      </c>
      <c r="F276" s="8" t="s">
        <v>179</v>
      </c>
      <c r="G276" s="6">
        <v>50</v>
      </c>
      <c r="H276" s="25">
        <v>2500</v>
      </c>
      <c r="I276" s="6">
        <v>0</v>
      </c>
      <c r="J276" s="6">
        <f t="shared" si="8"/>
        <v>125000</v>
      </c>
      <c r="K276" s="6">
        <f t="shared" si="9"/>
        <v>125000</v>
      </c>
      <c r="L276" s="8" t="s">
        <v>76</v>
      </c>
      <c r="M276" s="8" t="s">
        <v>81</v>
      </c>
      <c r="N276">
        <v>9</v>
      </c>
      <c r="O276">
        <v>2024</v>
      </c>
      <c r="P276" s="29" t="s">
        <v>731</v>
      </c>
      <c r="Q276" t="s">
        <v>734</v>
      </c>
      <c r="R276" t="s">
        <v>739</v>
      </c>
    </row>
    <row r="277" spans="1:18" x14ac:dyDescent="0.25">
      <c r="A277" s="9">
        <v>274</v>
      </c>
      <c r="B277" s="10">
        <v>45460</v>
      </c>
      <c r="C277" s="11" t="s">
        <v>108</v>
      </c>
      <c r="D277" s="11" t="s">
        <v>83</v>
      </c>
      <c r="E277" s="11" t="s">
        <v>84</v>
      </c>
      <c r="F277" s="11" t="s">
        <v>128</v>
      </c>
      <c r="G277" s="9">
        <v>18</v>
      </c>
      <c r="H277" s="26">
        <v>4100</v>
      </c>
      <c r="I277" s="9">
        <v>0</v>
      </c>
      <c r="J277" s="9">
        <f t="shared" si="8"/>
        <v>73800</v>
      </c>
      <c r="K277" s="9">
        <f t="shared" si="9"/>
        <v>73800</v>
      </c>
      <c r="L277" s="11" t="s">
        <v>76</v>
      </c>
      <c r="M277" s="11" t="s">
        <v>77</v>
      </c>
      <c r="N277">
        <v>6</v>
      </c>
      <c r="O277">
        <v>2024</v>
      </c>
      <c r="P277" s="29" t="s">
        <v>720</v>
      </c>
      <c r="Q277" t="s">
        <v>736</v>
      </c>
      <c r="R277" t="s">
        <v>739</v>
      </c>
    </row>
    <row r="278" spans="1:18" x14ac:dyDescent="0.25">
      <c r="A278" s="6">
        <v>275</v>
      </c>
      <c r="B278" s="7">
        <v>45372</v>
      </c>
      <c r="C278" s="8" t="s">
        <v>101</v>
      </c>
      <c r="D278" s="8" t="s">
        <v>83</v>
      </c>
      <c r="E278" s="8" t="s">
        <v>74</v>
      </c>
      <c r="F278" s="8" t="s">
        <v>99</v>
      </c>
      <c r="G278" s="6">
        <v>24</v>
      </c>
      <c r="H278" s="25">
        <v>3800</v>
      </c>
      <c r="I278" s="6">
        <v>15</v>
      </c>
      <c r="J278" s="6">
        <f t="shared" si="8"/>
        <v>91200</v>
      </c>
      <c r="K278" s="6">
        <f t="shared" si="9"/>
        <v>77520</v>
      </c>
      <c r="L278" s="8" t="s">
        <v>76</v>
      </c>
      <c r="M278" s="8" t="s">
        <v>81</v>
      </c>
      <c r="N278">
        <v>3</v>
      </c>
      <c r="O278">
        <v>2024</v>
      </c>
      <c r="P278" s="29" t="s">
        <v>711</v>
      </c>
      <c r="Q278" t="s">
        <v>735</v>
      </c>
      <c r="R278" t="s">
        <v>739</v>
      </c>
    </row>
    <row r="279" spans="1:18" x14ac:dyDescent="0.25">
      <c r="A279" s="9">
        <v>276</v>
      </c>
      <c r="B279" s="10">
        <v>45332</v>
      </c>
      <c r="C279" s="11" t="s">
        <v>119</v>
      </c>
      <c r="D279" s="11" t="s">
        <v>93</v>
      </c>
      <c r="E279" s="11" t="s">
        <v>102</v>
      </c>
      <c r="F279" s="11" t="s">
        <v>181</v>
      </c>
      <c r="G279" s="9">
        <v>9</v>
      </c>
      <c r="H279" s="26">
        <v>4600</v>
      </c>
      <c r="I279" s="9">
        <v>0</v>
      </c>
      <c r="J279" s="9">
        <f t="shared" si="8"/>
        <v>41400</v>
      </c>
      <c r="K279" s="9">
        <f t="shared" si="9"/>
        <v>41400</v>
      </c>
      <c r="L279" s="11" t="s">
        <v>76</v>
      </c>
      <c r="M279" s="11" t="s">
        <v>91</v>
      </c>
      <c r="N279">
        <v>2</v>
      </c>
      <c r="O279">
        <v>2024</v>
      </c>
      <c r="P279" s="29" t="s">
        <v>729</v>
      </c>
      <c r="Q279" t="s">
        <v>735</v>
      </c>
      <c r="R279" t="s">
        <v>738</v>
      </c>
    </row>
    <row r="280" spans="1:18" x14ac:dyDescent="0.25">
      <c r="A280" s="6">
        <v>277</v>
      </c>
      <c r="B280" s="7">
        <v>45562</v>
      </c>
      <c r="C280" s="8" t="s">
        <v>114</v>
      </c>
      <c r="D280" s="8" t="s">
        <v>117</v>
      </c>
      <c r="E280" s="8" t="s">
        <v>111</v>
      </c>
      <c r="F280" s="8" t="s">
        <v>132</v>
      </c>
      <c r="G280" s="6">
        <v>42</v>
      </c>
      <c r="H280" s="25">
        <v>7600</v>
      </c>
      <c r="I280" s="6">
        <v>0</v>
      </c>
      <c r="J280" s="6">
        <f t="shared" si="8"/>
        <v>319200</v>
      </c>
      <c r="K280" s="6">
        <f t="shared" si="9"/>
        <v>319200</v>
      </c>
      <c r="L280" s="8" t="s">
        <v>123</v>
      </c>
      <c r="M280" s="8" t="s">
        <v>81</v>
      </c>
      <c r="N280">
        <v>9</v>
      </c>
      <c r="O280">
        <v>2024</v>
      </c>
      <c r="P280" s="29" t="s">
        <v>731</v>
      </c>
      <c r="Q280" t="s">
        <v>734</v>
      </c>
      <c r="R280" t="s">
        <v>737</v>
      </c>
    </row>
    <row r="281" spans="1:18" x14ac:dyDescent="0.25">
      <c r="A281" s="9">
        <v>278</v>
      </c>
      <c r="B281" s="10">
        <v>45255</v>
      </c>
      <c r="C281" s="11" t="s">
        <v>124</v>
      </c>
      <c r="D281" s="11" t="s">
        <v>109</v>
      </c>
      <c r="E281" s="11" t="s">
        <v>111</v>
      </c>
      <c r="F281" s="11" t="s">
        <v>132</v>
      </c>
      <c r="G281" s="9">
        <v>26</v>
      </c>
      <c r="H281" s="26">
        <v>7100</v>
      </c>
      <c r="I281" s="9">
        <v>15</v>
      </c>
      <c r="J281" s="9">
        <f t="shared" si="8"/>
        <v>184600</v>
      </c>
      <c r="K281" s="9">
        <f t="shared" si="9"/>
        <v>156910</v>
      </c>
      <c r="L281" s="11" t="s">
        <v>123</v>
      </c>
      <c r="M281" s="11" t="s">
        <v>96</v>
      </c>
      <c r="N281">
        <v>11</v>
      </c>
      <c r="O281">
        <v>2023</v>
      </c>
      <c r="P281" s="29" t="s">
        <v>718</v>
      </c>
      <c r="Q281" t="s">
        <v>733</v>
      </c>
      <c r="R281" t="s">
        <v>739</v>
      </c>
    </row>
    <row r="282" spans="1:18" x14ac:dyDescent="0.25">
      <c r="A282" s="6">
        <v>279</v>
      </c>
      <c r="B282" s="7">
        <v>45638</v>
      </c>
      <c r="C282" s="8" t="s">
        <v>119</v>
      </c>
      <c r="D282" s="8" t="s">
        <v>93</v>
      </c>
      <c r="E282" s="8" t="s">
        <v>84</v>
      </c>
      <c r="F282" s="8" t="s">
        <v>200</v>
      </c>
      <c r="G282" s="6">
        <v>26</v>
      </c>
      <c r="H282" s="25">
        <v>3200</v>
      </c>
      <c r="I282" s="6">
        <v>10</v>
      </c>
      <c r="J282" s="6">
        <f t="shared" si="8"/>
        <v>83200</v>
      </c>
      <c r="K282" s="6">
        <f t="shared" si="9"/>
        <v>74880</v>
      </c>
      <c r="L282" s="8" t="s">
        <v>76</v>
      </c>
      <c r="M282" s="8" t="s">
        <v>81</v>
      </c>
      <c r="N282">
        <v>12</v>
      </c>
      <c r="O282">
        <v>2024</v>
      </c>
      <c r="P282" s="29" t="s">
        <v>728</v>
      </c>
      <c r="Q282" t="s">
        <v>733</v>
      </c>
      <c r="R282" t="s">
        <v>739</v>
      </c>
    </row>
    <row r="283" spans="1:18" x14ac:dyDescent="0.25">
      <c r="A283" s="9">
        <v>280</v>
      </c>
      <c r="B283" s="10">
        <v>45633</v>
      </c>
      <c r="C283" s="11" t="s">
        <v>108</v>
      </c>
      <c r="D283" s="11" t="s">
        <v>93</v>
      </c>
      <c r="E283" s="11" t="s">
        <v>79</v>
      </c>
      <c r="F283" s="11" t="s">
        <v>172</v>
      </c>
      <c r="G283" s="9">
        <v>14</v>
      </c>
      <c r="H283" s="26">
        <v>28400</v>
      </c>
      <c r="I283" s="9">
        <v>20</v>
      </c>
      <c r="J283" s="9">
        <f t="shared" si="8"/>
        <v>397600</v>
      </c>
      <c r="K283" s="9">
        <f t="shared" si="9"/>
        <v>318080</v>
      </c>
      <c r="L283" s="11" t="s">
        <v>76</v>
      </c>
      <c r="M283" s="11" t="s">
        <v>96</v>
      </c>
      <c r="N283">
        <v>12</v>
      </c>
      <c r="O283">
        <v>2024</v>
      </c>
      <c r="P283" s="29" t="s">
        <v>728</v>
      </c>
      <c r="Q283" t="s">
        <v>733</v>
      </c>
      <c r="R283" t="s">
        <v>737</v>
      </c>
    </row>
    <row r="284" spans="1:18" x14ac:dyDescent="0.25">
      <c r="A284" s="6">
        <v>281</v>
      </c>
      <c r="B284" s="7">
        <v>45577</v>
      </c>
      <c r="C284" s="8" t="s">
        <v>97</v>
      </c>
      <c r="D284" s="8" t="s">
        <v>83</v>
      </c>
      <c r="E284" s="8" t="s">
        <v>111</v>
      </c>
      <c r="F284" s="8" t="s">
        <v>166</v>
      </c>
      <c r="G284" s="6">
        <v>16</v>
      </c>
      <c r="H284" s="25">
        <v>29600</v>
      </c>
      <c r="I284" s="6">
        <v>15</v>
      </c>
      <c r="J284" s="6">
        <f t="shared" si="8"/>
        <v>473600</v>
      </c>
      <c r="K284" s="6">
        <f t="shared" si="9"/>
        <v>402560</v>
      </c>
      <c r="L284" s="8" t="s">
        <v>76</v>
      </c>
      <c r="M284" s="8" t="s">
        <v>81</v>
      </c>
      <c r="N284">
        <v>10</v>
      </c>
      <c r="O284">
        <v>2024</v>
      </c>
      <c r="P284" s="29" t="s">
        <v>709</v>
      </c>
      <c r="Q284" t="s">
        <v>733</v>
      </c>
      <c r="R284" t="s">
        <v>737</v>
      </c>
    </row>
    <row r="285" spans="1:18" x14ac:dyDescent="0.25">
      <c r="A285" s="9">
        <v>282</v>
      </c>
      <c r="B285" s="10">
        <v>45538</v>
      </c>
      <c r="C285" s="11" t="s">
        <v>114</v>
      </c>
      <c r="D285" s="11" t="s">
        <v>73</v>
      </c>
      <c r="E285" s="11" t="s">
        <v>111</v>
      </c>
      <c r="F285" s="11" t="s">
        <v>159</v>
      </c>
      <c r="G285" s="9">
        <v>35</v>
      </c>
      <c r="H285" s="26">
        <v>12500</v>
      </c>
      <c r="I285" s="9">
        <v>10</v>
      </c>
      <c r="J285" s="9">
        <f t="shared" si="8"/>
        <v>437500</v>
      </c>
      <c r="K285" s="9">
        <f t="shared" si="9"/>
        <v>393750</v>
      </c>
      <c r="L285" s="11" t="s">
        <v>76</v>
      </c>
      <c r="M285" s="11" t="s">
        <v>91</v>
      </c>
      <c r="N285">
        <v>9</v>
      </c>
      <c r="O285">
        <v>2024</v>
      </c>
      <c r="P285" s="29" t="s">
        <v>731</v>
      </c>
      <c r="Q285" t="s">
        <v>734</v>
      </c>
      <c r="R285" t="s">
        <v>737</v>
      </c>
    </row>
    <row r="286" spans="1:18" x14ac:dyDescent="0.25">
      <c r="A286" s="6">
        <v>283</v>
      </c>
      <c r="B286" s="7">
        <v>45109</v>
      </c>
      <c r="C286" s="8" t="s">
        <v>88</v>
      </c>
      <c r="D286" s="8" t="s">
        <v>93</v>
      </c>
      <c r="E286" s="8" t="s">
        <v>102</v>
      </c>
      <c r="F286" s="8" t="s">
        <v>137</v>
      </c>
      <c r="G286" s="6">
        <v>16</v>
      </c>
      <c r="H286" s="25">
        <v>2000</v>
      </c>
      <c r="I286" s="6">
        <v>0</v>
      </c>
      <c r="J286" s="6">
        <f t="shared" si="8"/>
        <v>32000</v>
      </c>
      <c r="K286" s="6">
        <f t="shared" si="9"/>
        <v>32000</v>
      </c>
      <c r="L286" s="8" t="s">
        <v>187</v>
      </c>
      <c r="M286" s="8" t="s">
        <v>96</v>
      </c>
      <c r="N286">
        <v>7</v>
      </c>
      <c r="O286">
        <v>2023</v>
      </c>
      <c r="P286" s="29" t="s">
        <v>724</v>
      </c>
      <c r="Q286" t="s">
        <v>734</v>
      </c>
      <c r="R286" t="s">
        <v>738</v>
      </c>
    </row>
    <row r="287" spans="1:18" x14ac:dyDescent="0.25">
      <c r="A287" s="9">
        <v>284</v>
      </c>
      <c r="B287" s="10">
        <v>45589</v>
      </c>
      <c r="C287" s="11" t="s">
        <v>124</v>
      </c>
      <c r="D287" s="11" t="s">
        <v>73</v>
      </c>
      <c r="E287" s="11" t="s">
        <v>102</v>
      </c>
      <c r="F287" s="11" t="s">
        <v>151</v>
      </c>
      <c r="G287" s="9">
        <v>22</v>
      </c>
      <c r="H287" s="26">
        <v>8600</v>
      </c>
      <c r="I287" s="9">
        <v>0</v>
      </c>
      <c r="J287" s="9">
        <f t="shared" si="8"/>
        <v>189200</v>
      </c>
      <c r="K287" s="9">
        <f t="shared" si="9"/>
        <v>189200</v>
      </c>
      <c r="L287" s="11" t="s">
        <v>123</v>
      </c>
      <c r="M287" s="11" t="s">
        <v>91</v>
      </c>
      <c r="N287">
        <v>10</v>
      </c>
      <c r="O287">
        <v>2024</v>
      </c>
      <c r="P287" s="29" t="s">
        <v>709</v>
      </c>
      <c r="Q287" t="s">
        <v>733</v>
      </c>
      <c r="R287" t="s">
        <v>739</v>
      </c>
    </row>
    <row r="288" spans="1:18" x14ac:dyDescent="0.25">
      <c r="A288" s="6">
        <v>285</v>
      </c>
      <c r="B288" s="7">
        <v>45231</v>
      </c>
      <c r="C288" s="8" t="s">
        <v>97</v>
      </c>
      <c r="D288" s="8" t="s">
        <v>117</v>
      </c>
      <c r="E288" s="8" t="s">
        <v>84</v>
      </c>
      <c r="F288" s="8" t="s">
        <v>90</v>
      </c>
      <c r="G288" s="6">
        <v>26</v>
      </c>
      <c r="H288" s="25">
        <v>1800</v>
      </c>
      <c r="I288" s="6">
        <v>0</v>
      </c>
      <c r="J288" s="6">
        <f t="shared" si="8"/>
        <v>46800</v>
      </c>
      <c r="K288" s="6">
        <f t="shared" si="9"/>
        <v>46800</v>
      </c>
      <c r="L288" s="8" t="s">
        <v>76</v>
      </c>
      <c r="M288" s="8" t="s">
        <v>81</v>
      </c>
      <c r="N288">
        <v>11</v>
      </c>
      <c r="O288">
        <v>2023</v>
      </c>
      <c r="P288" s="29" t="s">
        <v>718</v>
      </c>
      <c r="Q288" t="s">
        <v>733</v>
      </c>
      <c r="R288" t="s">
        <v>738</v>
      </c>
    </row>
    <row r="289" spans="1:18" x14ac:dyDescent="0.25">
      <c r="A289" s="9">
        <v>286</v>
      </c>
      <c r="B289" s="10">
        <v>44952</v>
      </c>
      <c r="C289" s="11" t="s">
        <v>119</v>
      </c>
      <c r="D289" s="11" t="s">
        <v>73</v>
      </c>
      <c r="E289" s="11" t="s">
        <v>74</v>
      </c>
      <c r="F289" s="11" t="s">
        <v>140</v>
      </c>
      <c r="G289" s="9">
        <v>6</v>
      </c>
      <c r="H289" s="26">
        <v>5100</v>
      </c>
      <c r="I289" s="9">
        <v>0</v>
      </c>
      <c r="J289" s="9">
        <f t="shared" si="8"/>
        <v>30600</v>
      </c>
      <c r="K289" s="9">
        <f t="shared" si="9"/>
        <v>30600</v>
      </c>
      <c r="L289" s="11" t="s">
        <v>76</v>
      </c>
      <c r="M289" s="11" t="s">
        <v>81</v>
      </c>
      <c r="N289">
        <v>1</v>
      </c>
      <c r="O289">
        <v>2023</v>
      </c>
      <c r="P289" s="29" t="s">
        <v>721</v>
      </c>
      <c r="Q289" t="s">
        <v>735</v>
      </c>
      <c r="R289" t="s">
        <v>738</v>
      </c>
    </row>
    <row r="290" spans="1:18" x14ac:dyDescent="0.25">
      <c r="A290" s="6">
        <v>287</v>
      </c>
      <c r="B290" s="7">
        <v>45246</v>
      </c>
      <c r="C290" s="8" t="s">
        <v>88</v>
      </c>
      <c r="D290" s="8" t="s">
        <v>83</v>
      </c>
      <c r="E290" s="8" t="s">
        <v>84</v>
      </c>
      <c r="F290" s="8" t="s">
        <v>85</v>
      </c>
      <c r="G290" s="6">
        <v>7</v>
      </c>
      <c r="H290" s="25">
        <v>5300</v>
      </c>
      <c r="I290" s="6">
        <v>0</v>
      </c>
      <c r="J290" s="6">
        <f t="shared" si="8"/>
        <v>37100</v>
      </c>
      <c r="K290" s="6">
        <f t="shared" si="9"/>
        <v>37100</v>
      </c>
      <c r="L290" s="8" t="s">
        <v>76</v>
      </c>
      <c r="M290" s="8" t="s">
        <v>91</v>
      </c>
      <c r="N290">
        <v>11</v>
      </c>
      <c r="O290">
        <v>2023</v>
      </c>
      <c r="P290" s="29" t="s">
        <v>718</v>
      </c>
      <c r="Q290" t="s">
        <v>733</v>
      </c>
      <c r="R290" t="s">
        <v>738</v>
      </c>
    </row>
    <row r="291" spans="1:18" x14ac:dyDescent="0.25">
      <c r="A291" s="9">
        <v>288</v>
      </c>
      <c r="B291" s="10">
        <v>45202</v>
      </c>
      <c r="C291" s="11" t="s">
        <v>101</v>
      </c>
      <c r="D291" s="11" t="s">
        <v>73</v>
      </c>
      <c r="E291" s="11" t="s">
        <v>79</v>
      </c>
      <c r="F291" s="11" t="s">
        <v>136</v>
      </c>
      <c r="G291" s="9">
        <v>42</v>
      </c>
      <c r="H291" s="26">
        <v>94500</v>
      </c>
      <c r="I291" s="9">
        <v>15</v>
      </c>
      <c r="J291" s="9">
        <f t="shared" si="8"/>
        <v>3969000</v>
      </c>
      <c r="K291" s="9">
        <f t="shared" si="9"/>
        <v>3373650</v>
      </c>
      <c r="L291" s="11" t="s">
        <v>76</v>
      </c>
      <c r="M291" s="11" t="s">
        <v>81</v>
      </c>
      <c r="N291">
        <v>10</v>
      </c>
      <c r="O291">
        <v>2023</v>
      </c>
      <c r="P291" s="29" t="s">
        <v>726</v>
      </c>
      <c r="Q291" t="s">
        <v>733</v>
      </c>
      <c r="R291" t="s">
        <v>737</v>
      </c>
    </row>
    <row r="292" spans="1:18" x14ac:dyDescent="0.25">
      <c r="A292" s="6">
        <v>289</v>
      </c>
      <c r="B292" s="7">
        <v>45116</v>
      </c>
      <c r="C292" s="8" t="s">
        <v>82</v>
      </c>
      <c r="D292" s="8" t="s">
        <v>109</v>
      </c>
      <c r="E292" s="8" t="s">
        <v>102</v>
      </c>
      <c r="F292" s="8" t="s">
        <v>103</v>
      </c>
      <c r="G292" s="6">
        <v>28</v>
      </c>
      <c r="H292" s="25">
        <v>9600</v>
      </c>
      <c r="I292" s="6">
        <v>20</v>
      </c>
      <c r="J292" s="6">
        <f t="shared" si="8"/>
        <v>268800</v>
      </c>
      <c r="K292" s="6">
        <f t="shared" si="9"/>
        <v>215040</v>
      </c>
      <c r="L292" s="8" t="s">
        <v>123</v>
      </c>
      <c r="M292" s="8" t="s">
        <v>81</v>
      </c>
      <c r="N292">
        <v>7</v>
      </c>
      <c r="O292">
        <v>2023</v>
      </c>
      <c r="P292" s="29" t="s">
        <v>724</v>
      </c>
      <c r="Q292" t="s">
        <v>734</v>
      </c>
      <c r="R292" t="s">
        <v>737</v>
      </c>
    </row>
    <row r="293" spans="1:18" x14ac:dyDescent="0.25">
      <c r="A293" s="9">
        <v>290</v>
      </c>
      <c r="B293" s="10">
        <v>45341</v>
      </c>
      <c r="C293" s="11" t="s">
        <v>108</v>
      </c>
      <c r="D293" s="11" t="s">
        <v>109</v>
      </c>
      <c r="E293" s="11" t="s">
        <v>111</v>
      </c>
      <c r="F293" s="11" t="s">
        <v>165</v>
      </c>
      <c r="G293" s="9">
        <v>40</v>
      </c>
      <c r="H293" s="26">
        <v>16300</v>
      </c>
      <c r="I293" s="6">
        <v>0</v>
      </c>
      <c r="J293" s="9">
        <f t="shared" si="8"/>
        <v>652000</v>
      </c>
      <c r="K293" s="9">
        <f t="shared" si="9"/>
        <v>652000</v>
      </c>
      <c r="L293" s="11" t="s">
        <v>107</v>
      </c>
      <c r="M293" s="11" t="s">
        <v>91</v>
      </c>
      <c r="N293">
        <v>2</v>
      </c>
      <c r="O293">
        <v>2024</v>
      </c>
      <c r="P293" s="29" t="s">
        <v>729</v>
      </c>
      <c r="Q293" t="s">
        <v>735</v>
      </c>
      <c r="R293" t="s">
        <v>737</v>
      </c>
    </row>
    <row r="294" spans="1:18" x14ac:dyDescent="0.25">
      <c r="A294" s="6">
        <v>291</v>
      </c>
      <c r="B294" s="7">
        <v>45366</v>
      </c>
      <c r="C294" s="8" t="s">
        <v>114</v>
      </c>
      <c r="D294" s="8" t="s">
        <v>73</v>
      </c>
      <c r="E294" s="8" t="s">
        <v>84</v>
      </c>
      <c r="F294" s="8" t="s">
        <v>90</v>
      </c>
      <c r="G294" s="6">
        <v>46</v>
      </c>
      <c r="H294" s="25">
        <v>1700</v>
      </c>
      <c r="I294" s="6">
        <v>10</v>
      </c>
      <c r="J294" s="6">
        <f t="shared" si="8"/>
        <v>78200</v>
      </c>
      <c r="K294" s="6">
        <f t="shared" si="9"/>
        <v>70380</v>
      </c>
      <c r="L294" s="8" t="s">
        <v>187</v>
      </c>
      <c r="M294" s="8" t="s">
        <v>77</v>
      </c>
      <c r="N294">
        <v>3</v>
      </c>
      <c r="O294">
        <v>2024</v>
      </c>
      <c r="P294" s="29" t="s">
        <v>711</v>
      </c>
      <c r="Q294" t="s">
        <v>735</v>
      </c>
      <c r="R294" t="s">
        <v>739</v>
      </c>
    </row>
    <row r="295" spans="1:18" x14ac:dyDescent="0.25">
      <c r="A295" s="9">
        <v>292</v>
      </c>
      <c r="B295" s="10">
        <v>45031</v>
      </c>
      <c r="C295" s="11" t="s">
        <v>82</v>
      </c>
      <c r="D295" s="11" t="s">
        <v>109</v>
      </c>
      <c r="E295" s="11" t="s">
        <v>74</v>
      </c>
      <c r="F295" s="11" t="s">
        <v>212</v>
      </c>
      <c r="G295" s="9">
        <v>8</v>
      </c>
      <c r="H295" s="26">
        <v>7600</v>
      </c>
      <c r="I295" s="9">
        <v>10</v>
      </c>
      <c r="J295" s="9">
        <f t="shared" si="8"/>
        <v>60800</v>
      </c>
      <c r="K295" s="9">
        <f t="shared" si="9"/>
        <v>54720</v>
      </c>
      <c r="L295" s="11" t="s">
        <v>76</v>
      </c>
      <c r="M295" s="11" t="s">
        <v>91</v>
      </c>
      <c r="N295">
        <v>4</v>
      </c>
      <c r="O295">
        <v>2023</v>
      </c>
      <c r="P295" s="29" t="s">
        <v>716</v>
      </c>
      <c r="Q295" t="s">
        <v>736</v>
      </c>
      <c r="R295" t="s">
        <v>739</v>
      </c>
    </row>
    <row r="296" spans="1:18" x14ac:dyDescent="0.25">
      <c r="A296" s="6">
        <v>293</v>
      </c>
      <c r="B296" s="7">
        <v>45581</v>
      </c>
      <c r="C296" s="8" t="s">
        <v>88</v>
      </c>
      <c r="D296" s="8" t="s">
        <v>93</v>
      </c>
      <c r="E296" s="8" t="s">
        <v>111</v>
      </c>
      <c r="F296" s="8" t="s">
        <v>165</v>
      </c>
      <c r="G296" s="6">
        <v>23</v>
      </c>
      <c r="H296" s="25">
        <v>18800</v>
      </c>
      <c r="I296" s="6">
        <v>10</v>
      </c>
      <c r="J296" s="6">
        <f t="shared" si="8"/>
        <v>432400</v>
      </c>
      <c r="K296" s="6">
        <f t="shared" si="9"/>
        <v>389160</v>
      </c>
      <c r="L296" s="8" t="s">
        <v>76</v>
      </c>
      <c r="M296" s="8" t="s">
        <v>91</v>
      </c>
      <c r="N296">
        <v>10</v>
      </c>
      <c r="O296">
        <v>2024</v>
      </c>
      <c r="P296" s="29" t="s">
        <v>709</v>
      </c>
      <c r="Q296" t="s">
        <v>733</v>
      </c>
      <c r="R296" t="s">
        <v>737</v>
      </c>
    </row>
    <row r="297" spans="1:18" x14ac:dyDescent="0.25">
      <c r="A297" s="9">
        <v>294</v>
      </c>
      <c r="B297" s="10">
        <v>45103</v>
      </c>
      <c r="C297" s="11" t="s">
        <v>101</v>
      </c>
      <c r="D297" s="11" t="s">
        <v>93</v>
      </c>
      <c r="E297" s="11" t="s">
        <v>102</v>
      </c>
      <c r="F297" s="11" t="s">
        <v>137</v>
      </c>
      <c r="G297" s="9">
        <v>21</v>
      </c>
      <c r="H297" s="26">
        <v>2300</v>
      </c>
      <c r="I297" s="9">
        <v>0</v>
      </c>
      <c r="J297" s="9">
        <f t="shared" si="8"/>
        <v>48300</v>
      </c>
      <c r="K297" s="9">
        <f t="shared" si="9"/>
        <v>48300</v>
      </c>
      <c r="L297" s="11" t="s">
        <v>76</v>
      </c>
      <c r="M297" s="11" t="s">
        <v>96</v>
      </c>
      <c r="N297">
        <v>6</v>
      </c>
      <c r="O297">
        <v>2023</v>
      </c>
      <c r="P297" s="29" t="s">
        <v>723</v>
      </c>
      <c r="Q297" t="s">
        <v>736</v>
      </c>
      <c r="R297" t="s">
        <v>738</v>
      </c>
    </row>
    <row r="298" spans="1:18" x14ac:dyDescent="0.25">
      <c r="A298" s="6">
        <v>295</v>
      </c>
      <c r="B298" s="7">
        <v>45114</v>
      </c>
      <c r="C298" s="8" t="s">
        <v>88</v>
      </c>
      <c r="D298" s="8" t="s">
        <v>109</v>
      </c>
      <c r="E298" s="8" t="s">
        <v>102</v>
      </c>
      <c r="F298" s="8" t="s">
        <v>151</v>
      </c>
      <c r="G298" s="6">
        <v>9</v>
      </c>
      <c r="H298" s="25">
        <v>7500</v>
      </c>
      <c r="I298" s="6">
        <v>0</v>
      </c>
      <c r="J298" s="6">
        <f t="shared" si="8"/>
        <v>67500</v>
      </c>
      <c r="K298" s="6">
        <f t="shared" si="9"/>
        <v>67500</v>
      </c>
      <c r="L298" s="8" t="s">
        <v>76</v>
      </c>
      <c r="M298" s="8" t="s">
        <v>91</v>
      </c>
      <c r="N298">
        <v>7</v>
      </c>
      <c r="O298">
        <v>2023</v>
      </c>
      <c r="P298" s="29" t="s">
        <v>724</v>
      </c>
      <c r="Q298" t="s">
        <v>734</v>
      </c>
      <c r="R298" t="s">
        <v>739</v>
      </c>
    </row>
    <row r="299" spans="1:18" x14ac:dyDescent="0.25">
      <c r="A299" s="9">
        <v>296</v>
      </c>
      <c r="B299" s="10">
        <v>45425</v>
      </c>
      <c r="C299" s="11" t="s">
        <v>82</v>
      </c>
      <c r="D299" s="11" t="s">
        <v>109</v>
      </c>
      <c r="E299" s="11" t="s">
        <v>102</v>
      </c>
      <c r="F299" s="11" t="s">
        <v>103</v>
      </c>
      <c r="G299" s="9">
        <v>9</v>
      </c>
      <c r="H299" s="26">
        <v>10000</v>
      </c>
      <c r="I299" s="9">
        <v>10</v>
      </c>
      <c r="J299" s="9">
        <f t="shared" si="8"/>
        <v>90000</v>
      </c>
      <c r="K299" s="9">
        <f t="shared" si="9"/>
        <v>81000</v>
      </c>
      <c r="L299" s="11" t="s">
        <v>76</v>
      </c>
      <c r="M299" s="11" t="s">
        <v>91</v>
      </c>
      <c r="N299">
        <v>5</v>
      </c>
      <c r="O299">
        <v>2024</v>
      </c>
      <c r="P299" s="29" t="s">
        <v>732</v>
      </c>
      <c r="Q299" t="s">
        <v>736</v>
      </c>
      <c r="R299" t="s">
        <v>739</v>
      </c>
    </row>
    <row r="300" spans="1:18" x14ac:dyDescent="0.25">
      <c r="A300" s="6">
        <v>297</v>
      </c>
      <c r="B300" s="7">
        <v>44981</v>
      </c>
      <c r="C300" s="8" t="s">
        <v>88</v>
      </c>
      <c r="D300" s="8" t="s">
        <v>73</v>
      </c>
      <c r="E300" s="8" t="s">
        <v>111</v>
      </c>
      <c r="F300" s="8" t="s">
        <v>166</v>
      </c>
      <c r="G300" s="6">
        <v>25</v>
      </c>
      <c r="H300" s="25">
        <v>26600</v>
      </c>
      <c r="I300" s="6">
        <v>5</v>
      </c>
      <c r="J300" s="6">
        <f t="shared" si="8"/>
        <v>665000</v>
      </c>
      <c r="K300" s="6">
        <f t="shared" si="9"/>
        <v>631750</v>
      </c>
      <c r="L300" s="8" t="s">
        <v>123</v>
      </c>
      <c r="M300" s="8" t="s">
        <v>91</v>
      </c>
      <c r="N300">
        <v>2</v>
      </c>
      <c r="O300">
        <v>2023</v>
      </c>
      <c r="P300" s="29" t="s">
        <v>717</v>
      </c>
      <c r="Q300" t="s">
        <v>735</v>
      </c>
      <c r="R300" t="s">
        <v>737</v>
      </c>
    </row>
    <row r="301" spans="1:18" x14ac:dyDescent="0.25">
      <c r="A301" s="9">
        <v>298</v>
      </c>
      <c r="B301" s="10">
        <v>45334</v>
      </c>
      <c r="C301" s="11" t="s">
        <v>119</v>
      </c>
      <c r="D301" s="11" t="s">
        <v>83</v>
      </c>
      <c r="E301" s="11" t="s">
        <v>111</v>
      </c>
      <c r="F301" s="11" t="s">
        <v>159</v>
      </c>
      <c r="G301" s="9">
        <v>37</v>
      </c>
      <c r="H301" s="26">
        <v>11300</v>
      </c>
      <c r="I301" s="9">
        <v>0</v>
      </c>
      <c r="J301" s="9">
        <f t="shared" si="8"/>
        <v>418100</v>
      </c>
      <c r="K301" s="9">
        <f t="shared" si="9"/>
        <v>418100</v>
      </c>
      <c r="L301" s="11" t="s">
        <v>76</v>
      </c>
      <c r="M301" s="11" t="s">
        <v>81</v>
      </c>
      <c r="N301">
        <v>2</v>
      </c>
      <c r="O301">
        <v>2024</v>
      </c>
      <c r="P301" s="29" t="s">
        <v>729</v>
      </c>
      <c r="Q301" t="s">
        <v>735</v>
      </c>
      <c r="R301" t="s">
        <v>737</v>
      </c>
    </row>
    <row r="302" spans="1:18" x14ac:dyDescent="0.25">
      <c r="A302" s="6">
        <v>299</v>
      </c>
      <c r="B302" s="7">
        <v>44987</v>
      </c>
      <c r="C302" s="8" t="s">
        <v>101</v>
      </c>
      <c r="D302" s="8" t="s">
        <v>109</v>
      </c>
      <c r="E302" s="8" t="s">
        <v>102</v>
      </c>
      <c r="F302" s="8" t="s">
        <v>110</v>
      </c>
      <c r="G302" s="6">
        <v>30</v>
      </c>
      <c r="H302" s="25">
        <v>20700</v>
      </c>
      <c r="I302" s="6">
        <v>10</v>
      </c>
      <c r="J302" s="6">
        <f t="shared" si="8"/>
        <v>621000</v>
      </c>
      <c r="K302" s="6">
        <f t="shared" si="9"/>
        <v>558900</v>
      </c>
      <c r="L302" s="8" t="s">
        <v>76</v>
      </c>
      <c r="M302" s="8" t="s">
        <v>91</v>
      </c>
      <c r="N302">
        <v>3</v>
      </c>
      <c r="O302">
        <v>2023</v>
      </c>
      <c r="P302" s="29" t="s">
        <v>719</v>
      </c>
      <c r="Q302" t="s">
        <v>735</v>
      </c>
      <c r="R302" t="s">
        <v>737</v>
      </c>
    </row>
    <row r="303" spans="1:18" x14ac:dyDescent="0.25">
      <c r="A303" s="9">
        <v>300</v>
      </c>
      <c r="B303" s="10">
        <v>45479</v>
      </c>
      <c r="C303" s="11" t="s">
        <v>97</v>
      </c>
      <c r="D303" s="11" t="s">
        <v>93</v>
      </c>
      <c r="E303" s="11" t="s">
        <v>79</v>
      </c>
      <c r="F303" s="11" t="s">
        <v>179</v>
      </c>
      <c r="G303" s="9">
        <v>24</v>
      </c>
      <c r="H303" s="26">
        <v>2700</v>
      </c>
      <c r="I303" s="9">
        <v>20</v>
      </c>
      <c r="J303" s="9">
        <f t="shared" si="8"/>
        <v>64800</v>
      </c>
      <c r="K303" s="9">
        <f t="shared" si="9"/>
        <v>51840</v>
      </c>
      <c r="L303" s="11" t="s">
        <v>76</v>
      </c>
      <c r="M303" s="11" t="s">
        <v>77</v>
      </c>
      <c r="N303">
        <v>7</v>
      </c>
      <c r="O303">
        <v>2024</v>
      </c>
      <c r="P303" s="29" t="s">
        <v>712</v>
      </c>
      <c r="Q303" t="s">
        <v>734</v>
      </c>
      <c r="R303" t="s">
        <v>739</v>
      </c>
    </row>
    <row r="304" spans="1:18" x14ac:dyDescent="0.25">
      <c r="A304" s="6">
        <v>301</v>
      </c>
      <c r="B304" s="7">
        <v>45378</v>
      </c>
      <c r="C304" s="8" t="s">
        <v>82</v>
      </c>
      <c r="D304" s="8" t="s">
        <v>109</v>
      </c>
      <c r="E304" s="8" t="s">
        <v>111</v>
      </c>
      <c r="F304" s="8" t="s">
        <v>112</v>
      </c>
      <c r="G304" s="6">
        <v>42</v>
      </c>
      <c r="H304" s="25">
        <v>70500</v>
      </c>
      <c r="I304" s="6">
        <v>20</v>
      </c>
      <c r="J304" s="6">
        <f t="shared" si="8"/>
        <v>2961000</v>
      </c>
      <c r="K304" s="6">
        <f t="shared" si="9"/>
        <v>2368800</v>
      </c>
      <c r="L304" s="8" t="s">
        <v>187</v>
      </c>
      <c r="M304" s="8" t="s">
        <v>96</v>
      </c>
      <c r="N304">
        <v>3</v>
      </c>
      <c r="O304">
        <v>2024</v>
      </c>
      <c r="P304" s="29" t="s">
        <v>711</v>
      </c>
      <c r="Q304" t="s">
        <v>735</v>
      </c>
      <c r="R304" t="s">
        <v>737</v>
      </c>
    </row>
    <row r="305" spans="1:18" x14ac:dyDescent="0.25">
      <c r="A305" s="9">
        <v>302</v>
      </c>
      <c r="B305" s="10">
        <v>44987</v>
      </c>
      <c r="C305" s="11" t="s">
        <v>119</v>
      </c>
      <c r="D305" s="11" t="s">
        <v>117</v>
      </c>
      <c r="E305" s="11" t="s">
        <v>74</v>
      </c>
      <c r="F305" s="11" t="s">
        <v>118</v>
      </c>
      <c r="G305" s="9">
        <v>8</v>
      </c>
      <c r="H305" s="26">
        <v>28300</v>
      </c>
      <c r="I305" s="9">
        <v>0</v>
      </c>
      <c r="J305" s="9">
        <f t="shared" si="8"/>
        <v>226400</v>
      </c>
      <c r="K305" s="9">
        <f t="shared" si="9"/>
        <v>226400</v>
      </c>
      <c r="L305" s="11" t="s">
        <v>187</v>
      </c>
      <c r="M305" s="11" t="s">
        <v>81</v>
      </c>
      <c r="N305">
        <v>3</v>
      </c>
      <c r="O305">
        <v>2023</v>
      </c>
      <c r="P305" s="29" t="s">
        <v>719</v>
      </c>
      <c r="Q305" t="s">
        <v>735</v>
      </c>
      <c r="R305" t="s">
        <v>737</v>
      </c>
    </row>
    <row r="306" spans="1:18" x14ac:dyDescent="0.25">
      <c r="A306" s="6">
        <v>303</v>
      </c>
      <c r="B306" s="7">
        <v>45529</v>
      </c>
      <c r="C306" s="8" t="s">
        <v>88</v>
      </c>
      <c r="D306" s="8" t="s">
        <v>93</v>
      </c>
      <c r="E306" s="8" t="s">
        <v>111</v>
      </c>
      <c r="F306" s="8" t="s">
        <v>166</v>
      </c>
      <c r="G306" s="6">
        <v>14</v>
      </c>
      <c r="H306" s="25">
        <v>29500</v>
      </c>
      <c r="I306" s="6">
        <v>10</v>
      </c>
      <c r="J306" s="6">
        <f t="shared" si="8"/>
        <v>413000</v>
      </c>
      <c r="K306" s="6">
        <f t="shared" si="9"/>
        <v>371700</v>
      </c>
      <c r="L306" s="8" t="s">
        <v>187</v>
      </c>
      <c r="M306" s="8" t="s">
        <v>77</v>
      </c>
      <c r="N306">
        <v>8</v>
      </c>
      <c r="O306">
        <v>2024</v>
      </c>
      <c r="P306" s="29" t="s">
        <v>710</v>
      </c>
      <c r="Q306" t="s">
        <v>734</v>
      </c>
      <c r="R306" t="s">
        <v>737</v>
      </c>
    </row>
    <row r="307" spans="1:18" x14ac:dyDescent="0.25">
      <c r="A307" s="6">
        <v>304</v>
      </c>
      <c r="B307" s="7">
        <v>45286</v>
      </c>
      <c r="C307" s="8" t="s">
        <v>82</v>
      </c>
      <c r="D307" s="8" t="s">
        <v>117</v>
      </c>
      <c r="E307" s="8" t="s">
        <v>102</v>
      </c>
      <c r="F307" s="8" t="s">
        <v>103</v>
      </c>
      <c r="G307" s="6">
        <v>46</v>
      </c>
      <c r="H307" s="25">
        <v>9600</v>
      </c>
      <c r="I307" s="6">
        <v>20</v>
      </c>
      <c r="J307" s="6">
        <f t="shared" si="8"/>
        <v>441600</v>
      </c>
      <c r="K307" s="6">
        <f t="shared" si="9"/>
        <v>353280</v>
      </c>
      <c r="L307" s="8" t="s">
        <v>76</v>
      </c>
      <c r="M307" s="8" t="s">
        <v>96</v>
      </c>
      <c r="N307">
        <v>12</v>
      </c>
      <c r="O307">
        <v>2023</v>
      </c>
      <c r="P307" s="29" t="s">
        <v>725</v>
      </c>
      <c r="Q307" t="s">
        <v>733</v>
      </c>
      <c r="R307" t="s">
        <v>737</v>
      </c>
    </row>
    <row r="308" spans="1:18" x14ac:dyDescent="0.25">
      <c r="A308" s="9">
        <v>305</v>
      </c>
      <c r="B308" s="10">
        <v>45571</v>
      </c>
      <c r="C308" s="11" t="s">
        <v>97</v>
      </c>
      <c r="D308" s="11" t="s">
        <v>109</v>
      </c>
      <c r="E308" s="11" t="s">
        <v>111</v>
      </c>
      <c r="F308" s="11" t="s">
        <v>192</v>
      </c>
      <c r="G308" s="9">
        <v>42</v>
      </c>
      <c r="H308" s="26">
        <v>109100</v>
      </c>
      <c r="I308" s="9">
        <v>0</v>
      </c>
      <c r="J308" s="9">
        <f t="shared" si="8"/>
        <v>4582200</v>
      </c>
      <c r="K308" s="9">
        <f t="shared" si="9"/>
        <v>4582200</v>
      </c>
      <c r="L308" s="11" t="s">
        <v>76</v>
      </c>
      <c r="M308" s="11" t="s">
        <v>81</v>
      </c>
      <c r="N308">
        <v>10</v>
      </c>
      <c r="O308">
        <v>2024</v>
      </c>
      <c r="P308" s="29" t="s">
        <v>709</v>
      </c>
      <c r="Q308" t="s">
        <v>733</v>
      </c>
      <c r="R308" t="s">
        <v>737</v>
      </c>
    </row>
    <row r="309" spans="1:18" x14ac:dyDescent="0.25">
      <c r="A309" s="6">
        <v>306</v>
      </c>
      <c r="B309" s="7">
        <v>45076</v>
      </c>
      <c r="C309" s="8" t="s">
        <v>88</v>
      </c>
      <c r="D309" s="8" t="s">
        <v>109</v>
      </c>
      <c r="E309" s="8" t="s">
        <v>111</v>
      </c>
      <c r="F309" s="8" t="s">
        <v>159</v>
      </c>
      <c r="G309" s="6">
        <v>41</v>
      </c>
      <c r="H309" s="25">
        <v>11200</v>
      </c>
      <c r="I309" s="6">
        <v>5</v>
      </c>
      <c r="J309" s="6">
        <f t="shared" si="8"/>
        <v>459200</v>
      </c>
      <c r="K309" s="6">
        <f t="shared" si="9"/>
        <v>436240</v>
      </c>
      <c r="L309" s="8" t="s">
        <v>76</v>
      </c>
      <c r="M309" s="8" t="s">
        <v>91</v>
      </c>
      <c r="N309">
        <v>5</v>
      </c>
      <c r="O309">
        <v>2023</v>
      </c>
      <c r="P309" s="29" t="s">
        <v>730</v>
      </c>
      <c r="Q309" t="s">
        <v>736</v>
      </c>
      <c r="R309" t="s">
        <v>737</v>
      </c>
    </row>
    <row r="310" spans="1:18" x14ac:dyDescent="0.25">
      <c r="A310" s="9">
        <v>307</v>
      </c>
      <c r="B310" s="10">
        <v>45477</v>
      </c>
      <c r="C310" s="11" t="s">
        <v>97</v>
      </c>
      <c r="D310" s="11" t="s">
        <v>73</v>
      </c>
      <c r="E310" s="11" t="s">
        <v>111</v>
      </c>
      <c r="F310" s="11" t="s">
        <v>135</v>
      </c>
      <c r="G310" s="9">
        <v>24</v>
      </c>
      <c r="H310" s="26">
        <v>123500</v>
      </c>
      <c r="I310" s="9">
        <v>0</v>
      </c>
      <c r="J310" s="9">
        <f t="shared" si="8"/>
        <v>2964000</v>
      </c>
      <c r="K310" s="9">
        <f t="shared" si="9"/>
        <v>2964000</v>
      </c>
      <c r="L310" s="11" t="s">
        <v>76</v>
      </c>
      <c r="M310" s="11" t="s">
        <v>91</v>
      </c>
      <c r="N310">
        <v>7</v>
      </c>
      <c r="O310">
        <v>2024</v>
      </c>
      <c r="P310" s="29" t="s">
        <v>712</v>
      </c>
      <c r="Q310" t="s">
        <v>734</v>
      </c>
      <c r="R310" t="s">
        <v>737</v>
      </c>
    </row>
    <row r="311" spans="1:18" x14ac:dyDescent="0.25">
      <c r="A311" s="6">
        <v>308</v>
      </c>
      <c r="B311" s="7">
        <v>45522</v>
      </c>
      <c r="C311" s="8" t="s">
        <v>78</v>
      </c>
      <c r="D311" s="8" t="s">
        <v>73</v>
      </c>
      <c r="E311" s="8" t="s">
        <v>111</v>
      </c>
      <c r="F311" s="8" t="s">
        <v>132</v>
      </c>
      <c r="G311" s="6">
        <v>35</v>
      </c>
      <c r="H311" s="25">
        <v>8300</v>
      </c>
      <c r="I311" s="6">
        <v>20</v>
      </c>
      <c r="J311" s="6">
        <f t="shared" si="8"/>
        <v>290500</v>
      </c>
      <c r="K311" s="6">
        <f t="shared" si="9"/>
        <v>232400</v>
      </c>
      <c r="L311" s="8" t="s">
        <v>76</v>
      </c>
      <c r="M311" s="8" t="s">
        <v>91</v>
      </c>
      <c r="N311">
        <v>8</v>
      </c>
      <c r="O311">
        <v>2024</v>
      </c>
      <c r="P311" s="29" t="s">
        <v>710</v>
      </c>
      <c r="Q311" t="s">
        <v>734</v>
      </c>
      <c r="R311" t="s">
        <v>737</v>
      </c>
    </row>
    <row r="312" spans="1:18" x14ac:dyDescent="0.25">
      <c r="A312" s="9">
        <v>309</v>
      </c>
      <c r="B312" s="10">
        <v>45054</v>
      </c>
      <c r="C312" s="11" t="s">
        <v>119</v>
      </c>
      <c r="D312" s="11" t="s">
        <v>117</v>
      </c>
      <c r="E312" s="11" t="s">
        <v>74</v>
      </c>
      <c r="F312" s="11" t="s">
        <v>190</v>
      </c>
      <c r="G312" s="9">
        <v>37</v>
      </c>
      <c r="H312" s="26">
        <v>31500</v>
      </c>
      <c r="I312" s="9">
        <v>20</v>
      </c>
      <c r="J312" s="9">
        <f t="shared" si="8"/>
        <v>1165500</v>
      </c>
      <c r="K312" s="9">
        <f t="shared" si="9"/>
        <v>932400</v>
      </c>
      <c r="L312" s="11" t="s">
        <v>76</v>
      </c>
      <c r="M312" s="11" t="s">
        <v>91</v>
      </c>
      <c r="N312">
        <v>5</v>
      </c>
      <c r="O312">
        <v>2023</v>
      </c>
      <c r="P312" s="29" t="s">
        <v>730</v>
      </c>
      <c r="Q312" t="s">
        <v>736</v>
      </c>
      <c r="R312" t="s">
        <v>737</v>
      </c>
    </row>
    <row r="313" spans="1:18" x14ac:dyDescent="0.25">
      <c r="A313" s="6">
        <v>310</v>
      </c>
      <c r="B313" s="7">
        <v>45278</v>
      </c>
      <c r="C313" s="8" t="s">
        <v>78</v>
      </c>
      <c r="D313" s="8" t="s">
        <v>73</v>
      </c>
      <c r="E313" s="8" t="s">
        <v>79</v>
      </c>
      <c r="F313" s="8" t="s">
        <v>172</v>
      </c>
      <c r="G313" s="6">
        <v>11</v>
      </c>
      <c r="H313" s="25">
        <v>22600</v>
      </c>
      <c r="I313" s="6">
        <v>5</v>
      </c>
      <c r="J313" s="6">
        <f t="shared" si="8"/>
        <v>248600</v>
      </c>
      <c r="K313" s="6">
        <f t="shared" si="9"/>
        <v>236170</v>
      </c>
      <c r="L313" s="8" t="s">
        <v>76</v>
      </c>
      <c r="M313" s="8" t="s">
        <v>77</v>
      </c>
      <c r="N313">
        <v>12</v>
      </c>
      <c r="O313">
        <v>2023</v>
      </c>
      <c r="P313" s="29" t="s">
        <v>725</v>
      </c>
      <c r="Q313" t="s">
        <v>733</v>
      </c>
      <c r="R313" t="s">
        <v>737</v>
      </c>
    </row>
    <row r="314" spans="1:18" x14ac:dyDescent="0.25">
      <c r="A314" s="9">
        <v>311</v>
      </c>
      <c r="B314" s="10">
        <v>45134</v>
      </c>
      <c r="C314" s="11" t="s">
        <v>108</v>
      </c>
      <c r="D314" s="11" t="s">
        <v>117</v>
      </c>
      <c r="E314" s="11" t="s">
        <v>84</v>
      </c>
      <c r="F314" s="11" t="s">
        <v>134</v>
      </c>
      <c r="G314" s="9">
        <v>24</v>
      </c>
      <c r="H314" s="26">
        <v>8900</v>
      </c>
      <c r="I314" s="9">
        <v>15</v>
      </c>
      <c r="J314" s="9">
        <f t="shared" si="8"/>
        <v>213600</v>
      </c>
      <c r="K314" s="9">
        <f t="shared" si="9"/>
        <v>181560</v>
      </c>
      <c r="L314" s="11" t="s">
        <v>76</v>
      </c>
      <c r="M314" s="11" t="s">
        <v>96</v>
      </c>
      <c r="N314">
        <v>7</v>
      </c>
      <c r="O314">
        <v>2023</v>
      </c>
      <c r="P314" s="29" t="s">
        <v>724</v>
      </c>
      <c r="Q314" t="s">
        <v>734</v>
      </c>
      <c r="R314" t="s">
        <v>739</v>
      </c>
    </row>
    <row r="315" spans="1:18" x14ac:dyDescent="0.25">
      <c r="A315" s="6">
        <v>312</v>
      </c>
      <c r="B315" s="7">
        <v>45591</v>
      </c>
      <c r="C315" s="8" t="s">
        <v>108</v>
      </c>
      <c r="D315" s="8" t="s">
        <v>73</v>
      </c>
      <c r="E315" s="8" t="s">
        <v>111</v>
      </c>
      <c r="F315" s="8" t="s">
        <v>135</v>
      </c>
      <c r="G315" s="6">
        <v>49</v>
      </c>
      <c r="H315" s="25">
        <v>124400</v>
      </c>
      <c r="I315" s="6">
        <v>15</v>
      </c>
      <c r="J315" s="6">
        <f t="shared" si="8"/>
        <v>6095600</v>
      </c>
      <c r="K315" s="6">
        <f t="shared" si="9"/>
        <v>5181260</v>
      </c>
      <c r="L315" s="8" t="s">
        <v>76</v>
      </c>
      <c r="M315" s="8" t="s">
        <v>77</v>
      </c>
      <c r="N315">
        <v>10</v>
      </c>
      <c r="O315">
        <v>2024</v>
      </c>
      <c r="P315" s="29" t="s">
        <v>709</v>
      </c>
      <c r="Q315" t="s">
        <v>733</v>
      </c>
      <c r="R315" t="s">
        <v>737</v>
      </c>
    </row>
    <row r="316" spans="1:18" x14ac:dyDescent="0.25">
      <c r="A316" s="9">
        <v>313</v>
      </c>
      <c r="B316" s="10">
        <v>45142</v>
      </c>
      <c r="C316" s="11" t="s">
        <v>78</v>
      </c>
      <c r="D316" s="11" t="s">
        <v>109</v>
      </c>
      <c r="E316" s="11" t="s">
        <v>111</v>
      </c>
      <c r="F316" s="11" t="s">
        <v>112</v>
      </c>
      <c r="G316" s="9">
        <v>15</v>
      </c>
      <c r="H316" s="26">
        <v>60700</v>
      </c>
      <c r="I316" s="9">
        <v>0</v>
      </c>
      <c r="J316" s="9">
        <f t="shared" si="8"/>
        <v>910500</v>
      </c>
      <c r="K316" s="9">
        <f t="shared" si="9"/>
        <v>910500</v>
      </c>
      <c r="L316" s="11" t="s">
        <v>76</v>
      </c>
      <c r="M316" s="11" t="s">
        <v>91</v>
      </c>
      <c r="N316">
        <v>8</v>
      </c>
      <c r="O316">
        <v>2023</v>
      </c>
      <c r="P316" s="29" t="s">
        <v>713</v>
      </c>
      <c r="Q316" t="s">
        <v>734</v>
      </c>
      <c r="R316" t="s">
        <v>737</v>
      </c>
    </row>
    <row r="317" spans="1:18" x14ac:dyDescent="0.25">
      <c r="A317" s="6">
        <v>314</v>
      </c>
      <c r="B317" s="7">
        <v>45170</v>
      </c>
      <c r="C317" s="8" t="s">
        <v>88</v>
      </c>
      <c r="D317" s="8" t="s">
        <v>73</v>
      </c>
      <c r="E317" s="8" t="s">
        <v>111</v>
      </c>
      <c r="F317" s="8" t="s">
        <v>166</v>
      </c>
      <c r="G317" s="6">
        <v>15</v>
      </c>
      <c r="H317" s="25">
        <v>28500</v>
      </c>
      <c r="I317" s="6">
        <v>0</v>
      </c>
      <c r="J317" s="6">
        <f t="shared" si="8"/>
        <v>427500</v>
      </c>
      <c r="K317" s="6">
        <f t="shared" si="9"/>
        <v>427500</v>
      </c>
      <c r="L317" s="8" t="s">
        <v>76</v>
      </c>
      <c r="M317" s="8" t="s">
        <v>77</v>
      </c>
      <c r="N317">
        <v>9</v>
      </c>
      <c r="O317">
        <v>2023</v>
      </c>
      <c r="P317" s="29" t="s">
        <v>715</v>
      </c>
      <c r="Q317" t="s">
        <v>734</v>
      </c>
      <c r="R317" t="s">
        <v>737</v>
      </c>
    </row>
    <row r="318" spans="1:18" x14ac:dyDescent="0.25">
      <c r="A318" s="9">
        <v>315</v>
      </c>
      <c r="B318" s="10">
        <v>45247</v>
      </c>
      <c r="C318" s="11" t="s">
        <v>88</v>
      </c>
      <c r="D318" s="11" t="s">
        <v>117</v>
      </c>
      <c r="E318" s="11" t="s">
        <v>84</v>
      </c>
      <c r="F318" s="11" t="s">
        <v>148</v>
      </c>
      <c r="G318" s="9">
        <v>49</v>
      </c>
      <c r="H318" s="26">
        <v>5200</v>
      </c>
      <c r="I318" s="9">
        <v>0</v>
      </c>
      <c r="J318" s="9">
        <f t="shared" si="8"/>
        <v>254800</v>
      </c>
      <c r="K318" s="9">
        <f t="shared" si="9"/>
        <v>254800</v>
      </c>
      <c r="L318" s="11" t="s">
        <v>107</v>
      </c>
      <c r="M318" s="31" t="s">
        <v>695</v>
      </c>
      <c r="N318">
        <v>11</v>
      </c>
      <c r="O318">
        <v>2023</v>
      </c>
      <c r="P318" s="29" t="s">
        <v>718</v>
      </c>
      <c r="Q318" t="s">
        <v>733</v>
      </c>
      <c r="R318" t="s">
        <v>737</v>
      </c>
    </row>
    <row r="319" spans="1:18" x14ac:dyDescent="0.25">
      <c r="A319" s="6">
        <v>316</v>
      </c>
      <c r="B319" s="7">
        <v>45470</v>
      </c>
      <c r="C319" s="8" t="s">
        <v>124</v>
      </c>
      <c r="D319" s="8" t="s">
        <v>73</v>
      </c>
      <c r="E319" s="8" t="s">
        <v>102</v>
      </c>
      <c r="F319" s="8" t="s">
        <v>103</v>
      </c>
      <c r="G319" s="6">
        <v>47</v>
      </c>
      <c r="H319" s="25">
        <v>9900</v>
      </c>
      <c r="I319" s="6">
        <v>5</v>
      </c>
      <c r="J319" s="6">
        <f t="shared" si="8"/>
        <v>465300</v>
      </c>
      <c r="K319" s="6">
        <f t="shared" si="9"/>
        <v>442035</v>
      </c>
      <c r="L319" s="8" t="s">
        <v>76</v>
      </c>
      <c r="M319" s="8" t="s">
        <v>81</v>
      </c>
      <c r="N319">
        <v>6</v>
      </c>
      <c r="O319">
        <v>2024</v>
      </c>
      <c r="P319" s="29" t="s">
        <v>720</v>
      </c>
      <c r="Q319" t="s">
        <v>736</v>
      </c>
      <c r="R319" t="s">
        <v>737</v>
      </c>
    </row>
    <row r="320" spans="1:18" x14ac:dyDescent="0.25">
      <c r="A320" s="9">
        <v>317</v>
      </c>
      <c r="B320" s="10">
        <v>45557</v>
      </c>
      <c r="C320" s="11" t="s">
        <v>119</v>
      </c>
      <c r="D320" s="11" t="s">
        <v>109</v>
      </c>
      <c r="E320" s="11" t="s">
        <v>79</v>
      </c>
      <c r="F320" s="11" t="s">
        <v>131</v>
      </c>
      <c r="G320" s="9">
        <v>8</v>
      </c>
      <c r="H320" s="26">
        <v>112200</v>
      </c>
      <c r="I320" s="9">
        <v>0</v>
      </c>
      <c r="J320" s="9">
        <f t="shared" si="8"/>
        <v>897600</v>
      </c>
      <c r="K320" s="9">
        <f t="shared" si="9"/>
        <v>897600</v>
      </c>
      <c r="L320" s="11" t="s">
        <v>76</v>
      </c>
      <c r="M320" s="11" t="s">
        <v>91</v>
      </c>
      <c r="N320">
        <v>9</v>
      </c>
      <c r="O320">
        <v>2024</v>
      </c>
      <c r="P320" s="29" t="s">
        <v>731</v>
      </c>
      <c r="Q320" t="s">
        <v>734</v>
      </c>
      <c r="R320" t="s">
        <v>737</v>
      </c>
    </row>
    <row r="321" spans="1:18" x14ac:dyDescent="0.25">
      <c r="A321" s="6">
        <v>318</v>
      </c>
      <c r="B321" s="7">
        <v>45366</v>
      </c>
      <c r="C321" s="8" t="s">
        <v>88</v>
      </c>
      <c r="D321" s="8" t="s">
        <v>109</v>
      </c>
      <c r="E321" s="8" t="s">
        <v>84</v>
      </c>
      <c r="F321" s="8" t="s">
        <v>134</v>
      </c>
      <c r="G321" s="6">
        <v>16</v>
      </c>
      <c r="H321" s="25">
        <v>10200</v>
      </c>
      <c r="I321" s="6">
        <v>20</v>
      </c>
      <c r="J321" s="6">
        <f t="shared" si="8"/>
        <v>163200</v>
      </c>
      <c r="K321" s="6">
        <f t="shared" si="9"/>
        <v>130560</v>
      </c>
      <c r="L321" s="8" t="s">
        <v>76</v>
      </c>
      <c r="M321" s="8" t="s">
        <v>96</v>
      </c>
      <c r="N321">
        <v>3</v>
      </c>
      <c r="O321">
        <v>2024</v>
      </c>
      <c r="P321" s="29" t="s">
        <v>711</v>
      </c>
      <c r="Q321" t="s">
        <v>735</v>
      </c>
      <c r="R321" t="s">
        <v>739</v>
      </c>
    </row>
    <row r="322" spans="1:18" x14ac:dyDescent="0.25">
      <c r="A322" s="9">
        <v>319</v>
      </c>
      <c r="B322" s="10">
        <v>45516</v>
      </c>
      <c r="C322" s="11" t="s">
        <v>78</v>
      </c>
      <c r="D322" s="11" t="s">
        <v>117</v>
      </c>
      <c r="E322" s="11" t="s">
        <v>84</v>
      </c>
      <c r="F322" s="11" t="s">
        <v>90</v>
      </c>
      <c r="G322" s="9">
        <v>19</v>
      </c>
      <c r="H322" s="26">
        <v>2000</v>
      </c>
      <c r="I322" s="9">
        <v>5</v>
      </c>
      <c r="J322" s="9">
        <f t="shared" ref="J322:J385" si="10">G322*H322</f>
        <v>38000</v>
      </c>
      <c r="K322" s="9">
        <f t="shared" ref="K322:K385" si="11">J322*(1-I322/100)</f>
        <v>36100</v>
      </c>
      <c r="L322" s="11" t="s">
        <v>76</v>
      </c>
      <c r="M322" s="11" t="s">
        <v>81</v>
      </c>
      <c r="N322">
        <v>8</v>
      </c>
      <c r="O322">
        <v>2024</v>
      </c>
      <c r="P322" s="29" t="s">
        <v>710</v>
      </c>
      <c r="Q322" t="s">
        <v>734</v>
      </c>
      <c r="R322" t="s">
        <v>738</v>
      </c>
    </row>
    <row r="323" spans="1:18" x14ac:dyDescent="0.25">
      <c r="A323" s="6">
        <v>320</v>
      </c>
      <c r="B323" s="7">
        <v>45322</v>
      </c>
      <c r="C323" s="8" t="s">
        <v>97</v>
      </c>
      <c r="D323" s="8" t="s">
        <v>109</v>
      </c>
      <c r="E323" s="8" t="s">
        <v>111</v>
      </c>
      <c r="F323" s="8" t="s">
        <v>112</v>
      </c>
      <c r="G323" s="6">
        <v>1</v>
      </c>
      <c r="H323" s="25">
        <v>67100</v>
      </c>
      <c r="I323" s="6">
        <v>0</v>
      </c>
      <c r="J323" s="6">
        <f t="shared" si="10"/>
        <v>67100</v>
      </c>
      <c r="K323" s="6">
        <f t="shared" si="11"/>
        <v>67100</v>
      </c>
      <c r="L323" s="8" t="s">
        <v>123</v>
      </c>
      <c r="M323" s="8" t="s">
        <v>96</v>
      </c>
      <c r="N323">
        <v>1</v>
      </c>
      <c r="O323">
        <v>2024</v>
      </c>
      <c r="P323" s="29" t="s">
        <v>727</v>
      </c>
      <c r="Q323" t="s">
        <v>735</v>
      </c>
      <c r="R323" t="s">
        <v>739</v>
      </c>
    </row>
    <row r="324" spans="1:18" x14ac:dyDescent="0.25">
      <c r="A324" s="9">
        <v>321</v>
      </c>
      <c r="B324" s="10">
        <v>45293</v>
      </c>
      <c r="C324" s="11" t="s">
        <v>124</v>
      </c>
      <c r="D324" s="11" t="s">
        <v>83</v>
      </c>
      <c r="E324" s="11" t="s">
        <v>74</v>
      </c>
      <c r="F324" s="11" t="s">
        <v>142</v>
      </c>
      <c r="G324" s="9">
        <v>50</v>
      </c>
      <c r="H324" s="26">
        <v>13100</v>
      </c>
      <c r="I324" s="9">
        <v>0</v>
      </c>
      <c r="J324" s="9">
        <f t="shared" si="10"/>
        <v>655000</v>
      </c>
      <c r="K324" s="9">
        <f t="shared" si="11"/>
        <v>655000</v>
      </c>
      <c r="L324" s="11" t="s">
        <v>76</v>
      </c>
      <c r="M324" s="11" t="s">
        <v>77</v>
      </c>
      <c r="N324">
        <v>1</v>
      </c>
      <c r="O324">
        <v>2024</v>
      </c>
      <c r="P324" s="29" t="s">
        <v>727</v>
      </c>
      <c r="Q324" t="s">
        <v>735</v>
      </c>
      <c r="R324" t="s">
        <v>737</v>
      </c>
    </row>
    <row r="325" spans="1:18" x14ac:dyDescent="0.25">
      <c r="A325" s="6">
        <v>322</v>
      </c>
      <c r="B325" s="7">
        <v>45195</v>
      </c>
      <c r="C325" s="8" t="s">
        <v>106</v>
      </c>
      <c r="D325" s="8" t="s">
        <v>73</v>
      </c>
      <c r="E325" s="8" t="s">
        <v>79</v>
      </c>
      <c r="F325" s="8" t="s">
        <v>115</v>
      </c>
      <c r="G325" s="6">
        <v>41</v>
      </c>
      <c r="H325" s="25">
        <v>9200</v>
      </c>
      <c r="I325" s="6">
        <v>5</v>
      </c>
      <c r="J325" s="6">
        <f t="shared" si="10"/>
        <v>377200</v>
      </c>
      <c r="K325" s="6">
        <f t="shared" si="11"/>
        <v>358340</v>
      </c>
      <c r="L325" s="8" t="s">
        <v>187</v>
      </c>
      <c r="M325" s="8" t="s">
        <v>91</v>
      </c>
      <c r="N325">
        <v>9</v>
      </c>
      <c r="O325">
        <v>2023</v>
      </c>
      <c r="P325" s="29" t="s">
        <v>715</v>
      </c>
      <c r="Q325" t="s">
        <v>734</v>
      </c>
      <c r="R325" t="s">
        <v>737</v>
      </c>
    </row>
    <row r="326" spans="1:18" x14ac:dyDescent="0.25">
      <c r="A326" s="9">
        <v>323</v>
      </c>
      <c r="B326" s="10">
        <v>45645</v>
      </c>
      <c r="C326" s="11" t="s">
        <v>114</v>
      </c>
      <c r="D326" s="11" t="s">
        <v>73</v>
      </c>
      <c r="E326" s="11" t="s">
        <v>102</v>
      </c>
      <c r="F326" s="11" t="s">
        <v>103</v>
      </c>
      <c r="G326" s="9">
        <v>20</v>
      </c>
      <c r="H326" s="26">
        <v>9500</v>
      </c>
      <c r="I326" s="9">
        <v>20</v>
      </c>
      <c r="J326" s="9">
        <f t="shared" si="10"/>
        <v>190000</v>
      </c>
      <c r="K326" s="9">
        <f t="shared" si="11"/>
        <v>152000</v>
      </c>
      <c r="L326" s="11" t="s">
        <v>76</v>
      </c>
      <c r="M326" s="11" t="s">
        <v>81</v>
      </c>
      <c r="N326">
        <v>12</v>
      </c>
      <c r="O326">
        <v>2024</v>
      </c>
      <c r="P326" s="29" t="s">
        <v>728</v>
      </c>
      <c r="Q326" t="s">
        <v>733</v>
      </c>
      <c r="R326" t="s">
        <v>739</v>
      </c>
    </row>
    <row r="327" spans="1:18" x14ac:dyDescent="0.25">
      <c r="A327" s="6">
        <v>324</v>
      </c>
      <c r="B327" s="7">
        <v>45175</v>
      </c>
      <c r="C327" s="8" t="s">
        <v>82</v>
      </c>
      <c r="D327" s="8" t="s">
        <v>117</v>
      </c>
      <c r="E327" s="8" t="s">
        <v>111</v>
      </c>
      <c r="F327" s="8" t="s">
        <v>112</v>
      </c>
      <c r="G327" s="6">
        <v>28</v>
      </c>
      <c r="H327" s="25">
        <v>63500</v>
      </c>
      <c r="I327" s="6">
        <v>0</v>
      </c>
      <c r="J327" s="6">
        <f t="shared" si="10"/>
        <v>1778000</v>
      </c>
      <c r="K327" s="6">
        <f t="shared" si="11"/>
        <v>1778000</v>
      </c>
      <c r="L327" s="8" t="s">
        <v>187</v>
      </c>
      <c r="M327" s="8" t="s">
        <v>81</v>
      </c>
      <c r="N327">
        <v>9</v>
      </c>
      <c r="O327">
        <v>2023</v>
      </c>
      <c r="P327" s="29" t="s">
        <v>715</v>
      </c>
      <c r="Q327" t="s">
        <v>734</v>
      </c>
      <c r="R327" t="s">
        <v>737</v>
      </c>
    </row>
    <row r="328" spans="1:18" x14ac:dyDescent="0.25">
      <c r="A328" s="9">
        <v>325</v>
      </c>
      <c r="B328" s="10">
        <v>45147</v>
      </c>
      <c r="C328" s="11" t="s">
        <v>97</v>
      </c>
      <c r="D328" s="11" t="s">
        <v>83</v>
      </c>
      <c r="E328" s="11" t="s">
        <v>79</v>
      </c>
      <c r="F328" s="11" t="s">
        <v>172</v>
      </c>
      <c r="G328" s="9">
        <v>4</v>
      </c>
      <c r="H328" s="26">
        <v>26300</v>
      </c>
      <c r="I328" s="9">
        <v>0</v>
      </c>
      <c r="J328" s="9">
        <f t="shared" si="10"/>
        <v>105200</v>
      </c>
      <c r="K328" s="9">
        <f t="shared" si="11"/>
        <v>105200</v>
      </c>
      <c r="L328" s="11" t="s">
        <v>76</v>
      </c>
      <c r="M328" s="11" t="s">
        <v>81</v>
      </c>
      <c r="N328">
        <v>8</v>
      </c>
      <c r="O328">
        <v>2023</v>
      </c>
      <c r="P328" s="29" t="s">
        <v>713</v>
      </c>
      <c r="Q328" t="s">
        <v>734</v>
      </c>
      <c r="R328" t="s">
        <v>739</v>
      </c>
    </row>
    <row r="329" spans="1:18" x14ac:dyDescent="0.25">
      <c r="A329" s="6">
        <v>326</v>
      </c>
      <c r="B329" s="7">
        <v>44939</v>
      </c>
      <c r="C329" s="8" t="s">
        <v>108</v>
      </c>
      <c r="D329" s="8" t="s">
        <v>73</v>
      </c>
      <c r="E329" s="8" t="s">
        <v>84</v>
      </c>
      <c r="F329" s="8" t="s">
        <v>85</v>
      </c>
      <c r="G329" s="6">
        <v>34</v>
      </c>
      <c r="H329" s="25">
        <v>6100</v>
      </c>
      <c r="I329" s="6">
        <v>0</v>
      </c>
      <c r="J329" s="6">
        <f t="shared" si="10"/>
        <v>207400</v>
      </c>
      <c r="K329" s="6">
        <f t="shared" si="11"/>
        <v>207400</v>
      </c>
      <c r="L329" s="8" t="s">
        <v>76</v>
      </c>
      <c r="M329" s="8" t="s">
        <v>96</v>
      </c>
      <c r="N329">
        <v>1</v>
      </c>
      <c r="O329">
        <v>2023</v>
      </c>
      <c r="P329" s="29" t="s">
        <v>721</v>
      </c>
      <c r="Q329" t="s">
        <v>735</v>
      </c>
      <c r="R329" t="s">
        <v>737</v>
      </c>
    </row>
    <row r="330" spans="1:18" x14ac:dyDescent="0.25">
      <c r="A330" s="9">
        <v>327</v>
      </c>
      <c r="B330" s="10">
        <v>45307</v>
      </c>
      <c r="C330" s="11" t="s">
        <v>108</v>
      </c>
      <c r="D330" s="11" t="s">
        <v>117</v>
      </c>
      <c r="E330" s="11" t="s">
        <v>79</v>
      </c>
      <c r="F330" s="11" t="s">
        <v>136</v>
      </c>
      <c r="G330" s="9">
        <v>28</v>
      </c>
      <c r="H330" s="26">
        <v>83600</v>
      </c>
      <c r="I330" s="9">
        <v>0</v>
      </c>
      <c r="J330" s="9">
        <f t="shared" si="10"/>
        <v>2340800</v>
      </c>
      <c r="K330" s="9">
        <f t="shared" si="11"/>
        <v>2340800</v>
      </c>
      <c r="L330" s="11" t="s">
        <v>76</v>
      </c>
      <c r="M330" s="11" t="s">
        <v>77</v>
      </c>
      <c r="N330">
        <v>1</v>
      </c>
      <c r="O330">
        <v>2024</v>
      </c>
      <c r="P330" s="29" t="s">
        <v>727</v>
      </c>
      <c r="Q330" t="s">
        <v>735</v>
      </c>
      <c r="R330" t="s">
        <v>737</v>
      </c>
    </row>
    <row r="331" spans="1:18" x14ac:dyDescent="0.25">
      <c r="A331" s="6">
        <v>328</v>
      </c>
      <c r="B331" s="7">
        <v>45656</v>
      </c>
      <c r="C331" s="8" t="s">
        <v>124</v>
      </c>
      <c r="D331" s="8" t="s">
        <v>73</v>
      </c>
      <c r="E331" s="8" t="s">
        <v>111</v>
      </c>
      <c r="F331" s="8" t="s">
        <v>159</v>
      </c>
      <c r="G331" s="6">
        <v>4</v>
      </c>
      <c r="H331" s="25">
        <v>12300</v>
      </c>
      <c r="I331" s="6">
        <v>0</v>
      </c>
      <c r="J331" s="6">
        <f t="shared" si="10"/>
        <v>49200</v>
      </c>
      <c r="K331" s="6">
        <f t="shared" si="11"/>
        <v>49200</v>
      </c>
      <c r="L331" s="8" t="s">
        <v>76</v>
      </c>
      <c r="M331" s="8" t="s">
        <v>81</v>
      </c>
      <c r="N331">
        <v>12</v>
      </c>
      <c r="O331">
        <v>2024</v>
      </c>
      <c r="P331" s="29" t="s">
        <v>728</v>
      </c>
      <c r="Q331" t="s">
        <v>733</v>
      </c>
      <c r="R331" t="s">
        <v>738</v>
      </c>
    </row>
    <row r="332" spans="1:18" x14ac:dyDescent="0.25">
      <c r="A332" s="9">
        <v>329</v>
      </c>
      <c r="B332" s="10">
        <v>45236</v>
      </c>
      <c r="C332" s="11" t="s">
        <v>101</v>
      </c>
      <c r="D332" s="11" t="s">
        <v>73</v>
      </c>
      <c r="E332" s="11" t="s">
        <v>102</v>
      </c>
      <c r="F332" s="11" t="s">
        <v>137</v>
      </c>
      <c r="G332" s="9">
        <v>33</v>
      </c>
      <c r="H332" s="26">
        <v>2100</v>
      </c>
      <c r="I332" s="9">
        <v>0</v>
      </c>
      <c r="J332" s="9">
        <f t="shared" si="10"/>
        <v>69300</v>
      </c>
      <c r="K332" s="9">
        <f t="shared" si="11"/>
        <v>69300</v>
      </c>
      <c r="L332" s="11" t="s">
        <v>76</v>
      </c>
      <c r="M332" s="11" t="s">
        <v>77</v>
      </c>
      <c r="N332">
        <v>11</v>
      </c>
      <c r="O332">
        <v>2023</v>
      </c>
      <c r="P332" s="29" t="s">
        <v>718</v>
      </c>
      <c r="Q332" t="s">
        <v>733</v>
      </c>
      <c r="R332" t="s">
        <v>739</v>
      </c>
    </row>
    <row r="333" spans="1:18" x14ac:dyDescent="0.25">
      <c r="A333" s="6">
        <v>330</v>
      </c>
      <c r="B333" s="7">
        <v>44974</v>
      </c>
      <c r="C333" s="8" t="s">
        <v>119</v>
      </c>
      <c r="D333" s="8" t="s">
        <v>117</v>
      </c>
      <c r="E333" s="8" t="s">
        <v>111</v>
      </c>
      <c r="F333" s="8" t="s">
        <v>166</v>
      </c>
      <c r="G333" s="6">
        <v>3</v>
      </c>
      <c r="H333" s="25">
        <v>26500</v>
      </c>
      <c r="I333" s="6">
        <v>0</v>
      </c>
      <c r="J333" s="6">
        <f t="shared" si="10"/>
        <v>79500</v>
      </c>
      <c r="K333" s="6">
        <f t="shared" si="11"/>
        <v>79500</v>
      </c>
      <c r="L333" s="8" t="s">
        <v>76</v>
      </c>
      <c r="M333" s="8" t="s">
        <v>91</v>
      </c>
      <c r="N333">
        <v>2</v>
      </c>
      <c r="O333">
        <v>2023</v>
      </c>
      <c r="P333" s="29" t="s">
        <v>717</v>
      </c>
      <c r="Q333" t="s">
        <v>735</v>
      </c>
      <c r="R333" t="s">
        <v>739</v>
      </c>
    </row>
    <row r="334" spans="1:18" x14ac:dyDescent="0.25">
      <c r="A334" s="9">
        <v>331</v>
      </c>
      <c r="B334" s="10">
        <v>45256</v>
      </c>
      <c r="C334" s="11" t="s">
        <v>106</v>
      </c>
      <c r="D334" s="11" t="s">
        <v>83</v>
      </c>
      <c r="E334" s="11" t="s">
        <v>74</v>
      </c>
      <c r="F334" s="11" t="s">
        <v>190</v>
      </c>
      <c r="G334" s="9">
        <v>37</v>
      </c>
      <c r="H334" s="26">
        <v>35400</v>
      </c>
      <c r="I334" s="6">
        <v>0</v>
      </c>
      <c r="J334" s="9">
        <f t="shared" si="10"/>
        <v>1309800</v>
      </c>
      <c r="K334" s="9">
        <f t="shared" si="11"/>
        <v>1309800</v>
      </c>
      <c r="L334" s="11" t="s">
        <v>76</v>
      </c>
      <c r="M334" s="11" t="s">
        <v>77</v>
      </c>
      <c r="N334">
        <v>11</v>
      </c>
      <c r="O334">
        <v>2023</v>
      </c>
      <c r="P334" s="29" t="s">
        <v>718</v>
      </c>
      <c r="Q334" t="s">
        <v>733</v>
      </c>
      <c r="R334" t="s">
        <v>737</v>
      </c>
    </row>
    <row r="335" spans="1:18" x14ac:dyDescent="0.25">
      <c r="A335" s="6">
        <v>332</v>
      </c>
      <c r="B335" s="7">
        <v>45155</v>
      </c>
      <c r="C335" s="8" t="s">
        <v>82</v>
      </c>
      <c r="D335" s="8" t="s">
        <v>73</v>
      </c>
      <c r="E335" s="8" t="s">
        <v>111</v>
      </c>
      <c r="F335" s="8" t="s">
        <v>112</v>
      </c>
      <c r="G335" s="6">
        <v>19</v>
      </c>
      <c r="H335" s="25">
        <v>72800</v>
      </c>
      <c r="I335" s="6">
        <v>0</v>
      </c>
      <c r="J335" s="6">
        <f t="shared" si="10"/>
        <v>1383200</v>
      </c>
      <c r="K335" s="6">
        <f t="shared" si="11"/>
        <v>1383200</v>
      </c>
      <c r="L335" s="8" t="s">
        <v>187</v>
      </c>
      <c r="M335" s="8" t="s">
        <v>96</v>
      </c>
      <c r="N335">
        <v>8</v>
      </c>
      <c r="O335">
        <v>2023</v>
      </c>
      <c r="P335" s="29" t="s">
        <v>713</v>
      </c>
      <c r="Q335" t="s">
        <v>734</v>
      </c>
      <c r="R335" t="s">
        <v>737</v>
      </c>
    </row>
    <row r="336" spans="1:18" x14ac:dyDescent="0.25">
      <c r="A336" s="9">
        <v>333</v>
      </c>
      <c r="B336" s="10">
        <v>45015</v>
      </c>
      <c r="C336" s="11" t="s">
        <v>82</v>
      </c>
      <c r="D336" s="11" t="s">
        <v>83</v>
      </c>
      <c r="E336" s="11" t="s">
        <v>79</v>
      </c>
      <c r="F336" s="11" t="s">
        <v>120</v>
      </c>
      <c r="G336" s="9">
        <v>37</v>
      </c>
      <c r="H336" s="26">
        <v>5700</v>
      </c>
      <c r="I336" s="9">
        <v>5</v>
      </c>
      <c r="J336" s="9">
        <f t="shared" si="10"/>
        <v>210900</v>
      </c>
      <c r="K336" s="9">
        <f t="shared" si="11"/>
        <v>200355</v>
      </c>
      <c r="L336" s="11" t="s">
        <v>187</v>
      </c>
      <c r="M336" s="11" t="s">
        <v>81</v>
      </c>
      <c r="N336">
        <v>3</v>
      </c>
      <c r="O336">
        <v>2023</v>
      </c>
      <c r="P336" s="29" t="s">
        <v>719</v>
      </c>
      <c r="Q336" t="s">
        <v>735</v>
      </c>
      <c r="R336" t="s">
        <v>737</v>
      </c>
    </row>
    <row r="337" spans="1:18" x14ac:dyDescent="0.25">
      <c r="A337" s="6">
        <v>334</v>
      </c>
      <c r="B337" s="7">
        <v>45304</v>
      </c>
      <c r="C337" s="8" t="s">
        <v>124</v>
      </c>
      <c r="D337" s="8" t="s">
        <v>83</v>
      </c>
      <c r="E337" s="8" t="s">
        <v>84</v>
      </c>
      <c r="F337" s="8" t="s">
        <v>90</v>
      </c>
      <c r="G337" s="6">
        <v>27</v>
      </c>
      <c r="H337" s="25">
        <v>1700</v>
      </c>
      <c r="I337" s="6">
        <v>15</v>
      </c>
      <c r="J337" s="6">
        <f t="shared" si="10"/>
        <v>45900</v>
      </c>
      <c r="K337" s="6">
        <f t="shared" si="11"/>
        <v>39015</v>
      </c>
      <c r="L337" s="8" t="s">
        <v>76</v>
      </c>
      <c r="M337" s="8" t="s">
        <v>96</v>
      </c>
      <c r="N337">
        <v>1</v>
      </c>
      <c r="O337">
        <v>2024</v>
      </c>
      <c r="P337" s="29" t="s">
        <v>727</v>
      </c>
      <c r="Q337" t="s">
        <v>735</v>
      </c>
      <c r="R337" t="s">
        <v>738</v>
      </c>
    </row>
    <row r="338" spans="1:18" x14ac:dyDescent="0.25">
      <c r="A338" s="9">
        <v>335</v>
      </c>
      <c r="B338" s="10">
        <v>45608</v>
      </c>
      <c r="C338" s="11" t="s">
        <v>78</v>
      </c>
      <c r="D338" s="11" t="s">
        <v>117</v>
      </c>
      <c r="E338" s="11" t="s">
        <v>79</v>
      </c>
      <c r="F338" s="11" t="s">
        <v>115</v>
      </c>
      <c r="G338" s="12">
        <v>47</v>
      </c>
      <c r="H338" s="26">
        <v>10000</v>
      </c>
      <c r="I338" s="9">
        <v>10</v>
      </c>
      <c r="J338" s="9">
        <f t="shared" si="10"/>
        <v>470000</v>
      </c>
      <c r="K338" s="9">
        <f t="shared" si="11"/>
        <v>423000</v>
      </c>
      <c r="L338" s="11" t="s">
        <v>76</v>
      </c>
      <c r="M338" s="11" t="s">
        <v>81</v>
      </c>
      <c r="N338">
        <v>11</v>
      </c>
      <c r="O338">
        <v>2024</v>
      </c>
      <c r="P338" s="29" t="s">
        <v>714</v>
      </c>
      <c r="Q338" t="s">
        <v>733</v>
      </c>
      <c r="R338" t="s">
        <v>737</v>
      </c>
    </row>
    <row r="339" spans="1:18" x14ac:dyDescent="0.25">
      <c r="A339" s="6">
        <v>336</v>
      </c>
      <c r="B339" s="7">
        <v>44935</v>
      </c>
      <c r="C339" s="8" t="s">
        <v>114</v>
      </c>
      <c r="D339" s="8" t="s">
        <v>83</v>
      </c>
      <c r="E339" s="8" t="s">
        <v>79</v>
      </c>
      <c r="F339" s="8" t="s">
        <v>122</v>
      </c>
      <c r="G339" s="6">
        <v>6</v>
      </c>
      <c r="H339" s="25">
        <v>19400</v>
      </c>
      <c r="I339" s="6">
        <v>20</v>
      </c>
      <c r="J339" s="6">
        <f t="shared" si="10"/>
        <v>116400</v>
      </c>
      <c r="K339" s="6">
        <f t="shared" si="11"/>
        <v>93120</v>
      </c>
      <c r="L339" s="8" t="s">
        <v>76</v>
      </c>
      <c r="M339" s="8" t="s">
        <v>81</v>
      </c>
      <c r="N339">
        <v>1</v>
      </c>
      <c r="O339">
        <v>2023</v>
      </c>
      <c r="P339" s="29" t="s">
        <v>721</v>
      </c>
      <c r="Q339" t="s">
        <v>735</v>
      </c>
      <c r="R339" t="s">
        <v>739</v>
      </c>
    </row>
    <row r="340" spans="1:18" x14ac:dyDescent="0.25">
      <c r="A340" s="9">
        <v>337</v>
      </c>
      <c r="B340" s="10">
        <v>45459</v>
      </c>
      <c r="C340" s="11" t="s">
        <v>114</v>
      </c>
      <c r="D340" s="11" t="s">
        <v>117</v>
      </c>
      <c r="E340" s="11" t="s">
        <v>111</v>
      </c>
      <c r="F340" s="11" t="s">
        <v>112</v>
      </c>
      <c r="G340" s="9">
        <v>33</v>
      </c>
      <c r="H340" s="26">
        <v>67900</v>
      </c>
      <c r="I340" s="9">
        <v>0</v>
      </c>
      <c r="J340" s="9">
        <f t="shared" si="10"/>
        <v>2240700</v>
      </c>
      <c r="K340" s="9">
        <f t="shared" si="11"/>
        <v>2240700</v>
      </c>
      <c r="L340" s="11" t="s">
        <v>76</v>
      </c>
      <c r="M340" s="11" t="s">
        <v>91</v>
      </c>
      <c r="N340">
        <v>6</v>
      </c>
      <c r="O340">
        <v>2024</v>
      </c>
      <c r="P340" s="29" t="s">
        <v>720</v>
      </c>
      <c r="Q340" t="s">
        <v>736</v>
      </c>
      <c r="R340" t="s">
        <v>737</v>
      </c>
    </row>
    <row r="341" spans="1:18" x14ac:dyDescent="0.25">
      <c r="A341" s="6">
        <v>338</v>
      </c>
      <c r="B341" s="7">
        <v>45533</v>
      </c>
      <c r="C341" s="8" t="s">
        <v>124</v>
      </c>
      <c r="D341" s="8" t="s">
        <v>73</v>
      </c>
      <c r="E341" s="8" t="s">
        <v>111</v>
      </c>
      <c r="F341" s="8" t="s">
        <v>166</v>
      </c>
      <c r="G341" s="6">
        <v>17</v>
      </c>
      <c r="H341" s="25">
        <v>26900</v>
      </c>
      <c r="I341" s="6">
        <v>15</v>
      </c>
      <c r="J341" s="6">
        <f t="shared" si="10"/>
        <v>457300</v>
      </c>
      <c r="K341" s="6">
        <f t="shared" si="11"/>
        <v>388705</v>
      </c>
      <c r="L341" s="8" t="s">
        <v>107</v>
      </c>
      <c r="M341" s="31" t="s">
        <v>695</v>
      </c>
      <c r="N341">
        <v>8</v>
      </c>
      <c r="O341">
        <v>2024</v>
      </c>
      <c r="P341" s="29" t="s">
        <v>710</v>
      </c>
      <c r="Q341" t="s">
        <v>734</v>
      </c>
      <c r="R341" t="s">
        <v>737</v>
      </c>
    </row>
    <row r="342" spans="1:18" x14ac:dyDescent="0.25">
      <c r="A342" s="9">
        <v>339</v>
      </c>
      <c r="B342" s="10">
        <v>44938</v>
      </c>
      <c r="C342" s="11" t="s">
        <v>88</v>
      </c>
      <c r="D342" s="11" t="s">
        <v>83</v>
      </c>
      <c r="E342" s="11" t="s">
        <v>74</v>
      </c>
      <c r="F342" s="11" t="s">
        <v>75</v>
      </c>
      <c r="G342" s="9">
        <v>13</v>
      </c>
      <c r="H342" s="26">
        <v>20200</v>
      </c>
      <c r="I342" s="9">
        <v>0</v>
      </c>
      <c r="J342" s="9">
        <f t="shared" si="10"/>
        <v>262600</v>
      </c>
      <c r="K342" s="9">
        <f t="shared" si="11"/>
        <v>262600</v>
      </c>
      <c r="L342" s="11" t="s">
        <v>76</v>
      </c>
      <c r="M342" s="11" t="s">
        <v>77</v>
      </c>
      <c r="N342">
        <v>1</v>
      </c>
      <c r="O342">
        <v>2023</v>
      </c>
      <c r="P342" s="29" t="s">
        <v>721</v>
      </c>
      <c r="Q342" t="s">
        <v>735</v>
      </c>
      <c r="R342" t="s">
        <v>737</v>
      </c>
    </row>
    <row r="343" spans="1:18" x14ac:dyDescent="0.25">
      <c r="A343" s="6">
        <v>340</v>
      </c>
      <c r="B343" s="7">
        <v>45035</v>
      </c>
      <c r="C343" s="8" t="s">
        <v>108</v>
      </c>
      <c r="D343" s="8" t="s">
        <v>83</v>
      </c>
      <c r="E343" s="8" t="s">
        <v>111</v>
      </c>
      <c r="F343" s="8" t="s">
        <v>132</v>
      </c>
      <c r="G343" s="6">
        <v>35</v>
      </c>
      <c r="H343" s="25">
        <v>7500</v>
      </c>
      <c r="I343" s="6">
        <v>5</v>
      </c>
      <c r="J343" s="6">
        <f t="shared" si="10"/>
        <v>262500</v>
      </c>
      <c r="K343" s="6">
        <f t="shared" si="11"/>
        <v>249375</v>
      </c>
      <c r="L343" s="8" t="s">
        <v>76</v>
      </c>
      <c r="M343" s="8" t="s">
        <v>81</v>
      </c>
      <c r="N343">
        <v>4</v>
      </c>
      <c r="O343">
        <v>2023</v>
      </c>
      <c r="P343" s="29" t="s">
        <v>716</v>
      </c>
      <c r="Q343" t="s">
        <v>736</v>
      </c>
      <c r="R343" t="s">
        <v>737</v>
      </c>
    </row>
    <row r="344" spans="1:18" x14ac:dyDescent="0.25">
      <c r="A344" s="9">
        <v>341</v>
      </c>
      <c r="B344" s="10">
        <v>45271</v>
      </c>
      <c r="C344" s="11" t="s">
        <v>119</v>
      </c>
      <c r="D344" s="11" t="s">
        <v>117</v>
      </c>
      <c r="E344" s="11" t="s">
        <v>79</v>
      </c>
      <c r="F344" s="11" t="s">
        <v>131</v>
      </c>
      <c r="G344" s="9">
        <v>44</v>
      </c>
      <c r="H344" s="26">
        <v>112700</v>
      </c>
      <c r="I344" s="9">
        <v>0</v>
      </c>
      <c r="J344" s="9">
        <f t="shared" si="10"/>
        <v>4958800</v>
      </c>
      <c r="K344" s="9">
        <f t="shared" si="11"/>
        <v>4958800</v>
      </c>
      <c r="L344" s="11" t="s">
        <v>76</v>
      </c>
      <c r="M344" s="11" t="s">
        <v>77</v>
      </c>
      <c r="N344">
        <v>12</v>
      </c>
      <c r="O344">
        <v>2023</v>
      </c>
      <c r="P344" s="29" t="s">
        <v>725</v>
      </c>
      <c r="Q344" t="s">
        <v>733</v>
      </c>
      <c r="R344" t="s">
        <v>737</v>
      </c>
    </row>
    <row r="345" spans="1:18" x14ac:dyDescent="0.25">
      <c r="A345" s="6">
        <v>342</v>
      </c>
      <c r="B345" s="7">
        <v>44969</v>
      </c>
      <c r="C345" s="8" t="s">
        <v>108</v>
      </c>
      <c r="D345" s="8" t="s">
        <v>73</v>
      </c>
      <c r="E345" s="8" t="s">
        <v>84</v>
      </c>
      <c r="F345" s="8" t="s">
        <v>200</v>
      </c>
      <c r="G345" s="6">
        <v>4</v>
      </c>
      <c r="H345" s="25">
        <v>3200</v>
      </c>
      <c r="I345" s="6">
        <v>20</v>
      </c>
      <c r="J345" s="6">
        <f t="shared" si="10"/>
        <v>12800</v>
      </c>
      <c r="K345" s="6">
        <f t="shared" si="11"/>
        <v>10240</v>
      </c>
      <c r="L345" s="8" t="s">
        <v>187</v>
      </c>
      <c r="M345" s="8" t="s">
        <v>96</v>
      </c>
      <c r="N345">
        <v>2</v>
      </c>
      <c r="O345">
        <v>2023</v>
      </c>
      <c r="P345" s="29" t="s">
        <v>717</v>
      </c>
      <c r="Q345" t="s">
        <v>735</v>
      </c>
      <c r="R345" t="s">
        <v>738</v>
      </c>
    </row>
    <row r="346" spans="1:18" x14ac:dyDescent="0.25">
      <c r="A346" s="9">
        <v>343</v>
      </c>
      <c r="B346" s="10">
        <v>45105</v>
      </c>
      <c r="C346" s="11" t="s">
        <v>78</v>
      </c>
      <c r="D346" s="11" t="s">
        <v>83</v>
      </c>
      <c r="E346" s="11" t="s">
        <v>111</v>
      </c>
      <c r="F346" s="11" t="s">
        <v>156</v>
      </c>
      <c r="G346" s="9">
        <v>7</v>
      </c>
      <c r="H346" s="26">
        <v>38800</v>
      </c>
      <c r="I346" s="9">
        <v>0</v>
      </c>
      <c r="J346" s="9">
        <f t="shared" si="10"/>
        <v>271600</v>
      </c>
      <c r="K346" s="9">
        <f t="shared" si="11"/>
        <v>271600</v>
      </c>
      <c r="L346" s="11" t="s">
        <v>187</v>
      </c>
      <c r="M346" s="11" t="s">
        <v>81</v>
      </c>
      <c r="N346">
        <v>6</v>
      </c>
      <c r="O346">
        <v>2023</v>
      </c>
      <c r="P346" s="29" t="s">
        <v>723</v>
      </c>
      <c r="Q346" t="s">
        <v>736</v>
      </c>
      <c r="R346" t="s">
        <v>737</v>
      </c>
    </row>
    <row r="347" spans="1:18" x14ac:dyDescent="0.25">
      <c r="A347" s="6">
        <v>344</v>
      </c>
      <c r="B347" s="7">
        <v>44939</v>
      </c>
      <c r="C347" s="8" t="s">
        <v>78</v>
      </c>
      <c r="D347" s="8" t="s">
        <v>109</v>
      </c>
      <c r="E347" s="8" t="s">
        <v>84</v>
      </c>
      <c r="F347" s="8" t="s">
        <v>90</v>
      </c>
      <c r="G347" s="6">
        <v>24</v>
      </c>
      <c r="H347" s="25">
        <v>2000</v>
      </c>
      <c r="I347" s="6">
        <v>10</v>
      </c>
      <c r="J347" s="6">
        <f t="shared" si="10"/>
        <v>48000</v>
      </c>
      <c r="K347" s="6">
        <f t="shared" si="11"/>
        <v>43200</v>
      </c>
      <c r="L347" s="8" t="s">
        <v>187</v>
      </c>
      <c r="M347" s="31" t="s">
        <v>695</v>
      </c>
      <c r="N347">
        <v>1</v>
      </c>
      <c r="O347">
        <v>2023</v>
      </c>
      <c r="P347" s="29" t="s">
        <v>721</v>
      </c>
      <c r="Q347" t="s">
        <v>735</v>
      </c>
      <c r="R347" t="s">
        <v>738</v>
      </c>
    </row>
    <row r="348" spans="1:18" x14ac:dyDescent="0.25">
      <c r="A348" s="9">
        <v>345</v>
      </c>
      <c r="B348" s="10">
        <v>45527</v>
      </c>
      <c r="C348" s="11" t="s">
        <v>101</v>
      </c>
      <c r="D348" s="11" t="s">
        <v>73</v>
      </c>
      <c r="E348" s="11" t="s">
        <v>79</v>
      </c>
      <c r="F348" s="11" t="s">
        <v>131</v>
      </c>
      <c r="G348" s="9">
        <v>42</v>
      </c>
      <c r="H348" s="26">
        <v>113900</v>
      </c>
      <c r="I348" s="9">
        <v>0</v>
      </c>
      <c r="J348" s="9">
        <f t="shared" si="10"/>
        <v>4783800</v>
      </c>
      <c r="K348" s="9">
        <f t="shared" si="11"/>
        <v>4783800</v>
      </c>
      <c r="L348" s="11" t="s">
        <v>76</v>
      </c>
      <c r="M348" s="11" t="s">
        <v>81</v>
      </c>
      <c r="N348">
        <v>8</v>
      </c>
      <c r="O348">
        <v>2024</v>
      </c>
      <c r="P348" s="29" t="s">
        <v>710</v>
      </c>
      <c r="Q348" t="s">
        <v>734</v>
      </c>
      <c r="R348" t="s">
        <v>737</v>
      </c>
    </row>
    <row r="349" spans="1:18" x14ac:dyDescent="0.25">
      <c r="A349" s="6">
        <v>346</v>
      </c>
      <c r="B349" s="7">
        <v>45089</v>
      </c>
      <c r="C349" s="8" t="s">
        <v>97</v>
      </c>
      <c r="D349" s="8" t="s">
        <v>73</v>
      </c>
      <c r="E349" s="8" t="s">
        <v>111</v>
      </c>
      <c r="F349" s="8" t="s">
        <v>192</v>
      </c>
      <c r="G349" s="6">
        <v>37</v>
      </c>
      <c r="H349" s="25">
        <v>89500</v>
      </c>
      <c r="I349" s="6">
        <v>5</v>
      </c>
      <c r="J349" s="6">
        <f t="shared" si="10"/>
        <v>3311500</v>
      </c>
      <c r="K349" s="6">
        <f t="shared" si="11"/>
        <v>3145925</v>
      </c>
      <c r="L349" s="8" t="s">
        <v>76</v>
      </c>
      <c r="M349" s="8" t="s">
        <v>91</v>
      </c>
      <c r="N349">
        <v>6</v>
      </c>
      <c r="O349">
        <v>2023</v>
      </c>
      <c r="P349" s="29" t="s">
        <v>723</v>
      </c>
      <c r="Q349" t="s">
        <v>736</v>
      </c>
      <c r="R349" t="s">
        <v>737</v>
      </c>
    </row>
    <row r="350" spans="1:18" x14ac:dyDescent="0.25">
      <c r="A350" s="9">
        <v>347</v>
      </c>
      <c r="B350" s="10">
        <v>44957</v>
      </c>
      <c r="C350" s="11" t="s">
        <v>114</v>
      </c>
      <c r="D350" s="11" t="s">
        <v>83</v>
      </c>
      <c r="E350" s="11" t="s">
        <v>84</v>
      </c>
      <c r="F350" s="11" t="s">
        <v>200</v>
      </c>
      <c r="G350" s="9">
        <v>12</v>
      </c>
      <c r="H350" s="26">
        <v>3100</v>
      </c>
      <c r="I350" s="9">
        <v>0</v>
      </c>
      <c r="J350" s="9">
        <f t="shared" si="10"/>
        <v>37200</v>
      </c>
      <c r="K350" s="9">
        <f t="shared" si="11"/>
        <v>37200</v>
      </c>
      <c r="L350" s="11" t="s">
        <v>76</v>
      </c>
      <c r="M350" s="11" t="s">
        <v>91</v>
      </c>
      <c r="N350">
        <v>1</v>
      </c>
      <c r="O350">
        <v>2023</v>
      </c>
      <c r="P350" s="29" t="s">
        <v>721</v>
      </c>
      <c r="Q350" t="s">
        <v>735</v>
      </c>
      <c r="R350" t="s">
        <v>738</v>
      </c>
    </row>
    <row r="351" spans="1:18" x14ac:dyDescent="0.25">
      <c r="A351" s="6">
        <v>348</v>
      </c>
      <c r="B351" s="7">
        <v>44962</v>
      </c>
      <c r="C351" s="8" t="s">
        <v>124</v>
      </c>
      <c r="D351" s="8" t="s">
        <v>93</v>
      </c>
      <c r="E351" s="8" t="s">
        <v>102</v>
      </c>
      <c r="F351" s="8" t="s">
        <v>181</v>
      </c>
      <c r="G351" s="6">
        <v>32</v>
      </c>
      <c r="H351" s="25">
        <v>4800</v>
      </c>
      <c r="I351" s="6">
        <v>0</v>
      </c>
      <c r="J351" s="6">
        <f t="shared" si="10"/>
        <v>153600</v>
      </c>
      <c r="K351" s="6">
        <f t="shared" si="11"/>
        <v>153600</v>
      </c>
      <c r="L351" s="8" t="s">
        <v>76</v>
      </c>
      <c r="M351" s="8" t="s">
        <v>91</v>
      </c>
      <c r="N351">
        <v>2</v>
      </c>
      <c r="O351">
        <v>2023</v>
      </c>
      <c r="P351" s="29" t="s">
        <v>717</v>
      </c>
      <c r="Q351" t="s">
        <v>735</v>
      </c>
      <c r="R351" t="s">
        <v>739</v>
      </c>
    </row>
    <row r="352" spans="1:18" x14ac:dyDescent="0.25">
      <c r="A352" s="9">
        <v>349</v>
      </c>
      <c r="B352" s="10">
        <v>45016</v>
      </c>
      <c r="C352" s="11" t="s">
        <v>101</v>
      </c>
      <c r="D352" s="11" t="s">
        <v>83</v>
      </c>
      <c r="E352" s="11" t="s">
        <v>84</v>
      </c>
      <c r="F352" s="11" t="s">
        <v>148</v>
      </c>
      <c r="G352" s="9">
        <v>34</v>
      </c>
      <c r="H352" s="26">
        <v>4600</v>
      </c>
      <c r="I352" s="9">
        <v>5</v>
      </c>
      <c r="J352" s="9">
        <f t="shared" si="10"/>
        <v>156400</v>
      </c>
      <c r="K352" s="9">
        <f t="shared" si="11"/>
        <v>148580</v>
      </c>
      <c r="L352" s="11" t="s">
        <v>76</v>
      </c>
      <c r="M352" s="11" t="s">
        <v>77</v>
      </c>
      <c r="N352">
        <v>3</v>
      </c>
      <c r="O352">
        <v>2023</v>
      </c>
      <c r="P352" s="29" t="s">
        <v>719</v>
      </c>
      <c r="Q352" t="s">
        <v>735</v>
      </c>
      <c r="R352" t="s">
        <v>739</v>
      </c>
    </row>
    <row r="353" spans="1:18" x14ac:dyDescent="0.25">
      <c r="A353" s="6">
        <v>350</v>
      </c>
      <c r="B353" s="7">
        <v>45657</v>
      </c>
      <c r="C353" s="8" t="s">
        <v>88</v>
      </c>
      <c r="D353" s="8" t="s">
        <v>83</v>
      </c>
      <c r="E353" s="8" t="s">
        <v>102</v>
      </c>
      <c r="F353" s="8" t="s">
        <v>197</v>
      </c>
      <c r="G353" s="6">
        <v>37</v>
      </c>
      <c r="H353" s="25">
        <v>3700</v>
      </c>
      <c r="I353" s="6">
        <v>0</v>
      </c>
      <c r="J353" s="6">
        <f t="shared" si="10"/>
        <v>136900</v>
      </c>
      <c r="K353" s="6">
        <f t="shared" si="11"/>
        <v>136900</v>
      </c>
      <c r="L353" s="8" t="s">
        <v>76</v>
      </c>
      <c r="M353" s="8" t="s">
        <v>91</v>
      </c>
      <c r="N353">
        <v>12</v>
      </c>
      <c r="O353">
        <v>2024</v>
      </c>
      <c r="P353" s="29" t="s">
        <v>728</v>
      </c>
      <c r="Q353" t="s">
        <v>733</v>
      </c>
      <c r="R353" t="s">
        <v>739</v>
      </c>
    </row>
    <row r="354" spans="1:18" x14ac:dyDescent="0.25">
      <c r="A354" s="9">
        <v>351</v>
      </c>
      <c r="B354" s="10">
        <v>45023</v>
      </c>
      <c r="C354" s="11" t="s">
        <v>78</v>
      </c>
      <c r="D354" s="11" t="s">
        <v>117</v>
      </c>
      <c r="E354" s="11" t="s">
        <v>102</v>
      </c>
      <c r="F354" s="11" t="s">
        <v>181</v>
      </c>
      <c r="G354" s="9">
        <v>50</v>
      </c>
      <c r="H354" s="26">
        <v>4100</v>
      </c>
      <c r="I354" s="9">
        <v>10</v>
      </c>
      <c r="J354" s="9">
        <f t="shared" si="10"/>
        <v>205000</v>
      </c>
      <c r="K354" s="9">
        <f t="shared" si="11"/>
        <v>184500</v>
      </c>
      <c r="L354" s="11" t="s">
        <v>76</v>
      </c>
      <c r="M354" s="11" t="s">
        <v>91</v>
      </c>
      <c r="N354">
        <v>4</v>
      </c>
      <c r="O354">
        <v>2023</v>
      </c>
      <c r="P354" s="29" t="s">
        <v>716</v>
      </c>
      <c r="Q354" t="s">
        <v>736</v>
      </c>
      <c r="R354" t="s">
        <v>739</v>
      </c>
    </row>
    <row r="355" spans="1:18" x14ac:dyDescent="0.25">
      <c r="A355" s="6">
        <v>352</v>
      </c>
      <c r="B355" s="7">
        <v>45323</v>
      </c>
      <c r="C355" s="8" t="s">
        <v>124</v>
      </c>
      <c r="D355" s="8" t="s">
        <v>109</v>
      </c>
      <c r="E355" s="8" t="s">
        <v>84</v>
      </c>
      <c r="F355" s="8" t="s">
        <v>150</v>
      </c>
      <c r="G355" s="6">
        <v>16</v>
      </c>
      <c r="H355" s="25">
        <v>5300</v>
      </c>
      <c r="I355" s="6">
        <v>20</v>
      </c>
      <c r="J355" s="6">
        <f t="shared" si="10"/>
        <v>84800</v>
      </c>
      <c r="K355" s="6">
        <f t="shared" si="11"/>
        <v>67840</v>
      </c>
      <c r="L355" s="8" t="s">
        <v>76</v>
      </c>
      <c r="M355" s="8" t="s">
        <v>77</v>
      </c>
      <c r="N355">
        <v>2</v>
      </c>
      <c r="O355">
        <v>2024</v>
      </c>
      <c r="P355" s="29" t="s">
        <v>729</v>
      </c>
      <c r="Q355" t="s">
        <v>735</v>
      </c>
      <c r="R355" t="s">
        <v>739</v>
      </c>
    </row>
    <row r="356" spans="1:18" x14ac:dyDescent="0.25">
      <c r="A356" s="9">
        <v>353</v>
      </c>
      <c r="B356" s="10">
        <v>45151</v>
      </c>
      <c r="C356" s="11" t="s">
        <v>124</v>
      </c>
      <c r="D356" s="11" t="s">
        <v>83</v>
      </c>
      <c r="E356" s="11" t="s">
        <v>74</v>
      </c>
      <c r="F356" s="11" t="s">
        <v>142</v>
      </c>
      <c r="G356" s="9">
        <v>38</v>
      </c>
      <c r="H356" s="26">
        <v>11300</v>
      </c>
      <c r="I356" s="9">
        <v>10</v>
      </c>
      <c r="J356" s="9">
        <f t="shared" si="10"/>
        <v>429400</v>
      </c>
      <c r="K356" s="9">
        <f t="shared" si="11"/>
        <v>386460</v>
      </c>
      <c r="L356" s="11" t="s">
        <v>76</v>
      </c>
      <c r="M356" s="11" t="s">
        <v>96</v>
      </c>
      <c r="N356">
        <v>8</v>
      </c>
      <c r="O356">
        <v>2023</v>
      </c>
      <c r="P356" s="29" t="s">
        <v>713</v>
      </c>
      <c r="Q356" t="s">
        <v>734</v>
      </c>
      <c r="R356" t="s">
        <v>737</v>
      </c>
    </row>
    <row r="357" spans="1:18" x14ac:dyDescent="0.25">
      <c r="A357" s="6">
        <v>354</v>
      </c>
      <c r="B357" s="7">
        <v>44955</v>
      </c>
      <c r="C357" s="8" t="s">
        <v>88</v>
      </c>
      <c r="D357" s="8" t="s">
        <v>93</v>
      </c>
      <c r="E357" s="8" t="s">
        <v>102</v>
      </c>
      <c r="F357" s="8" t="s">
        <v>103</v>
      </c>
      <c r="G357" s="6">
        <v>13</v>
      </c>
      <c r="H357" s="25">
        <v>10200</v>
      </c>
      <c r="I357" s="6">
        <v>10</v>
      </c>
      <c r="J357" s="6">
        <f t="shared" si="10"/>
        <v>132600</v>
      </c>
      <c r="K357" s="6">
        <f t="shared" si="11"/>
        <v>119340</v>
      </c>
      <c r="L357" s="8" t="s">
        <v>187</v>
      </c>
      <c r="M357" s="8" t="s">
        <v>91</v>
      </c>
      <c r="N357">
        <v>1</v>
      </c>
      <c r="O357">
        <v>2023</v>
      </c>
      <c r="P357" s="29" t="s">
        <v>721</v>
      </c>
      <c r="Q357" t="s">
        <v>735</v>
      </c>
      <c r="R357" t="s">
        <v>739</v>
      </c>
    </row>
    <row r="358" spans="1:18" x14ac:dyDescent="0.25">
      <c r="A358" s="9">
        <v>355</v>
      </c>
      <c r="B358" s="10">
        <v>45243</v>
      </c>
      <c r="C358" s="11" t="s">
        <v>108</v>
      </c>
      <c r="D358" s="30" t="s">
        <v>703</v>
      </c>
      <c r="E358" s="11" t="s">
        <v>79</v>
      </c>
      <c r="F358" s="11" t="s">
        <v>131</v>
      </c>
      <c r="G358" s="9">
        <v>39</v>
      </c>
      <c r="H358" s="26">
        <v>109700</v>
      </c>
      <c r="I358" s="9">
        <v>0</v>
      </c>
      <c r="J358" s="9">
        <f t="shared" si="10"/>
        <v>4278300</v>
      </c>
      <c r="K358" s="9">
        <f t="shared" si="11"/>
        <v>4278300</v>
      </c>
      <c r="L358" s="11" t="s">
        <v>76</v>
      </c>
      <c r="M358" s="11" t="s">
        <v>91</v>
      </c>
      <c r="N358">
        <v>11</v>
      </c>
      <c r="O358">
        <v>2023</v>
      </c>
      <c r="P358" s="29" t="s">
        <v>718</v>
      </c>
      <c r="Q358" t="s">
        <v>733</v>
      </c>
      <c r="R358" t="s">
        <v>737</v>
      </c>
    </row>
    <row r="359" spans="1:18" x14ac:dyDescent="0.25">
      <c r="A359" s="6">
        <v>356</v>
      </c>
      <c r="B359" s="7">
        <v>45089</v>
      </c>
      <c r="C359" s="8" t="s">
        <v>124</v>
      </c>
      <c r="D359" s="8" t="s">
        <v>109</v>
      </c>
      <c r="E359" s="8" t="s">
        <v>84</v>
      </c>
      <c r="F359" s="8" t="s">
        <v>200</v>
      </c>
      <c r="G359" s="6">
        <v>21</v>
      </c>
      <c r="H359" s="25">
        <v>3500</v>
      </c>
      <c r="I359" s="6">
        <v>10</v>
      </c>
      <c r="J359" s="6">
        <f t="shared" si="10"/>
        <v>73500</v>
      </c>
      <c r="K359" s="6">
        <f t="shared" si="11"/>
        <v>66150</v>
      </c>
      <c r="L359" s="8" t="s">
        <v>76</v>
      </c>
      <c r="M359" s="8" t="s">
        <v>81</v>
      </c>
      <c r="N359">
        <v>6</v>
      </c>
      <c r="O359">
        <v>2023</v>
      </c>
      <c r="P359" s="29" t="s">
        <v>723</v>
      </c>
      <c r="Q359" t="s">
        <v>736</v>
      </c>
      <c r="R359" t="s">
        <v>739</v>
      </c>
    </row>
    <row r="360" spans="1:18" x14ac:dyDescent="0.25">
      <c r="A360" s="9">
        <v>357</v>
      </c>
      <c r="B360" s="10">
        <v>45648</v>
      </c>
      <c r="C360" s="11" t="s">
        <v>108</v>
      </c>
      <c r="D360" s="11" t="s">
        <v>73</v>
      </c>
      <c r="E360" s="11" t="s">
        <v>102</v>
      </c>
      <c r="F360" s="11" t="s">
        <v>157</v>
      </c>
      <c r="G360" s="9">
        <v>24</v>
      </c>
      <c r="H360" s="26">
        <v>13700</v>
      </c>
      <c r="I360" s="9">
        <v>10</v>
      </c>
      <c r="J360" s="9">
        <f t="shared" si="10"/>
        <v>328800</v>
      </c>
      <c r="K360" s="9">
        <f t="shared" si="11"/>
        <v>295920</v>
      </c>
      <c r="L360" s="11" t="s">
        <v>187</v>
      </c>
      <c r="M360" s="11" t="s">
        <v>91</v>
      </c>
      <c r="N360">
        <v>12</v>
      </c>
      <c r="O360">
        <v>2024</v>
      </c>
      <c r="P360" s="29" t="s">
        <v>728</v>
      </c>
      <c r="Q360" t="s">
        <v>733</v>
      </c>
      <c r="R360" t="s">
        <v>737</v>
      </c>
    </row>
    <row r="361" spans="1:18" x14ac:dyDescent="0.25">
      <c r="A361" s="6">
        <v>358</v>
      </c>
      <c r="B361" s="7">
        <v>45030</v>
      </c>
      <c r="C361" s="8" t="s">
        <v>88</v>
      </c>
      <c r="D361" s="8" t="s">
        <v>117</v>
      </c>
      <c r="E361" s="8" t="s">
        <v>74</v>
      </c>
      <c r="F361" s="8" t="s">
        <v>142</v>
      </c>
      <c r="G361" s="6">
        <v>47</v>
      </c>
      <c r="H361" s="25">
        <v>13700</v>
      </c>
      <c r="I361" s="6">
        <v>15</v>
      </c>
      <c r="J361" s="6">
        <f t="shared" si="10"/>
        <v>643900</v>
      </c>
      <c r="K361" s="6">
        <f t="shared" si="11"/>
        <v>547315</v>
      </c>
      <c r="L361" s="8" t="s">
        <v>123</v>
      </c>
      <c r="M361" s="8" t="s">
        <v>91</v>
      </c>
      <c r="N361">
        <v>4</v>
      </c>
      <c r="O361">
        <v>2023</v>
      </c>
      <c r="P361" s="29" t="s">
        <v>716</v>
      </c>
      <c r="Q361" t="s">
        <v>736</v>
      </c>
      <c r="R361" t="s">
        <v>737</v>
      </c>
    </row>
    <row r="362" spans="1:18" x14ac:dyDescent="0.25">
      <c r="A362" s="9">
        <v>359</v>
      </c>
      <c r="B362" s="10">
        <v>45251</v>
      </c>
      <c r="C362" s="11" t="s">
        <v>108</v>
      </c>
      <c r="D362" s="11" t="s">
        <v>93</v>
      </c>
      <c r="E362" s="11" t="s">
        <v>102</v>
      </c>
      <c r="F362" s="11" t="s">
        <v>157</v>
      </c>
      <c r="G362" s="9">
        <v>38</v>
      </c>
      <c r="H362" s="26">
        <v>11500</v>
      </c>
      <c r="I362" s="9">
        <v>0</v>
      </c>
      <c r="J362" s="9">
        <f t="shared" si="10"/>
        <v>437000</v>
      </c>
      <c r="K362" s="9">
        <f t="shared" si="11"/>
        <v>437000</v>
      </c>
      <c r="L362" s="11" t="s">
        <v>187</v>
      </c>
      <c r="M362" s="11" t="s">
        <v>91</v>
      </c>
      <c r="N362">
        <v>11</v>
      </c>
      <c r="O362">
        <v>2023</v>
      </c>
      <c r="P362" s="29" t="s">
        <v>718</v>
      </c>
      <c r="Q362" t="s">
        <v>733</v>
      </c>
      <c r="R362" t="s">
        <v>737</v>
      </c>
    </row>
    <row r="363" spans="1:18" x14ac:dyDescent="0.25">
      <c r="A363" s="6">
        <v>360</v>
      </c>
      <c r="B363" s="7">
        <v>45455</v>
      </c>
      <c r="C363" s="8" t="s">
        <v>101</v>
      </c>
      <c r="D363" s="8" t="s">
        <v>109</v>
      </c>
      <c r="E363" s="8" t="s">
        <v>84</v>
      </c>
      <c r="F363" s="8" t="s">
        <v>206</v>
      </c>
      <c r="G363" s="6">
        <v>37</v>
      </c>
      <c r="H363" s="25">
        <v>15900</v>
      </c>
      <c r="I363" s="6">
        <v>0</v>
      </c>
      <c r="J363" s="6">
        <f t="shared" si="10"/>
        <v>588300</v>
      </c>
      <c r="K363" s="6">
        <f t="shared" si="11"/>
        <v>588300</v>
      </c>
      <c r="L363" s="8" t="s">
        <v>76</v>
      </c>
      <c r="M363" s="8" t="s">
        <v>77</v>
      </c>
      <c r="N363">
        <v>6</v>
      </c>
      <c r="O363">
        <v>2024</v>
      </c>
      <c r="P363" s="29" t="s">
        <v>720</v>
      </c>
      <c r="Q363" t="s">
        <v>736</v>
      </c>
      <c r="R363" t="s">
        <v>737</v>
      </c>
    </row>
    <row r="364" spans="1:18" x14ac:dyDescent="0.25">
      <c r="A364" s="9">
        <v>361</v>
      </c>
      <c r="B364" s="10">
        <v>45513</v>
      </c>
      <c r="C364" s="11" t="s">
        <v>88</v>
      </c>
      <c r="D364" s="11" t="s">
        <v>93</v>
      </c>
      <c r="E364" s="11" t="s">
        <v>84</v>
      </c>
      <c r="F364" s="11" t="s">
        <v>150</v>
      </c>
      <c r="G364" s="9">
        <v>10</v>
      </c>
      <c r="H364" s="26">
        <v>6200</v>
      </c>
      <c r="I364" s="9">
        <v>0</v>
      </c>
      <c r="J364" s="9">
        <f t="shared" si="10"/>
        <v>62000</v>
      </c>
      <c r="K364" s="9">
        <f t="shared" si="11"/>
        <v>62000</v>
      </c>
      <c r="L364" s="11" t="s">
        <v>76</v>
      </c>
      <c r="M364" s="11" t="s">
        <v>77</v>
      </c>
      <c r="N364">
        <v>8</v>
      </c>
      <c r="O364">
        <v>2024</v>
      </c>
      <c r="P364" s="29" t="s">
        <v>710</v>
      </c>
      <c r="Q364" t="s">
        <v>734</v>
      </c>
      <c r="R364" t="s">
        <v>739</v>
      </c>
    </row>
    <row r="365" spans="1:18" x14ac:dyDescent="0.25">
      <c r="A365" s="6">
        <v>362</v>
      </c>
      <c r="B365" s="7">
        <v>45282</v>
      </c>
      <c r="C365" s="8" t="s">
        <v>88</v>
      </c>
      <c r="D365" s="8" t="s">
        <v>109</v>
      </c>
      <c r="E365" s="8" t="s">
        <v>79</v>
      </c>
      <c r="F365" s="8" t="s">
        <v>120</v>
      </c>
      <c r="G365" s="6">
        <v>17</v>
      </c>
      <c r="H365" s="25">
        <v>6100</v>
      </c>
      <c r="I365" s="6">
        <v>0</v>
      </c>
      <c r="J365" s="6">
        <f t="shared" si="10"/>
        <v>103700</v>
      </c>
      <c r="K365" s="6">
        <f t="shared" si="11"/>
        <v>103700</v>
      </c>
      <c r="L365" s="8" t="s">
        <v>76</v>
      </c>
      <c r="M365" s="8" t="s">
        <v>77</v>
      </c>
      <c r="N365">
        <v>12</v>
      </c>
      <c r="O365">
        <v>2023</v>
      </c>
      <c r="P365" s="29" t="s">
        <v>725</v>
      </c>
      <c r="Q365" t="s">
        <v>733</v>
      </c>
      <c r="R365" t="s">
        <v>739</v>
      </c>
    </row>
    <row r="366" spans="1:18" x14ac:dyDescent="0.25">
      <c r="A366" s="9">
        <v>363</v>
      </c>
      <c r="B366" s="10">
        <v>45189</v>
      </c>
      <c r="C366" s="11" t="s">
        <v>97</v>
      </c>
      <c r="D366" s="11" t="s">
        <v>73</v>
      </c>
      <c r="E366" s="11" t="s">
        <v>79</v>
      </c>
      <c r="F366" s="11" t="s">
        <v>115</v>
      </c>
      <c r="G366" s="9">
        <v>27</v>
      </c>
      <c r="H366" s="26">
        <v>9100</v>
      </c>
      <c r="I366" s="9">
        <v>5</v>
      </c>
      <c r="J366" s="9">
        <f t="shared" si="10"/>
        <v>245700</v>
      </c>
      <c r="K366" s="9">
        <f t="shared" si="11"/>
        <v>233415</v>
      </c>
      <c r="L366" s="11" t="s">
        <v>123</v>
      </c>
      <c r="M366" s="11" t="s">
        <v>91</v>
      </c>
      <c r="N366">
        <v>9</v>
      </c>
      <c r="O366">
        <v>2023</v>
      </c>
      <c r="P366" s="29" t="s">
        <v>715</v>
      </c>
      <c r="Q366" t="s">
        <v>734</v>
      </c>
      <c r="R366" t="s">
        <v>737</v>
      </c>
    </row>
    <row r="367" spans="1:18" x14ac:dyDescent="0.25">
      <c r="A367" s="6">
        <v>364</v>
      </c>
      <c r="B367" s="7">
        <v>45314</v>
      </c>
      <c r="C367" s="8" t="s">
        <v>88</v>
      </c>
      <c r="D367" s="8" t="s">
        <v>93</v>
      </c>
      <c r="E367" s="8" t="s">
        <v>111</v>
      </c>
      <c r="F367" s="8" t="s">
        <v>112</v>
      </c>
      <c r="G367" s="6">
        <v>37</v>
      </c>
      <c r="H367" s="25">
        <v>72000</v>
      </c>
      <c r="I367" s="6">
        <v>0</v>
      </c>
      <c r="J367" s="6">
        <f t="shared" si="10"/>
        <v>2664000</v>
      </c>
      <c r="K367" s="6">
        <f t="shared" si="11"/>
        <v>2664000</v>
      </c>
      <c r="L367" s="8" t="s">
        <v>187</v>
      </c>
      <c r="M367" s="8" t="s">
        <v>81</v>
      </c>
      <c r="N367">
        <v>1</v>
      </c>
      <c r="O367">
        <v>2024</v>
      </c>
      <c r="P367" s="29" t="s">
        <v>727</v>
      </c>
      <c r="Q367" t="s">
        <v>735</v>
      </c>
      <c r="R367" t="s">
        <v>737</v>
      </c>
    </row>
    <row r="368" spans="1:18" x14ac:dyDescent="0.25">
      <c r="A368" s="9">
        <v>365</v>
      </c>
      <c r="B368" s="10">
        <v>45477</v>
      </c>
      <c r="C368" s="11" t="s">
        <v>97</v>
      </c>
      <c r="D368" s="11" t="s">
        <v>73</v>
      </c>
      <c r="E368" s="11" t="s">
        <v>74</v>
      </c>
      <c r="F368" s="11" t="s">
        <v>94</v>
      </c>
      <c r="G368" s="9">
        <v>7</v>
      </c>
      <c r="H368" s="26">
        <v>34300</v>
      </c>
      <c r="I368" s="9">
        <v>5</v>
      </c>
      <c r="J368" s="9">
        <f t="shared" si="10"/>
        <v>240100</v>
      </c>
      <c r="K368" s="9">
        <f t="shared" si="11"/>
        <v>228095</v>
      </c>
      <c r="L368" s="11" t="s">
        <v>76</v>
      </c>
      <c r="M368" s="11" t="s">
        <v>81</v>
      </c>
      <c r="N368">
        <v>7</v>
      </c>
      <c r="O368">
        <v>2024</v>
      </c>
      <c r="P368" s="29" t="s">
        <v>712</v>
      </c>
      <c r="Q368" t="s">
        <v>734</v>
      </c>
      <c r="R368" t="s">
        <v>737</v>
      </c>
    </row>
    <row r="369" spans="1:18" x14ac:dyDescent="0.25">
      <c r="A369" s="6">
        <v>366</v>
      </c>
      <c r="B369" s="7">
        <v>45091</v>
      </c>
      <c r="C369" s="8" t="s">
        <v>97</v>
      </c>
      <c r="D369" s="8" t="s">
        <v>93</v>
      </c>
      <c r="E369" s="8" t="s">
        <v>79</v>
      </c>
      <c r="F369" s="8" t="s">
        <v>120</v>
      </c>
      <c r="G369" s="6">
        <v>40</v>
      </c>
      <c r="H369" s="25">
        <v>6300</v>
      </c>
      <c r="I369" s="6">
        <v>5</v>
      </c>
      <c r="J369" s="6">
        <f t="shared" si="10"/>
        <v>252000</v>
      </c>
      <c r="K369" s="6">
        <f t="shared" si="11"/>
        <v>239400</v>
      </c>
      <c r="L369" s="8" t="s">
        <v>107</v>
      </c>
      <c r="M369" s="8" t="s">
        <v>77</v>
      </c>
      <c r="N369">
        <v>6</v>
      </c>
      <c r="O369">
        <v>2023</v>
      </c>
      <c r="P369" s="29" t="s">
        <v>723</v>
      </c>
      <c r="Q369" t="s">
        <v>736</v>
      </c>
      <c r="R369" t="s">
        <v>737</v>
      </c>
    </row>
    <row r="370" spans="1:18" x14ac:dyDescent="0.25">
      <c r="A370" s="6">
        <v>368</v>
      </c>
      <c r="B370" s="7">
        <v>45640</v>
      </c>
      <c r="C370" s="8" t="s">
        <v>82</v>
      </c>
      <c r="D370" s="8" t="s">
        <v>93</v>
      </c>
      <c r="E370" s="8" t="s">
        <v>74</v>
      </c>
      <c r="F370" s="8" t="s">
        <v>190</v>
      </c>
      <c r="G370" s="6">
        <v>7</v>
      </c>
      <c r="H370" s="25">
        <v>31200</v>
      </c>
      <c r="I370" s="6">
        <v>0</v>
      </c>
      <c r="J370" s="6">
        <f t="shared" si="10"/>
        <v>218400</v>
      </c>
      <c r="K370" s="6">
        <f t="shared" si="11"/>
        <v>218400</v>
      </c>
      <c r="L370" s="8" t="s">
        <v>76</v>
      </c>
      <c r="M370" s="31" t="s">
        <v>695</v>
      </c>
      <c r="N370">
        <v>12</v>
      </c>
      <c r="O370">
        <v>2024</v>
      </c>
      <c r="P370" s="29" t="s">
        <v>728</v>
      </c>
      <c r="Q370" t="s">
        <v>733</v>
      </c>
      <c r="R370" t="s">
        <v>737</v>
      </c>
    </row>
    <row r="371" spans="1:18" x14ac:dyDescent="0.25">
      <c r="A371" s="9">
        <v>369</v>
      </c>
      <c r="B371" s="10">
        <v>44982</v>
      </c>
      <c r="C371" s="11" t="s">
        <v>88</v>
      </c>
      <c r="D371" s="11" t="s">
        <v>73</v>
      </c>
      <c r="E371" s="11" t="s">
        <v>111</v>
      </c>
      <c r="F371" s="11" t="s">
        <v>112</v>
      </c>
      <c r="G371" s="9">
        <v>43</v>
      </c>
      <c r="H371" s="26">
        <v>63300</v>
      </c>
      <c r="I371" s="9">
        <v>0</v>
      </c>
      <c r="J371" s="9">
        <f t="shared" si="10"/>
        <v>2721900</v>
      </c>
      <c r="K371" s="9">
        <f t="shared" si="11"/>
        <v>2721900</v>
      </c>
      <c r="L371" s="11" t="s">
        <v>76</v>
      </c>
      <c r="M371" s="11" t="s">
        <v>91</v>
      </c>
      <c r="N371">
        <v>2</v>
      </c>
      <c r="O371">
        <v>2023</v>
      </c>
      <c r="P371" s="29" t="s">
        <v>717</v>
      </c>
      <c r="Q371" t="s">
        <v>735</v>
      </c>
      <c r="R371" t="s">
        <v>737</v>
      </c>
    </row>
    <row r="372" spans="1:18" x14ac:dyDescent="0.25">
      <c r="A372" s="6">
        <v>370</v>
      </c>
      <c r="B372" s="7">
        <v>45203</v>
      </c>
      <c r="C372" s="8" t="s">
        <v>78</v>
      </c>
      <c r="D372" s="8" t="s">
        <v>109</v>
      </c>
      <c r="E372" s="8" t="s">
        <v>84</v>
      </c>
      <c r="F372" s="8" t="s">
        <v>134</v>
      </c>
      <c r="G372" s="6">
        <v>31</v>
      </c>
      <c r="H372" s="25">
        <v>11000</v>
      </c>
      <c r="I372" s="6">
        <v>20</v>
      </c>
      <c r="J372" s="6">
        <f t="shared" si="10"/>
        <v>341000</v>
      </c>
      <c r="K372" s="6">
        <f t="shared" si="11"/>
        <v>272800</v>
      </c>
      <c r="L372" s="8" t="s">
        <v>187</v>
      </c>
      <c r="M372" s="8" t="s">
        <v>96</v>
      </c>
      <c r="N372">
        <v>10</v>
      </c>
      <c r="O372">
        <v>2023</v>
      </c>
      <c r="P372" s="29" t="s">
        <v>726</v>
      </c>
      <c r="Q372" t="s">
        <v>733</v>
      </c>
      <c r="R372" t="s">
        <v>737</v>
      </c>
    </row>
    <row r="373" spans="1:18" x14ac:dyDescent="0.25">
      <c r="A373" s="9">
        <v>371</v>
      </c>
      <c r="B373" s="10">
        <v>45628</v>
      </c>
      <c r="C373" s="11" t="s">
        <v>119</v>
      </c>
      <c r="D373" s="11" t="s">
        <v>83</v>
      </c>
      <c r="E373" s="11" t="s">
        <v>74</v>
      </c>
      <c r="F373" s="11" t="s">
        <v>118</v>
      </c>
      <c r="G373" s="9">
        <v>25</v>
      </c>
      <c r="H373" s="26">
        <v>29700</v>
      </c>
      <c r="I373" s="9">
        <v>0</v>
      </c>
      <c r="J373" s="9">
        <f t="shared" si="10"/>
        <v>742500</v>
      </c>
      <c r="K373" s="9">
        <f t="shared" si="11"/>
        <v>742500</v>
      </c>
      <c r="L373" s="11" t="s">
        <v>76</v>
      </c>
      <c r="M373" s="11" t="s">
        <v>91</v>
      </c>
      <c r="N373">
        <v>12</v>
      </c>
      <c r="O373">
        <v>2024</v>
      </c>
      <c r="P373" s="29" t="s">
        <v>728</v>
      </c>
      <c r="Q373" t="s">
        <v>733</v>
      </c>
      <c r="R373" t="s">
        <v>737</v>
      </c>
    </row>
    <row r="374" spans="1:18" x14ac:dyDescent="0.25">
      <c r="A374" s="6">
        <v>372</v>
      </c>
      <c r="B374" s="7">
        <v>45237</v>
      </c>
      <c r="C374" s="8" t="s">
        <v>119</v>
      </c>
      <c r="D374" s="8" t="s">
        <v>73</v>
      </c>
      <c r="E374" s="8" t="s">
        <v>74</v>
      </c>
      <c r="F374" s="8" t="s">
        <v>99</v>
      </c>
      <c r="G374" s="6">
        <v>15</v>
      </c>
      <c r="H374" s="25">
        <v>3600</v>
      </c>
      <c r="I374" s="6">
        <v>0</v>
      </c>
      <c r="J374" s="6">
        <f t="shared" si="10"/>
        <v>54000</v>
      </c>
      <c r="K374" s="6">
        <f t="shared" si="11"/>
        <v>54000</v>
      </c>
      <c r="L374" s="8" t="s">
        <v>187</v>
      </c>
      <c r="M374" s="8" t="s">
        <v>77</v>
      </c>
      <c r="N374">
        <v>11</v>
      </c>
      <c r="O374">
        <v>2023</v>
      </c>
      <c r="P374" s="29" t="s">
        <v>718</v>
      </c>
      <c r="Q374" t="s">
        <v>733</v>
      </c>
      <c r="R374" t="s">
        <v>739</v>
      </c>
    </row>
    <row r="375" spans="1:18" x14ac:dyDescent="0.25">
      <c r="A375" s="9">
        <v>373</v>
      </c>
      <c r="B375" s="10">
        <v>45640</v>
      </c>
      <c r="C375" s="11" t="s">
        <v>97</v>
      </c>
      <c r="D375" s="11" t="s">
        <v>73</v>
      </c>
      <c r="E375" s="11" t="s">
        <v>74</v>
      </c>
      <c r="F375" s="11" t="s">
        <v>140</v>
      </c>
      <c r="G375" s="9">
        <v>38</v>
      </c>
      <c r="H375" s="26">
        <v>5100</v>
      </c>
      <c r="I375" s="9">
        <v>20</v>
      </c>
      <c r="J375" s="9">
        <f t="shared" si="10"/>
        <v>193800</v>
      </c>
      <c r="K375" s="9">
        <f t="shared" si="11"/>
        <v>155040</v>
      </c>
      <c r="L375" s="11" t="s">
        <v>76</v>
      </c>
      <c r="M375" s="11" t="s">
        <v>77</v>
      </c>
      <c r="N375">
        <v>12</v>
      </c>
      <c r="O375">
        <v>2024</v>
      </c>
      <c r="P375" s="29" t="s">
        <v>728</v>
      </c>
      <c r="Q375" t="s">
        <v>733</v>
      </c>
      <c r="R375" t="s">
        <v>739</v>
      </c>
    </row>
    <row r="376" spans="1:18" x14ac:dyDescent="0.25">
      <c r="A376" s="6">
        <v>374</v>
      </c>
      <c r="B376" s="7">
        <v>45293</v>
      </c>
      <c r="C376" s="8" t="s">
        <v>82</v>
      </c>
      <c r="D376" s="8" t="s">
        <v>83</v>
      </c>
      <c r="E376" s="8" t="s">
        <v>102</v>
      </c>
      <c r="F376" s="8" t="s">
        <v>197</v>
      </c>
      <c r="G376" s="6">
        <v>16</v>
      </c>
      <c r="H376" s="25">
        <v>4000</v>
      </c>
      <c r="I376" s="6">
        <v>5</v>
      </c>
      <c r="J376" s="6">
        <f t="shared" si="10"/>
        <v>64000</v>
      </c>
      <c r="K376" s="6">
        <f t="shared" si="11"/>
        <v>60800</v>
      </c>
      <c r="L376" s="8" t="s">
        <v>76</v>
      </c>
      <c r="M376" s="8" t="s">
        <v>77</v>
      </c>
      <c r="N376">
        <v>1</v>
      </c>
      <c r="O376">
        <v>2024</v>
      </c>
      <c r="P376" s="29" t="s">
        <v>727</v>
      </c>
      <c r="Q376" t="s">
        <v>735</v>
      </c>
      <c r="R376" t="s">
        <v>739</v>
      </c>
    </row>
    <row r="377" spans="1:18" x14ac:dyDescent="0.25">
      <c r="A377" s="9">
        <v>375</v>
      </c>
      <c r="B377" s="10">
        <v>45048</v>
      </c>
      <c r="C377" s="11" t="s">
        <v>82</v>
      </c>
      <c r="D377" s="11" t="s">
        <v>93</v>
      </c>
      <c r="E377" s="11" t="s">
        <v>102</v>
      </c>
      <c r="F377" s="11" t="s">
        <v>103</v>
      </c>
      <c r="G377" s="9">
        <v>49</v>
      </c>
      <c r="H377" s="26">
        <v>9100</v>
      </c>
      <c r="I377" s="9">
        <v>0</v>
      </c>
      <c r="J377" s="9">
        <f t="shared" si="10"/>
        <v>445900</v>
      </c>
      <c r="K377" s="9">
        <f t="shared" si="11"/>
        <v>445900</v>
      </c>
      <c r="L377" s="11" t="s">
        <v>76</v>
      </c>
      <c r="M377" s="11" t="s">
        <v>81</v>
      </c>
      <c r="N377">
        <v>5</v>
      </c>
      <c r="O377">
        <v>2023</v>
      </c>
      <c r="P377" s="29" t="s">
        <v>730</v>
      </c>
      <c r="Q377" t="s">
        <v>736</v>
      </c>
      <c r="R377" t="s">
        <v>737</v>
      </c>
    </row>
    <row r="378" spans="1:18" x14ac:dyDescent="0.25">
      <c r="A378" s="6">
        <v>376</v>
      </c>
      <c r="B378" s="7">
        <v>45124</v>
      </c>
      <c r="C378" s="8" t="s">
        <v>108</v>
      </c>
      <c r="D378" s="8" t="s">
        <v>73</v>
      </c>
      <c r="E378" s="8" t="s">
        <v>111</v>
      </c>
      <c r="F378" s="8" t="s">
        <v>112</v>
      </c>
      <c r="G378" s="6">
        <v>28</v>
      </c>
      <c r="H378" s="25">
        <v>74600</v>
      </c>
      <c r="I378" s="6">
        <v>20</v>
      </c>
      <c r="J378" s="6">
        <f t="shared" si="10"/>
        <v>2088800</v>
      </c>
      <c r="K378" s="6">
        <f t="shared" si="11"/>
        <v>1671040</v>
      </c>
      <c r="L378" s="8" t="s">
        <v>76</v>
      </c>
      <c r="M378" s="8" t="s">
        <v>81</v>
      </c>
      <c r="N378">
        <v>7</v>
      </c>
      <c r="O378">
        <v>2023</v>
      </c>
      <c r="P378" s="29" t="s">
        <v>724</v>
      </c>
      <c r="Q378" t="s">
        <v>734</v>
      </c>
      <c r="R378" t="s">
        <v>737</v>
      </c>
    </row>
    <row r="379" spans="1:18" x14ac:dyDescent="0.25">
      <c r="A379" s="9">
        <v>377</v>
      </c>
      <c r="B379" s="10">
        <v>45300</v>
      </c>
      <c r="C379" s="11" t="s">
        <v>101</v>
      </c>
      <c r="D379" s="11" t="s">
        <v>117</v>
      </c>
      <c r="E379" s="11" t="s">
        <v>79</v>
      </c>
      <c r="F379" s="11" t="s">
        <v>131</v>
      </c>
      <c r="G379" s="9">
        <v>26</v>
      </c>
      <c r="H379" s="26">
        <v>119600</v>
      </c>
      <c r="I379" s="9">
        <v>10</v>
      </c>
      <c r="J379" s="9">
        <f t="shared" si="10"/>
        <v>3109600</v>
      </c>
      <c r="K379" s="9">
        <f t="shared" si="11"/>
        <v>2798640</v>
      </c>
      <c r="L379" s="11" t="s">
        <v>76</v>
      </c>
      <c r="M379" s="11" t="s">
        <v>96</v>
      </c>
      <c r="N379">
        <v>1</v>
      </c>
      <c r="O379">
        <v>2024</v>
      </c>
      <c r="P379" s="29" t="s">
        <v>727</v>
      </c>
      <c r="Q379" t="s">
        <v>735</v>
      </c>
      <c r="R379" t="s">
        <v>737</v>
      </c>
    </row>
    <row r="380" spans="1:18" x14ac:dyDescent="0.25">
      <c r="A380" s="6">
        <v>378</v>
      </c>
      <c r="B380" s="7">
        <v>45396</v>
      </c>
      <c r="C380" s="8" t="s">
        <v>78</v>
      </c>
      <c r="D380" s="8" t="s">
        <v>93</v>
      </c>
      <c r="E380" s="8" t="s">
        <v>102</v>
      </c>
      <c r="F380" s="8" t="s">
        <v>151</v>
      </c>
      <c r="G380" s="12">
        <v>10</v>
      </c>
      <c r="H380" s="25">
        <v>7000</v>
      </c>
      <c r="I380" s="6">
        <v>0</v>
      </c>
      <c r="J380" s="6">
        <f t="shared" si="10"/>
        <v>70000</v>
      </c>
      <c r="K380" s="6">
        <f t="shared" si="11"/>
        <v>70000</v>
      </c>
      <c r="L380" s="8" t="s">
        <v>76</v>
      </c>
      <c r="M380" s="8" t="s">
        <v>77</v>
      </c>
      <c r="N380">
        <v>4</v>
      </c>
      <c r="O380">
        <v>2024</v>
      </c>
      <c r="P380" s="29" t="s">
        <v>722</v>
      </c>
      <c r="Q380" t="s">
        <v>736</v>
      </c>
      <c r="R380" t="s">
        <v>739</v>
      </c>
    </row>
    <row r="381" spans="1:18" x14ac:dyDescent="0.25">
      <c r="A381" s="9">
        <v>379</v>
      </c>
      <c r="B381" s="10">
        <v>45503</v>
      </c>
      <c r="C381" s="11" t="s">
        <v>97</v>
      </c>
      <c r="D381" s="11" t="s">
        <v>117</v>
      </c>
      <c r="E381" s="11" t="s">
        <v>102</v>
      </c>
      <c r="F381" s="11" t="s">
        <v>157</v>
      </c>
      <c r="G381" s="9">
        <v>17</v>
      </c>
      <c r="H381" s="26">
        <v>13400</v>
      </c>
      <c r="I381" s="9">
        <v>10</v>
      </c>
      <c r="J381" s="9">
        <f t="shared" si="10"/>
        <v>227800</v>
      </c>
      <c r="K381" s="9">
        <f t="shared" si="11"/>
        <v>205020</v>
      </c>
      <c r="L381" s="11" t="s">
        <v>76</v>
      </c>
      <c r="M381" s="11" t="s">
        <v>91</v>
      </c>
      <c r="N381">
        <v>7</v>
      </c>
      <c r="O381">
        <v>2024</v>
      </c>
      <c r="P381" s="29" t="s">
        <v>712</v>
      </c>
      <c r="Q381" t="s">
        <v>734</v>
      </c>
      <c r="R381" t="s">
        <v>737</v>
      </c>
    </row>
    <row r="382" spans="1:18" x14ac:dyDescent="0.25">
      <c r="A382" s="6">
        <v>380</v>
      </c>
      <c r="B382" s="7">
        <v>45550</v>
      </c>
      <c r="C382" s="8" t="s">
        <v>119</v>
      </c>
      <c r="D382" s="8" t="s">
        <v>73</v>
      </c>
      <c r="E382" s="8" t="s">
        <v>84</v>
      </c>
      <c r="F382" s="8" t="s">
        <v>134</v>
      </c>
      <c r="G382" s="6">
        <v>40</v>
      </c>
      <c r="H382" s="25">
        <v>9600</v>
      </c>
      <c r="I382" s="6">
        <v>0</v>
      </c>
      <c r="J382" s="6">
        <f t="shared" si="10"/>
        <v>384000</v>
      </c>
      <c r="K382" s="6">
        <f t="shared" si="11"/>
        <v>384000</v>
      </c>
      <c r="L382" s="8" t="s">
        <v>76</v>
      </c>
      <c r="M382" s="8" t="s">
        <v>91</v>
      </c>
      <c r="N382">
        <v>9</v>
      </c>
      <c r="O382">
        <v>2024</v>
      </c>
      <c r="P382" s="29" t="s">
        <v>731</v>
      </c>
      <c r="Q382" t="s">
        <v>734</v>
      </c>
      <c r="R382" t="s">
        <v>737</v>
      </c>
    </row>
    <row r="383" spans="1:18" x14ac:dyDescent="0.25">
      <c r="A383" s="9">
        <v>381</v>
      </c>
      <c r="B383" s="10">
        <v>45567</v>
      </c>
      <c r="C383" s="11" t="s">
        <v>88</v>
      </c>
      <c r="D383" s="11" t="s">
        <v>109</v>
      </c>
      <c r="E383" s="11" t="s">
        <v>79</v>
      </c>
      <c r="F383" s="11" t="s">
        <v>172</v>
      </c>
      <c r="G383" s="9">
        <v>24</v>
      </c>
      <c r="H383" s="26">
        <v>28300</v>
      </c>
      <c r="I383" s="9">
        <v>0</v>
      </c>
      <c r="J383" s="9">
        <f t="shared" si="10"/>
        <v>679200</v>
      </c>
      <c r="K383" s="9">
        <f t="shared" si="11"/>
        <v>679200</v>
      </c>
      <c r="L383" s="11" t="s">
        <v>76</v>
      </c>
      <c r="M383" s="11" t="s">
        <v>96</v>
      </c>
      <c r="N383">
        <v>10</v>
      </c>
      <c r="O383">
        <v>2024</v>
      </c>
      <c r="P383" s="29" t="s">
        <v>709</v>
      </c>
      <c r="Q383" t="s">
        <v>733</v>
      </c>
      <c r="R383" t="s">
        <v>737</v>
      </c>
    </row>
    <row r="384" spans="1:18" x14ac:dyDescent="0.25">
      <c r="A384" s="6">
        <v>382</v>
      </c>
      <c r="B384" s="7">
        <v>45214</v>
      </c>
      <c r="C384" s="8" t="s">
        <v>119</v>
      </c>
      <c r="D384" s="8" t="s">
        <v>73</v>
      </c>
      <c r="E384" s="8" t="s">
        <v>84</v>
      </c>
      <c r="F384" s="8" t="s">
        <v>128</v>
      </c>
      <c r="G384" s="6">
        <v>48</v>
      </c>
      <c r="H384" s="25">
        <v>4100</v>
      </c>
      <c r="I384" s="6">
        <v>0</v>
      </c>
      <c r="J384" s="6">
        <f t="shared" si="10"/>
        <v>196800</v>
      </c>
      <c r="K384" s="6">
        <f t="shared" si="11"/>
        <v>196800</v>
      </c>
      <c r="L384" s="8" t="s">
        <v>76</v>
      </c>
      <c r="M384" s="8" t="s">
        <v>96</v>
      </c>
      <c r="N384">
        <v>10</v>
      </c>
      <c r="O384">
        <v>2023</v>
      </c>
      <c r="P384" s="29" t="s">
        <v>726</v>
      </c>
      <c r="Q384" t="s">
        <v>733</v>
      </c>
      <c r="R384" t="s">
        <v>739</v>
      </c>
    </row>
    <row r="385" spans="1:18" x14ac:dyDescent="0.25">
      <c r="A385" s="9">
        <v>383</v>
      </c>
      <c r="B385" s="10">
        <v>45325</v>
      </c>
      <c r="C385" s="11" t="s">
        <v>124</v>
      </c>
      <c r="D385" s="11" t="s">
        <v>73</v>
      </c>
      <c r="E385" s="11" t="s">
        <v>84</v>
      </c>
      <c r="F385" s="11" t="s">
        <v>85</v>
      </c>
      <c r="G385" s="9">
        <v>27</v>
      </c>
      <c r="H385" s="26">
        <v>5100</v>
      </c>
      <c r="I385" s="9">
        <v>20</v>
      </c>
      <c r="J385" s="9">
        <f t="shared" si="10"/>
        <v>137700</v>
      </c>
      <c r="K385" s="9">
        <f t="shared" si="11"/>
        <v>110160</v>
      </c>
      <c r="L385" s="11" t="s">
        <v>187</v>
      </c>
      <c r="M385" s="11" t="s">
        <v>96</v>
      </c>
      <c r="N385">
        <v>2</v>
      </c>
      <c r="O385">
        <v>2024</v>
      </c>
      <c r="P385" s="29" t="s">
        <v>729</v>
      </c>
      <c r="Q385" t="s">
        <v>735</v>
      </c>
      <c r="R385" t="s">
        <v>739</v>
      </c>
    </row>
    <row r="386" spans="1:18" x14ac:dyDescent="0.25">
      <c r="A386" s="6">
        <v>384</v>
      </c>
      <c r="B386" s="7">
        <v>44984</v>
      </c>
      <c r="C386" s="8" t="s">
        <v>82</v>
      </c>
      <c r="D386" s="8" t="s">
        <v>109</v>
      </c>
      <c r="E386" s="8" t="s">
        <v>79</v>
      </c>
      <c r="F386" s="8" t="s">
        <v>179</v>
      </c>
      <c r="G386" s="6">
        <v>26</v>
      </c>
      <c r="H386" s="25">
        <v>2700</v>
      </c>
      <c r="I386" s="6">
        <v>0</v>
      </c>
      <c r="J386" s="6">
        <f t="shared" ref="J386:J449" si="12">G386*H386</f>
        <v>70200</v>
      </c>
      <c r="K386" s="6">
        <f t="shared" ref="K386:K449" si="13">J386*(1-I386/100)</f>
        <v>70200</v>
      </c>
      <c r="L386" s="8" t="s">
        <v>76</v>
      </c>
      <c r="M386" s="8" t="s">
        <v>77</v>
      </c>
      <c r="N386">
        <v>2</v>
      </c>
      <c r="O386">
        <v>2023</v>
      </c>
      <c r="P386" s="29" t="s">
        <v>717</v>
      </c>
      <c r="Q386" t="s">
        <v>735</v>
      </c>
      <c r="R386" t="s">
        <v>739</v>
      </c>
    </row>
    <row r="387" spans="1:18" x14ac:dyDescent="0.25">
      <c r="A387" s="9">
        <v>385</v>
      </c>
      <c r="B387" s="10">
        <v>45124</v>
      </c>
      <c r="C387" s="11" t="s">
        <v>106</v>
      </c>
      <c r="D387" s="11" t="s">
        <v>73</v>
      </c>
      <c r="E387" s="11" t="s">
        <v>84</v>
      </c>
      <c r="F387" s="11" t="s">
        <v>206</v>
      </c>
      <c r="G387" s="9">
        <v>24</v>
      </c>
      <c r="H387" s="26">
        <v>14200</v>
      </c>
      <c r="I387" s="9">
        <v>0</v>
      </c>
      <c r="J387" s="9">
        <f t="shared" si="12"/>
        <v>340800</v>
      </c>
      <c r="K387" s="9">
        <f t="shared" si="13"/>
        <v>340800</v>
      </c>
      <c r="L387" s="11" t="s">
        <v>187</v>
      </c>
      <c r="M387" s="11" t="s">
        <v>96</v>
      </c>
      <c r="N387">
        <v>7</v>
      </c>
      <c r="O387">
        <v>2023</v>
      </c>
      <c r="P387" s="29" t="s">
        <v>724</v>
      </c>
      <c r="Q387" t="s">
        <v>734</v>
      </c>
      <c r="R387" t="s">
        <v>737</v>
      </c>
    </row>
    <row r="388" spans="1:18" x14ac:dyDescent="0.25">
      <c r="A388" s="6">
        <v>386</v>
      </c>
      <c r="B388" s="7">
        <v>45402</v>
      </c>
      <c r="C388" s="8" t="s">
        <v>82</v>
      </c>
      <c r="D388" s="8" t="s">
        <v>83</v>
      </c>
      <c r="E388" s="8" t="s">
        <v>79</v>
      </c>
      <c r="F388" s="8" t="s">
        <v>136</v>
      </c>
      <c r="G388" s="6">
        <v>32</v>
      </c>
      <c r="H388" s="25">
        <v>81600</v>
      </c>
      <c r="I388" s="6">
        <v>20</v>
      </c>
      <c r="J388" s="6">
        <f t="shared" si="12"/>
        <v>2611200</v>
      </c>
      <c r="K388" s="6">
        <f t="shared" si="13"/>
        <v>2088960</v>
      </c>
      <c r="L388" s="8" t="s">
        <v>76</v>
      </c>
      <c r="M388" s="8" t="s">
        <v>81</v>
      </c>
      <c r="N388">
        <v>4</v>
      </c>
      <c r="O388">
        <v>2024</v>
      </c>
      <c r="P388" s="29" t="s">
        <v>722</v>
      </c>
      <c r="Q388" t="s">
        <v>736</v>
      </c>
      <c r="R388" t="s">
        <v>737</v>
      </c>
    </row>
    <row r="389" spans="1:18" x14ac:dyDescent="0.25">
      <c r="A389" s="9">
        <v>387</v>
      </c>
      <c r="B389" s="10">
        <v>45412</v>
      </c>
      <c r="C389" s="11" t="s">
        <v>124</v>
      </c>
      <c r="D389" s="11" t="s">
        <v>93</v>
      </c>
      <c r="E389" s="11" t="s">
        <v>74</v>
      </c>
      <c r="F389" s="11" t="s">
        <v>212</v>
      </c>
      <c r="G389" s="9">
        <v>17</v>
      </c>
      <c r="H389" s="26">
        <v>7500</v>
      </c>
      <c r="I389" s="9">
        <v>0</v>
      </c>
      <c r="J389" s="9">
        <f t="shared" si="12"/>
        <v>127500</v>
      </c>
      <c r="K389" s="9">
        <f t="shared" si="13"/>
        <v>127500</v>
      </c>
      <c r="L389" s="11" t="s">
        <v>187</v>
      </c>
      <c r="M389" s="11" t="s">
        <v>77</v>
      </c>
      <c r="N389">
        <v>4</v>
      </c>
      <c r="O389">
        <v>2024</v>
      </c>
      <c r="P389" s="29" t="s">
        <v>722</v>
      </c>
      <c r="Q389" t="s">
        <v>736</v>
      </c>
      <c r="R389" t="s">
        <v>739</v>
      </c>
    </row>
    <row r="390" spans="1:18" x14ac:dyDescent="0.25">
      <c r="A390" s="6">
        <v>388</v>
      </c>
      <c r="B390" s="7">
        <v>44955</v>
      </c>
      <c r="C390" s="8" t="s">
        <v>114</v>
      </c>
      <c r="D390" s="8" t="s">
        <v>73</v>
      </c>
      <c r="E390" s="8" t="s">
        <v>84</v>
      </c>
      <c r="F390" s="8" t="s">
        <v>90</v>
      </c>
      <c r="G390" s="6">
        <v>42</v>
      </c>
      <c r="H390" s="25">
        <v>2000</v>
      </c>
      <c r="I390" s="6">
        <v>0</v>
      </c>
      <c r="J390" s="6">
        <f t="shared" si="12"/>
        <v>84000</v>
      </c>
      <c r="K390" s="6">
        <f t="shared" si="13"/>
        <v>84000</v>
      </c>
      <c r="L390" s="8" t="s">
        <v>76</v>
      </c>
      <c r="M390" s="8" t="s">
        <v>81</v>
      </c>
      <c r="N390">
        <v>1</v>
      </c>
      <c r="O390">
        <v>2023</v>
      </c>
      <c r="P390" s="29" t="s">
        <v>721</v>
      </c>
      <c r="Q390" t="s">
        <v>735</v>
      </c>
      <c r="R390" t="s">
        <v>739</v>
      </c>
    </row>
    <row r="391" spans="1:18" x14ac:dyDescent="0.25">
      <c r="A391" s="9">
        <v>389</v>
      </c>
      <c r="B391" s="10">
        <v>45594</v>
      </c>
      <c r="C391" s="11" t="s">
        <v>114</v>
      </c>
      <c r="D391" s="11" t="s">
        <v>93</v>
      </c>
      <c r="E391" s="11" t="s">
        <v>79</v>
      </c>
      <c r="F391" s="11" t="s">
        <v>136</v>
      </c>
      <c r="G391" s="9">
        <v>9</v>
      </c>
      <c r="H391" s="26">
        <v>86600</v>
      </c>
      <c r="I391" s="9">
        <v>0</v>
      </c>
      <c r="J391" s="9">
        <f t="shared" si="12"/>
        <v>779400</v>
      </c>
      <c r="K391" s="9">
        <f t="shared" si="13"/>
        <v>779400</v>
      </c>
      <c r="L391" s="11" t="s">
        <v>76</v>
      </c>
      <c r="M391" s="11" t="s">
        <v>77</v>
      </c>
      <c r="N391">
        <v>10</v>
      </c>
      <c r="O391">
        <v>2024</v>
      </c>
      <c r="P391" s="29" t="s">
        <v>709</v>
      </c>
      <c r="Q391" t="s">
        <v>733</v>
      </c>
      <c r="R391" t="s">
        <v>737</v>
      </c>
    </row>
    <row r="392" spans="1:18" x14ac:dyDescent="0.25">
      <c r="A392" s="6">
        <v>390</v>
      </c>
      <c r="B392" s="7">
        <v>45185</v>
      </c>
      <c r="C392" s="8" t="s">
        <v>124</v>
      </c>
      <c r="D392" s="8" t="s">
        <v>117</v>
      </c>
      <c r="E392" s="8" t="s">
        <v>74</v>
      </c>
      <c r="F392" s="8" t="s">
        <v>140</v>
      </c>
      <c r="G392" s="6">
        <v>23</v>
      </c>
      <c r="H392" s="25">
        <v>5100</v>
      </c>
      <c r="I392" s="6">
        <v>5</v>
      </c>
      <c r="J392" s="6">
        <f t="shared" si="12"/>
        <v>117300</v>
      </c>
      <c r="K392" s="6">
        <f t="shared" si="13"/>
        <v>111435</v>
      </c>
      <c r="L392" s="8" t="s">
        <v>76</v>
      </c>
      <c r="M392" s="8" t="s">
        <v>81</v>
      </c>
      <c r="N392">
        <v>9</v>
      </c>
      <c r="O392">
        <v>2023</v>
      </c>
      <c r="P392" s="29" t="s">
        <v>715</v>
      </c>
      <c r="Q392" t="s">
        <v>734</v>
      </c>
      <c r="R392" t="s">
        <v>739</v>
      </c>
    </row>
    <row r="393" spans="1:18" x14ac:dyDescent="0.25">
      <c r="A393" s="6">
        <v>392</v>
      </c>
      <c r="B393" s="7">
        <v>45589</v>
      </c>
      <c r="C393" s="8" t="s">
        <v>124</v>
      </c>
      <c r="D393" s="8" t="s">
        <v>93</v>
      </c>
      <c r="E393" s="8" t="s">
        <v>74</v>
      </c>
      <c r="F393" s="8" t="s">
        <v>190</v>
      </c>
      <c r="G393" s="6">
        <v>31</v>
      </c>
      <c r="H393" s="25">
        <v>34300</v>
      </c>
      <c r="I393" s="6">
        <v>15</v>
      </c>
      <c r="J393" s="6">
        <f t="shared" si="12"/>
        <v>1063300</v>
      </c>
      <c r="K393" s="6">
        <f t="shared" si="13"/>
        <v>903805</v>
      </c>
      <c r="L393" s="8" t="s">
        <v>76</v>
      </c>
      <c r="M393" s="8" t="s">
        <v>96</v>
      </c>
      <c r="N393">
        <v>10</v>
      </c>
      <c r="O393">
        <v>2024</v>
      </c>
      <c r="P393" s="29" t="s">
        <v>709</v>
      </c>
      <c r="Q393" t="s">
        <v>733</v>
      </c>
      <c r="R393" t="s">
        <v>737</v>
      </c>
    </row>
    <row r="394" spans="1:18" x14ac:dyDescent="0.25">
      <c r="A394" s="9">
        <v>393</v>
      </c>
      <c r="B394" s="10">
        <v>45259</v>
      </c>
      <c r="C394" s="11" t="s">
        <v>101</v>
      </c>
      <c r="D394" s="11" t="s">
        <v>117</v>
      </c>
      <c r="E394" s="11" t="s">
        <v>74</v>
      </c>
      <c r="F394" s="11" t="s">
        <v>75</v>
      </c>
      <c r="G394" s="9">
        <v>49</v>
      </c>
      <c r="H394" s="26">
        <v>20600</v>
      </c>
      <c r="I394" s="9">
        <v>20</v>
      </c>
      <c r="J394" s="9">
        <f t="shared" si="12"/>
        <v>1009400</v>
      </c>
      <c r="K394" s="9">
        <f t="shared" si="13"/>
        <v>807520</v>
      </c>
      <c r="L394" s="11" t="s">
        <v>76</v>
      </c>
      <c r="M394" s="11" t="s">
        <v>77</v>
      </c>
      <c r="N394">
        <v>11</v>
      </c>
      <c r="O394">
        <v>2023</v>
      </c>
      <c r="P394" s="29" t="s">
        <v>718</v>
      </c>
      <c r="Q394" t="s">
        <v>733</v>
      </c>
      <c r="R394" t="s">
        <v>737</v>
      </c>
    </row>
    <row r="395" spans="1:18" x14ac:dyDescent="0.25">
      <c r="A395" s="6">
        <v>394</v>
      </c>
      <c r="B395" s="7">
        <v>45452</v>
      </c>
      <c r="C395" s="8" t="s">
        <v>114</v>
      </c>
      <c r="D395" s="8" t="s">
        <v>117</v>
      </c>
      <c r="E395" s="8" t="s">
        <v>84</v>
      </c>
      <c r="F395" s="8" t="s">
        <v>206</v>
      </c>
      <c r="G395" s="6">
        <v>19</v>
      </c>
      <c r="H395" s="25">
        <v>14900</v>
      </c>
      <c r="I395" s="6">
        <v>5</v>
      </c>
      <c r="J395" s="6">
        <f t="shared" si="12"/>
        <v>283100</v>
      </c>
      <c r="K395" s="6">
        <f t="shared" si="13"/>
        <v>268945</v>
      </c>
      <c r="L395" s="8" t="s">
        <v>76</v>
      </c>
      <c r="M395" s="8" t="s">
        <v>91</v>
      </c>
      <c r="N395">
        <v>6</v>
      </c>
      <c r="O395">
        <v>2024</v>
      </c>
      <c r="P395" s="29" t="s">
        <v>720</v>
      </c>
      <c r="Q395" t="s">
        <v>736</v>
      </c>
      <c r="R395" t="s">
        <v>737</v>
      </c>
    </row>
    <row r="396" spans="1:18" x14ac:dyDescent="0.25">
      <c r="A396" s="9">
        <v>395</v>
      </c>
      <c r="B396" s="10">
        <v>45324</v>
      </c>
      <c r="C396" s="11" t="s">
        <v>78</v>
      </c>
      <c r="D396" s="11" t="s">
        <v>93</v>
      </c>
      <c r="E396" s="11" t="s">
        <v>102</v>
      </c>
      <c r="F396" s="11" t="s">
        <v>181</v>
      </c>
      <c r="G396" s="9">
        <v>46</v>
      </c>
      <c r="H396" s="26">
        <v>4400</v>
      </c>
      <c r="I396" s="9">
        <v>15</v>
      </c>
      <c r="J396" s="9">
        <f t="shared" si="12"/>
        <v>202400</v>
      </c>
      <c r="K396" s="9">
        <f t="shared" si="13"/>
        <v>172040</v>
      </c>
      <c r="L396" s="11" t="s">
        <v>76</v>
      </c>
      <c r="M396" s="11" t="s">
        <v>91</v>
      </c>
      <c r="N396">
        <v>2</v>
      </c>
      <c r="O396">
        <v>2024</v>
      </c>
      <c r="P396" s="29" t="s">
        <v>729</v>
      </c>
      <c r="Q396" t="s">
        <v>735</v>
      </c>
      <c r="R396" t="s">
        <v>739</v>
      </c>
    </row>
    <row r="397" spans="1:18" x14ac:dyDescent="0.25">
      <c r="A397" s="6">
        <v>396</v>
      </c>
      <c r="B397" s="7">
        <v>45352</v>
      </c>
      <c r="C397" s="8" t="s">
        <v>82</v>
      </c>
      <c r="D397" s="8" t="s">
        <v>117</v>
      </c>
      <c r="E397" s="8" t="s">
        <v>84</v>
      </c>
      <c r="F397" s="8" t="s">
        <v>128</v>
      </c>
      <c r="G397" s="6">
        <v>31</v>
      </c>
      <c r="H397" s="25">
        <v>4100</v>
      </c>
      <c r="I397" s="6">
        <v>15</v>
      </c>
      <c r="J397" s="6">
        <f t="shared" si="12"/>
        <v>127100</v>
      </c>
      <c r="K397" s="6">
        <f t="shared" si="13"/>
        <v>108035</v>
      </c>
      <c r="L397" s="8" t="s">
        <v>76</v>
      </c>
      <c r="M397" s="8" t="s">
        <v>96</v>
      </c>
      <c r="N397">
        <v>3</v>
      </c>
      <c r="O397">
        <v>2024</v>
      </c>
      <c r="P397" s="29" t="s">
        <v>711</v>
      </c>
      <c r="Q397" t="s">
        <v>735</v>
      </c>
      <c r="R397" t="s">
        <v>739</v>
      </c>
    </row>
    <row r="398" spans="1:18" x14ac:dyDescent="0.25">
      <c r="A398" s="9">
        <v>397</v>
      </c>
      <c r="B398" s="10">
        <v>45499</v>
      </c>
      <c r="C398" s="11" t="s">
        <v>108</v>
      </c>
      <c r="D398" s="11" t="s">
        <v>117</v>
      </c>
      <c r="E398" s="11" t="s">
        <v>79</v>
      </c>
      <c r="F398" s="11" t="s">
        <v>80</v>
      </c>
      <c r="G398" s="9">
        <v>48</v>
      </c>
      <c r="H398" s="26">
        <v>8400</v>
      </c>
      <c r="I398" s="9">
        <v>20</v>
      </c>
      <c r="J398" s="9">
        <f t="shared" si="12"/>
        <v>403200</v>
      </c>
      <c r="K398" s="9">
        <f t="shared" si="13"/>
        <v>322560</v>
      </c>
      <c r="L398" s="11" t="s">
        <v>107</v>
      </c>
      <c r="M398" s="11" t="s">
        <v>91</v>
      </c>
      <c r="N398">
        <v>7</v>
      </c>
      <c r="O398">
        <v>2024</v>
      </c>
      <c r="P398" s="29" t="s">
        <v>712</v>
      </c>
      <c r="Q398" t="s">
        <v>734</v>
      </c>
      <c r="R398" t="s">
        <v>737</v>
      </c>
    </row>
    <row r="399" spans="1:18" x14ac:dyDescent="0.25">
      <c r="A399" s="6">
        <v>398</v>
      </c>
      <c r="B399" s="7">
        <v>45089</v>
      </c>
      <c r="C399" s="8" t="s">
        <v>88</v>
      </c>
      <c r="D399" s="8" t="s">
        <v>117</v>
      </c>
      <c r="E399" s="8" t="s">
        <v>102</v>
      </c>
      <c r="F399" s="8" t="s">
        <v>110</v>
      </c>
      <c r="G399" s="6">
        <v>8</v>
      </c>
      <c r="H399" s="25">
        <v>22400</v>
      </c>
      <c r="I399" s="6">
        <v>5</v>
      </c>
      <c r="J399" s="6">
        <f t="shared" si="12"/>
        <v>179200</v>
      </c>
      <c r="K399" s="6">
        <f t="shared" si="13"/>
        <v>170240</v>
      </c>
      <c r="L399" s="8" t="s">
        <v>76</v>
      </c>
      <c r="M399" s="8" t="s">
        <v>77</v>
      </c>
      <c r="N399">
        <v>6</v>
      </c>
      <c r="O399">
        <v>2023</v>
      </c>
      <c r="P399" s="29" t="s">
        <v>723</v>
      </c>
      <c r="Q399" t="s">
        <v>736</v>
      </c>
      <c r="R399" t="s">
        <v>739</v>
      </c>
    </row>
    <row r="400" spans="1:18" x14ac:dyDescent="0.25">
      <c r="A400" s="9">
        <v>399</v>
      </c>
      <c r="B400" s="10">
        <v>45126</v>
      </c>
      <c r="C400" s="11" t="s">
        <v>82</v>
      </c>
      <c r="D400" s="11" t="s">
        <v>73</v>
      </c>
      <c r="E400" s="11" t="s">
        <v>111</v>
      </c>
      <c r="F400" s="11" t="s">
        <v>135</v>
      </c>
      <c r="G400" s="9">
        <v>10</v>
      </c>
      <c r="H400" s="26">
        <v>115400</v>
      </c>
      <c r="I400" s="9">
        <v>0</v>
      </c>
      <c r="J400" s="9">
        <f t="shared" si="12"/>
        <v>1154000</v>
      </c>
      <c r="K400" s="9">
        <f t="shared" si="13"/>
        <v>1154000</v>
      </c>
      <c r="L400" s="11" t="s">
        <v>76</v>
      </c>
      <c r="M400" s="11" t="s">
        <v>81</v>
      </c>
      <c r="N400">
        <v>7</v>
      </c>
      <c r="O400">
        <v>2023</v>
      </c>
      <c r="P400" s="29" t="s">
        <v>724</v>
      </c>
      <c r="Q400" t="s">
        <v>734</v>
      </c>
      <c r="R400" t="s">
        <v>737</v>
      </c>
    </row>
    <row r="401" spans="1:18" x14ac:dyDescent="0.25">
      <c r="A401" s="6">
        <v>400</v>
      </c>
      <c r="B401" s="7">
        <v>45346</v>
      </c>
      <c r="C401" s="8" t="s">
        <v>124</v>
      </c>
      <c r="D401" s="8" t="s">
        <v>83</v>
      </c>
      <c r="E401" s="8" t="s">
        <v>84</v>
      </c>
      <c r="F401" s="8" t="s">
        <v>200</v>
      </c>
      <c r="G401" s="6">
        <v>12</v>
      </c>
      <c r="H401" s="25">
        <v>3600</v>
      </c>
      <c r="I401" s="6">
        <v>0</v>
      </c>
      <c r="J401" s="6">
        <f t="shared" si="12"/>
        <v>43200</v>
      </c>
      <c r="K401" s="6">
        <f t="shared" si="13"/>
        <v>43200</v>
      </c>
      <c r="L401" s="8" t="s">
        <v>187</v>
      </c>
      <c r="M401" s="8" t="s">
        <v>91</v>
      </c>
      <c r="N401">
        <v>2</v>
      </c>
      <c r="O401">
        <v>2024</v>
      </c>
      <c r="P401" s="29" t="s">
        <v>729</v>
      </c>
      <c r="Q401" t="s">
        <v>735</v>
      </c>
      <c r="R401" t="s">
        <v>738</v>
      </c>
    </row>
    <row r="402" spans="1:18" x14ac:dyDescent="0.25">
      <c r="A402" s="9">
        <v>401</v>
      </c>
      <c r="B402" s="10">
        <v>45514</v>
      </c>
      <c r="C402" s="11" t="s">
        <v>108</v>
      </c>
      <c r="D402" s="11" t="s">
        <v>117</v>
      </c>
      <c r="E402" s="11" t="s">
        <v>79</v>
      </c>
      <c r="F402" s="11" t="s">
        <v>136</v>
      </c>
      <c r="G402" s="9">
        <v>14</v>
      </c>
      <c r="H402" s="26">
        <v>86100</v>
      </c>
      <c r="I402" s="9">
        <v>10</v>
      </c>
      <c r="J402" s="9">
        <f t="shared" si="12"/>
        <v>1205400</v>
      </c>
      <c r="K402" s="9">
        <f t="shared" si="13"/>
        <v>1084860</v>
      </c>
      <c r="L402" s="11" t="s">
        <v>187</v>
      </c>
      <c r="M402" s="11" t="s">
        <v>81</v>
      </c>
      <c r="N402">
        <v>8</v>
      </c>
      <c r="O402">
        <v>2024</v>
      </c>
      <c r="P402" s="29" t="s">
        <v>710</v>
      </c>
      <c r="Q402" t="s">
        <v>734</v>
      </c>
      <c r="R402" t="s">
        <v>737</v>
      </c>
    </row>
    <row r="403" spans="1:18" x14ac:dyDescent="0.25">
      <c r="A403" s="6">
        <v>402</v>
      </c>
      <c r="B403" s="7">
        <v>45266</v>
      </c>
      <c r="C403" s="8" t="s">
        <v>119</v>
      </c>
      <c r="D403" s="8" t="s">
        <v>73</v>
      </c>
      <c r="E403" s="8" t="s">
        <v>84</v>
      </c>
      <c r="F403" s="8" t="s">
        <v>148</v>
      </c>
      <c r="G403" s="6">
        <v>26</v>
      </c>
      <c r="H403" s="25">
        <v>5100</v>
      </c>
      <c r="I403" s="6">
        <v>5</v>
      </c>
      <c r="J403" s="6">
        <f t="shared" si="12"/>
        <v>132600</v>
      </c>
      <c r="K403" s="6">
        <f t="shared" si="13"/>
        <v>125970</v>
      </c>
      <c r="L403" s="8" t="s">
        <v>76</v>
      </c>
      <c r="M403" s="8" t="s">
        <v>91</v>
      </c>
      <c r="N403">
        <v>12</v>
      </c>
      <c r="O403">
        <v>2023</v>
      </c>
      <c r="P403" s="29" t="s">
        <v>725</v>
      </c>
      <c r="Q403" t="s">
        <v>733</v>
      </c>
      <c r="R403" t="s">
        <v>739</v>
      </c>
    </row>
    <row r="404" spans="1:18" x14ac:dyDescent="0.25">
      <c r="A404" s="9">
        <v>403</v>
      </c>
      <c r="B404" s="10">
        <v>45047</v>
      </c>
      <c r="C404" s="11" t="s">
        <v>78</v>
      </c>
      <c r="D404" s="11" t="s">
        <v>93</v>
      </c>
      <c r="E404" s="11" t="s">
        <v>84</v>
      </c>
      <c r="F404" s="11" t="s">
        <v>200</v>
      </c>
      <c r="G404" s="9">
        <v>21</v>
      </c>
      <c r="H404" s="26">
        <v>3600</v>
      </c>
      <c r="I404" s="9">
        <v>0</v>
      </c>
      <c r="J404" s="9">
        <f t="shared" si="12"/>
        <v>75600</v>
      </c>
      <c r="K404" s="9">
        <f t="shared" si="13"/>
        <v>75600</v>
      </c>
      <c r="L404" s="11" t="s">
        <v>187</v>
      </c>
      <c r="M404" s="11" t="s">
        <v>81</v>
      </c>
      <c r="N404">
        <v>5</v>
      </c>
      <c r="O404">
        <v>2023</v>
      </c>
      <c r="P404" s="29" t="s">
        <v>730</v>
      </c>
      <c r="Q404" t="s">
        <v>736</v>
      </c>
      <c r="R404" t="s">
        <v>739</v>
      </c>
    </row>
    <row r="405" spans="1:18" x14ac:dyDescent="0.25">
      <c r="A405" s="6">
        <v>404</v>
      </c>
      <c r="B405" s="7">
        <v>45619</v>
      </c>
      <c r="C405" s="8" t="s">
        <v>78</v>
      </c>
      <c r="D405" s="8" t="s">
        <v>109</v>
      </c>
      <c r="E405" s="8" t="s">
        <v>84</v>
      </c>
      <c r="F405" s="8" t="s">
        <v>200</v>
      </c>
      <c r="G405" s="6">
        <v>7</v>
      </c>
      <c r="H405" s="25">
        <v>3100</v>
      </c>
      <c r="I405" s="6">
        <v>0</v>
      </c>
      <c r="J405" s="6">
        <f t="shared" si="12"/>
        <v>21700</v>
      </c>
      <c r="K405" s="6">
        <f t="shared" si="13"/>
        <v>21700</v>
      </c>
      <c r="L405" s="8" t="s">
        <v>76</v>
      </c>
      <c r="M405" s="8" t="s">
        <v>96</v>
      </c>
      <c r="N405">
        <v>11</v>
      </c>
      <c r="O405">
        <v>2024</v>
      </c>
      <c r="P405" s="29" t="s">
        <v>714</v>
      </c>
      <c r="Q405" t="s">
        <v>733</v>
      </c>
      <c r="R405" t="s">
        <v>738</v>
      </c>
    </row>
    <row r="406" spans="1:18" x14ac:dyDescent="0.25">
      <c r="A406" s="9">
        <v>405</v>
      </c>
      <c r="B406" s="10">
        <v>45141</v>
      </c>
      <c r="C406" s="11" t="s">
        <v>78</v>
      </c>
      <c r="D406" s="11" t="s">
        <v>117</v>
      </c>
      <c r="E406" s="11" t="s">
        <v>74</v>
      </c>
      <c r="F406" s="11" t="s">
        <v>99</v>
      </c>
      <c r="G406" s="9">
        <v>39</v>
      </c>
      <c r="H406" s="26">
        <v>3800</v>
      </c>
      <c r="I406" s="9">
        <v>15</v>
      </c>
      <c r="J406" s="9">
        <f t="shared" si="12"/>
        <v>148200</v>
      </c>
      <c r="K406" s="9">
        <f t="shared" si="13"/>
        <v>125970</v>
      </c>
      <c r="L406" s="11" t="s">
        <v>76</v>
      </c>
      <c r="M406" s="11" t="s">
        <v>91</v>
      </c>
      <c r="N406">
        <v>8</v>
      </c>
      <c r="O406">
        <v>2023</v>
      </c>
      <c r="P406" s="29" t="s">
        <v>713</v>
      </c>
      <c r="Q406" t="s">
        <v>734</v>
      </c>
      <c r="R406" t="s">
        <v>739</v>
      </c>
    </row>
    <row r="407" spans="1:18" x14ac:dyDescent="0.25">
      <c r="A407" s="6">
        <v>406</v>
      </c>
      <c r="B407" s="7">
        <v>45064</v>
      </c>
      <c r="C407" s="8" t="s">
        <v>88</v>
      </c>
      <c r="D407" s="8" t="s">
        <v>83</v>
      </c>
      <c r="E407" s="8" t="s">
        <v>74</v>
      </c>
      <c r="F407" s="8" t="s">
        <v>75</v>
      </c>
      <c r="G407" s="12">
        <v>26</v>
      </c>
      <c r="H407" s="25">
        <v>20700</v>
      </c>
      <c r="I407" s="6">
        <v>15</v>
      </c>
      <c r="J407" s="6">
        <f t="shared" si="12"/>
        <v>538200</v>
      </c>
      <c r="K407" s="6">
        <f t="shared" si="13"/>
        <v>457470</v>
      </c>
      <c r="L407" s="8" t="s">
        <v>76</v>
      </c>
      <c r="M407" s="8" t="s">
        <v>81</v>
      </c>
      <c r="N407">
        <v>5</v>
      </c>
      <c r="O407">
        <v>2023</v>
      </c>
      <c r="P407" s="29" t="s">
        <v>730</v>
      </c>
      <c r="Q407" t="s">
        <v>736</v>
      </c>
      <c r="R407" t="s">
        <v>737</v>
      </c>
    </row>
    <row r="408" spans="1:18" x14ac:dyDescent="0.25">
      <c r="A408" s="9">
        <v>407</v>
      </c>
      <c r="B408" s="10">
        <v>45061</v>
      </c>
      <c r="C408" s="11" t="s">
        <v>106</v>
      </c>
      <c r="D408" s="11" t="s">
        <v>73</v>
      </c>
      <c r="E408" s="11" t="s">
        <v>102</v>
      </c>
      <c r="F408" s="11" t="s">
        <v>103</v>
      </c>
      <c r="G408" s="9">
        <v>46</v>
      </c>
      <c r="H408" s="26">
        <v>9100</v>
      </c>
      <c r="I408" s="9">
        <v>5</v>
      </c>
      <c r="J408" s="9">
        <f t="shared" si="12"/>
        <v>418600</v>
      </c>
      <c r="K408" s="9">
        <f t="shared" si="13"/>
        <v>397670</v>
      </c>
      <c r="L408" s="11" t="s">
        <v>187</v>
      </c>
      <c r="M408" s="11" t="s">
        <v>77</v>
      </c>
      <c r="N408">
        <v>5</v>
      </c>
      <c r="O408">
        <v>2023</v>
      </c>
      <c r="P408" s="29" t="s">
        <v>730</v>
      </c>
      <c r="Q408" t="s">
        <v>736</v>
      </c>
      <c r="R408" t="s">
        <v>737</v>
      </c>
    </row>
    <row r="409" spans="1:18" x14ac:dyDescent="0.25">
      <c r="A409" s="6">
        <v>408</v>
      </c>
      <c r="B409" s="7">
        <v>45582</v>
      </c>
      <c r="C409" s="8" t="s">
        <v>101</v>
      </c>
      <c r="D409" s="8" t="s">
        <v>93</v>
      </c>
      <c r="E409" s="8" t="s">
        <v>102</v>
      </c>
      <c r="F409" s="8" t="s">
        <v>138</v>
      </c>
      <c r="G409" s="6">
        <v>4</v>
      </c>
      <c r="H409" s="25">
        <v>6800</v>
      </c>
      <c r="I409" s="6">
        <v>0</v>
      </c>
      <c r="J409" s="6">
        <f t="shared" si="12"/>
        <v>27200</v>
      </c>
      <c r="K409" s="6">
        <f t="shared" si="13"/>
        <v>27200</v>
      </c>
      <c r="L409" s="8" t="s">
        <v>187</v>
      </c>
      <c r="M409" s="8" t="s">
        <v>77</v>
      </c>
      <c r="N409">
        <v>10</v>
      </c>
      <c r="O409">
        <v>2024</v>
      </c>
      <c r="P409" s="29" t="s">
        <v>709</v>
      </c>
      <c r="Q409" t="s">
        <v>733</v>
      </c>
      <c r="R409" t="s">
        <v>738</v>
      </c>
    </row>
    <row r="410" spans="1:18" x14ac:dyDescent="0.25">
      <c r="A410" s="9">
        <v>409</v>
      </c>
      <c r="B410" s="10">
        <v>45485</v>
      </c>
      <c r="C410" s="11" t="s">
        <v>97</v>
      </c>
      <c r="D410" s="11" t="s">
        <v>83</v>
      </c>
      <c r="E410" s="11" t="s">
        <v>111</v>
      </c>
      <c r="F410" s="11" t="s">
        <v>165</v>
      </c>
      <c r="G410" s="9">
        <v>17</v>
      </c>
      <c r="H410" s="26">
        <v>16800</v>
      </c>
      <c r="I410" s="9">
        <v>0</v>
      </c>
      <c r="J410" s="9">
        <f t="shared" si="12"/>
        <v>285600</v>
      </c>
      <c r="K410" s="9">
        <f t="shared" si="13"/>
        <v>285600</v>
      </c>
      <c r="L410" s="11" t="s">
        <v>76</v>
      </c>
      <c r="M410" s="31" t="s">
        <v>695</v>
      </c>
      <c r="N410">
        <v>7</v>
      </c>
      <c r="O410">
        <v>2024</v>
      </c>
      <c r="P410" s="29" t="s">
        <v>712</v>
      </c>
      <c r="Q410" t="s">
        <v>734</v>
      </c>
      <c r="R410" t="s">
        <v>737</v>
      </c>
    </row>
    <row r="411" spans="1:18" x14ac:dyDescent="0.25">
      <c r="A411" s="6">
        <v>410</v>
      </c>
      <c r="B411" s="7">
        <v>45638</v>
      </c>
      <c r="C411" s="8" t="s">
        <v>78</v>
      </c>
      <c r="D411" s="8" t="s">
        <v>117</v>
      </c>
      <c r="E411" s="8" t="s">
        <v>111</v>
      </c>
      <c r="F411" s="8" t="s">
        <v>112</v>
      </c>
      <c r="G411" s="6">
        <v>18</v>
      </c>
      <c r="H411" s="25">
        <v>69300</v>
      </c>
      <c r="I411" s="6">
        <v>5</v>
      </c>
      <c r="J411" s="6">
        <f t="shared" si="12"/>
        <v>1247400</v>
      </c>
      <c r="K411" s="6">
        <f t="shared" si="13"/>
        <v>1185030</v>
      </c>
      <c r="L411" s="8" t="s">
        <v>76</v>
      </c>
      <c r="M411" s="8" t="s">
        <v>81</v>
      </c>
      <c r="N411">
        <v>12</v>
      </c>
      <c r="O411">
        <v>2024</v>
      </c>
      <c r="P411" s="29" t="s">
        <v>728</v>
      </c>
      <c r="Q411" t="s">
        <v>733</v>
      </c>
      <c r="R411" t="s">
        <v>737</v>
      </c>
    </row>
    <row r="412" spans="1:18" x14ac:dyDescent="0.25">
      <c r="A412" s="9">
        <v>411</v>
      </c>
      <c r="B412" s="10">
        <v>45034</v>
      </c>
      <c r="C412" s="11" t="s">
        <v>82</v>
      </c>
      <c r="D412" s="11" t="s">
        <v>93</v>
      </c>
      <c r="E412" s="11" t="s">
        <v>79</v>
      </c>
      <c r="F412" s="11" t="s">
        <v>179</v>
      </c>
      <c r="G412" s="9">
        <v>7</v>
      </c>
      <c r="H412" s="26">
        <v>2300</v>
      </c>
      <c r="I412" s="9">
        <v>20</v>
      </c>
      <c r="J412" s="9">
        <f t="shared" si="12"/>
        <v>16100</v>
      </c>
      <c r="K412" s="9">
        <f t="shared" si="13"/>
        <v>12880</v>
      </c>
      <c r="L412" s="11" t="s">
        <v>76</v>
      </c>
      <c r="M412" s="11" t="s">
        <v>81</v>
      </c>
      <c r="N412">
        <v>4</v>
      </c>
      <c r="O412">
        <v>2023</v>
      </c>
      <c r="P412" s="29" t="s">
        <v>716</v>
      </c>
      <c r="Q412" t="s">
        <v>736</v>
      </c>
      <c r="R412" t="s">
        <v>738</v>
      </c>
    </row>
    <row r="413" spans="1:18" x14ac:dyDescent="0.25">
      <c r="A413" s="6">
        <v>412</v>
      </c>
      <c r="B413" s="7">
        <v>45196</v>
      </c>
      <c r="C413" s="8" t="s">
        <v>82</v>
      </c>
      <c r="D413" s="8" t="s">
        <v>109</v>
      </c>
      <c r="E413" s="8" t="s">
        <v>74</v>
      </c>
      <c r="F413" s="8" t="s">
        <v>140</v>
      </c>
      <c r="G413" s="6">
        <v>3</v>
      </c>
      <c r="H413" s="25">
        <v>4400</v>
      </c>
      <c r="I413" s="6">
        <v>15</v>
      </c>
      <c r="J413" s="6">
        <f t="shared" si="12"/>
        <v>13200</v>
      </c>
      <c r="K413" s="6">
        <f t="shared" si="13"/>
        <v>11220</v>
      </c>
      <c r="L413" s="8" t="s">
        <v>76</v>
      </c>
      <c r="M413" s="8" t="s">
        <v>81</v>
      </c>
      <c r="N413">
        <v>9</v>
      </c>
      <c r="O413">
        <v>2023</v>
      </c>
      <c r="P413" s="29" t="s">
        <v>715</v>
      </c>
      <c r="Q413" t="s">
        <v>734</v>
      </c>
      <c r="R413" t="s">
        <v>738</v>
      </c>
    </row>
    <row r="414" spans="1:18" x14ac:dyDescent="0.25">
      <c r="A414" s="9">
        <v>413</v>
      </c>
      <c r="B414" s="10">
        <v>45478</v>
      </c>
      <c r="C414" s="11" t="s">
        <v>88</v>
      </c>
      <c r="D414" s="11" t="s">
        <v>109</v>
      </c>
      <c r="E414" s="11" t="s">
        <v>79</v>
      </c>
      <c r="F414" s="11" t="s">
        <v>136</v>
      </c>
      <c r="G414" s="9">
        <v>8</v>
      </c>
      <c r="H414" s="26">
        <v>90800</v>
      </c>
      <c r="I414" s="9">
        <v>0</v>
      </c>
      <c r="J414" s="9">
        <f t="shared" si="12"/>
        <v>726400</v>
      </c>
      <c r="K414" s="9">
        <f t="shared" si="13"/>
        <v>726400</v>
      </c>
      <c r="L414" s="11" t="s">
        <v>187</v>
      </c>
      <c r="M414" s="11" t="s">
        <v>91</v>
      </c>
      <c r="N414">
        <v>7</v>
      </c>
      <c r="O414">
        <v>2024</v>
      </c>
      <c r="P414" s="29" t="s">
        <v>712</v>
      </c>
      <c r="Q414" t="s">
        <v>734</v>
      </c>
      <c r="R414" t="s">
        <v>737</v>
      </c>
    </row>
    <row r="415" spans="1:18" x14ac:dyDescent="0.25">
      <c r="A415" s="9">
        <v>414</v>
      </c>
      <c r="B415" s="10">
        <v>44989</v>
      </c>
      <c r="C415" s="11" t="s">
        <v>82</v>
      </c>
      <c r="D415" s="11" t="s">
        <v>73</v>
      </c>
      <c r="E415" s="11" t="s">
        <v>79</v>
      </c>
      <c r="F415" s="11" t="s">
        <v>179</v>
      </c>
      <c r="G415" s="9">
        <v>30</v>
      </c>
      <c r="H415" s="26">
        <v>2700</v>
      </c>
      <c r="I415" s="9">
        <v>0</v>
      </c>
      <c r="J415" s="9">
        <f t="shared" si="12"/>
        <v>81000</v>
      </c>
      <c r="K415" s="9">
        <f t="shared" si="13"/>
        <v>81000</v>
      </c>
      <c r="L415" s="11" t="s">
        <v>123</v>
      </c>
      <c r="M415" s="11" t="s">
        <v>96</v>
      </c>
      <c r="N415">
        <v>3</v>
      </c>
      <c r="O415">
        <v>2023</v>
      </c>
      <c r="P415" s="29" t="s">
        <v>719</v>
      </c>
      <c r="Q415" t="s">
        <v>735</v>
      </c>
      <c r="R415" t="s">
        <v>739</v>
      </c>
    </row>
    <row r="416" spans="1:18" x14ac:dyDescent="0.25">
      <c r="A416" s="6">
        <v>415</v>
      </c>
      <c r="B416" s="7">
        <v>45402</v>
      </c>
      <c r="C416" s="8" t="s">
        <v>78</v>
      </c>
      <c r="D416" s="8" t="s">
        <v>73</v>
      </c>
      <c r="E416" s="8" t="s">
        <v>84</v>
      </c>
      <c r="F416" s="8" t="s">
        <v>206</v>
      </c>
      <c r="G416" s="6">
        <v>24</v>
      </c>
      <c r="H416" s="25">
        <v>15600</v>
      </c>
      <c r="I416" s="6">
        <v>5</v>
      </c>
      <c r="J416" s="6">
        <f t="shared" si="12"/>
        <v>374400</v>
      </c>
      <c r="K416" s="6">
        <f t="shared" si="13"/>
        <v>355680</v>
      </c>
      <c r="L416" s="8" t="s">
        <v>187</v>
      </c>
      <c r="M416" s="8" t="s">
        <v>96</v>
      </c>
      <c r="N416">
        <v>4</v>
      </c>
      <c r="O416">
        <v>2024</v>
      </c>
      <c r="P416" s="29" t="s">
        <v>722</v>
      </c>
      <c r="Q416" t="s">
        <v>736</v>
      </c>
      <c r="R416" t="s">
        <v>737</v>
      </c>
    </row>
    <row r="417" spans="1:18" x14ac:dyDescent="0.25">
      <c r="A417" s="9">
        <v>416</v>
      </c>
      <c r="B417" s="10">
        <v>45045</v>
      </c>
      <c r="C417" s="11" t="s">
        <v>97</v>
      </c>
      <c r="D417" s="11" t="s">
        <v>73</v>
      </c>
      <c r="E417" s="11" t="s">
        <v>79</v>
      </c>
      <c r="F417" s="11" t="s">
        <v>122</v>
      </c>
      <c r="G417" s="9">
        <v>11</v>
      </c>
      <c r="H417" s="26">
        <v>19200</v>
      </c>
      <c r="I417" s="9">
        <v>10</v>
      </c>
      <c r="J417" s="9">
        <f t="shared" si="12"/>
        <v>211200</v>
      </c>
      <c r="K417" s="9">
        <f t="shared" si="13"/>
        <v>190080</v>
      </c>
      <c r="L417" s="11" t="s">
        <v>76</v>
      </c>
      <c r="M417" s="11" t="s">
        <v>91</v>
      </c>
      <c r="N417">
        <v>4</v>
      </c>
      <c r="O417">
        <v>2023</v>
      </c>
      <c r="P417" s="29" t="s">
        <v>716</v>
      </c>
      <c r="Q417" t="s">
        <v>736</v>
      </c>
      <c r="R417" t="s">
        <v>739</v>
      </c>
    </row>
    <row r="418" spans="1:18" x14ac:dyDescent="0.25">
      <c r="A418" s="6">
        <v>417</v>
      </c>
      <c r="B418" s="7">
        <v>45201</v>
      </c>
      <c r="C418" s="8" t="s">
        <v>97</v>
      </c>
      <c r="D418" s="8" t="s">
        <v>117</v>
      </c>
      <c r="E418" s="8" t="s">
        <v>74</v>
      </c>
      <c r="F418" s="8" t="s">
        <v>142</v>
      </c>
      <c r="G418" s="6">
        <v>26</v>
      </c>
      <c r="H418" s="25">
        <v>11100</v>
      </c>
      <c r="I418" s="6">
        <v>20</v>
      </c>
      <c r="J418" s="6">
        <f t="shared" si="12"/>
        <v>288600</v>
      </c>
      <c r="K418" s="6">
        <f t="shared" si="13"/>
        <v>230880</v>
      </c>
      <c r="L418" s="8" t="s">
        <v>123</v>
      </c>
      <c r="M418" s="8" t="s">
        <v>96</v>
      </c>
      <c r="N418">
        <v>10</v>
      </c>
      <c r="O418">
        <v>2023</v>
      </c>
      <c r="P418" s="29" t="s">
        <v>726</v>
      </c>
      <c r="Q418" t="s">
        <v>733</v>
      </c>
      <c r="R418" t="s">
        <v>737</v>
      </c>
    </row>
    <row r="419" spans="1:18" x14ac:dyDescent="0.25">
      <c r="A419" s="9">
        <v>418</v>
      </c>
      <c r="B419" s="10">
        <v>45321</v>
      </c>
      <c r="C419" s="11" t="s">
        <v>119</v>
      </c>
      <c r="D419" s="11" t="s">
        <v>83</v>
      </c>
      <c r="E419" s="11" t="s">
        <v>84</v>
      </c>
      <c r="F419" s="11" t="s">
        <v>150</v>
      </c>
      <c r="G419" s="9">
        <v>47</v>
      </c>
      <c r="H419" s="26">
        <v>5100</v>
      </c>
      <c r="I419" s="9">
        <v>0</v>
      </c>
      <c r="J419" s="9">
        <f t="shared" si="12"/>
        <v>239700</v>
      </c>
      <c r="K419" s="9">
        <f t="shared" si="13"/>
        <v>239700</v>
      </c>
      <c r="L419" s="11" t="s">
        <v>76</v>
      </c>
      <c r="M419" s="11" t="s">
        <v>81</v>
      </c>
      <c r="N419">
        <v>1</v>
      </c>
      <c r="O419">
        <v>2024</v>
      </c>
      <c r="P419" s="29" t="s">
        <v>727</v>
      </c>
      <c r="Q419" t="s">
        <v>735</v>
      </c>
      <c r="R419" t="s">
        <v>737</v>
      </c>
    </row>
    <row r="420" spans="1:18" x14ac:dyDescent="0.25">
      <c r="A420" s="6">
        <v>419</v>
      </c>
      <c r="B420" s="7">
        <v>45353</v>
      </c>
      <c r="C420" s="8" t="s">
        <v>124</v>
      </c>
      <c r="D420" s="8" t="s">
        <v>83</v>
      </c>
      <c r="E420" s="8" t="s">
        <v>102</v>
      </c>
      <c r="F420" s="8" t="s">
        <v>197</v>
      </c>
      <c r="G420" s="6">
        <v>25</v>
      </c>
      <c r="H420" s="25">
        <v>3600</v>
      </c>
      <c r="I420" s="6">
        <v>20</v>
      </c>
      <c r="J420" s="6">
        <f t="shared" si="12"/>
        <v>90000</v>
      </c>
      <c r="K420" s="6">
        <f t="shared" si="13"/>
        <v>72000</v>
      </c>
      <c r="L420" s="8" t="s">
        <v>187</v>
      </c>
      <c r="M420" s="8" t="s">
        <v>77</v>
      </c>
      <c r="N420">
        <v>3</v>
      </c>
      <c r="O420">
        <v>2024</v>
      </c>
      <c r="P420" s="29" t="s">
        <v>711</v>
      </c>
      <c r="Q420" t="s">
        <v>735</v>
      </c>
      <c r="R420" t="s">
        <v>739</v>
      </c>
    </row>
    <row r="421" spans="1:18" x14ac:dyDescent="0.25">
      <c r="A421" s="9">
        <v>420</v>
      </c>
      <c r="B421" s="10">
        <v>45303</v>
      </c>
      <c r="C421" s="11" t="s">
        <v>108</v>
      </c>
      <c r="D421" s="11" t="s">
        <v>83</v>
      </c>
      <c r="E421" s="11" t="s">
        <v>111</v>
      </c>
      <c r="F421" s="11" t="s">
        <v>112</v>
      </c>
      <c r="G421" s="9">
        <v>29</v>
      </c>
      <c r="H421" s="26">
        <v>72900</v>
      </c>
      <c r="I421" s="9">
        <v>15</v>
      </c>
      <c r="J421" s="9">
        <f t="shared" si="12"/>
        <v>2114100</v>
      </c>
      <c r="K421" s="9">
        <f t="shared" si="13"/>
        <v>1796985</v>
      </c>
      <c r="L421" s="11" t="s">
        <v>76</v>
      </c>
      <c r="M421" s="11" t="s">
        <v>96</v>
      </c>
      <c r="N421">
        <v>1</v>
      </c>
      <c r="O421">
        <v>2024</v>
      </c>
      <c r="P421" s="29" t="s">
        <v>727</v>
      </c>
      <c r="Q421" t="s">
        <v>735</v>
      </c>
      <c r="R421" t="s">
        <v>737</v>
      </c>
    </row>
    <row r="422" spans="1:18" x14ac:dyDescent="0.25">
      <c r="A422" s="6">
        <v>421</v>
      </c>
      <c r="B422" s="7">
        <v>45248</v>
      </c>
      <c r="C422" s="8" t="s">
        <v>78</v>
      </c>
      <c r="D422" s="8" t="s">
        <v>93</v>
      </c>
      <c r="E422" s="8" t="s">
        <v>102</v>
      </c>
      <c r="F422" s="8" t="s">
        <v>181</v>
      </c>
      <c r="G422" s="6">
        <v>43</v>
      </c>
      <c r="H422" s="25">
        <v>5200</v>
      </c>
      <c r="I422" s="6">
        <v>5</v>
      </c>
      <c r="J422" s="6">
        <f t="shared" si="12"/>
        <v>223600</v>
      </c>
      <c r="K422" s="6">
        <f t="shared" si="13"/>
        <v>212420</v>
      </c>
      <c r="L422" s="8" t="s">
        <v>107</v>
      </c>
      <c r="M422" s="8" t="s">
        <v>77</v>
      </c>
      <c r="N422">
        <v>11</v>
      </c>
      <c r="O422">
        <v>2023</v>
      </c>
      <c r="P422" s="29" t="s">
        <v>718</v>
      </c>
      <c r="Q422" t="s">
        <v>733</v>
      </c>
      <c r="R422" t="s">
        <v>737</v>
      </c>
    </row>
    <row r="423" spans="1:18" x14ac:dyDescent="0.25">
      <c r="A423" s="9">
        <v>422</v>
      </c>
      <c r="B423" s="10">
        <v>45515</v>
      </c>
      <c r="C423" s="11" t="s">
        <v>106</v>
      </c>
      <c r="D423" s="11" t="s">
        <v>83</v>
      </c>
      <c r="E423" s="11" t="s">
        <v>74</v>
      </c>
      <c r="F423" s="11" t="s">
        <v>140</v>
      </c>
      <c r="G423" s="9">
        <v>36</v>
      </c>
      <c r="H423" s="26">
        <v>4200</v>
      </c>
      <c r="I423" s="9">
        <v>0</v>
      </c>
      <c r="J423" s="9">
        <f t="shared" si="12"/>
        <v>151200</v>
      </c>
      <c r="K423" s="9">
        <f t="shared" si="13"/>
        <v>151200</v>
      </c>
      <c r="L423" s="11" t="s">
        <v>107</v>
      </c>
      <c r="M423" s="11" t="s">
        <v>77</v>
      </c>
      <c r="N423">
        <v>8</v>
      </c>
      <c r="O423">
        <v>2024</v>
      </c>
      <c r="P423" s="29" t="s">
        <v>710</v>
      </c>
      <c r="Q423" t="s">
        <v>734</v>
      </c>
      <c r="R423" t="s">
        <v>739</v>
      </c>
    </row>
    <row r="424" spans="1:18" x14ac:dyDescent="0.25">
      <c r="A424" s="6">
        <v>423</v>
      </c>
      <c r="B424" s="7">
        <v>45585</v>
      </c>
      <c r="C424" s="8" t="s">
        <v>108</v>
      </c>
      <c r="D424" s="8" t="s">
        <v>93</v>
      </c>
      <c r="E424" s="8" t="s">
        <v>111</v>
      </c>
      <c r="F424" s="8" t="s">
        <v>159</v>
      </c>
      <c r="G424" s="6">
        <v>5</v>
      </c>
      <c r="H424" s="25">
        <v>13400</v>
      </c>
      <c r="I424" s="6">
        <v>0</v>
      </c>
      <c r="J424" s="6">
        <f t="shared" si="12"/>
        <v>67000</v>
      </c>
      <c r="K424" s="6">
        <f t="shared" si="13"/>
        <v>67000</v>
      </c>
      <c r="L424" s="8" t="s">
        <v>187</v>
      </c>
      <c r="M424" s="8" t="s">
        <v>96</v>
      </c>
      <c r="N424">
        <v>10</v>
      </c>
      <c r="O424">
        <v>2024</v>
      </c>
      <c r="P424" s="29" t="s">
        <v>709</v>
      </c>
      <c r="Q424" t="s">
        <v>733</v>
      </c>
      <c r="R424" t="s">
        <v>739</v>
      </c>
    </row>
    <row r="425" spans="1:18" x14ac:dyDescent="0.25">
      <c r="A425" s="9">
        <v>424</v>
      </c>
      <c r="B425" s="10">
        <v>45058</v>
      </c>
      <c r="C425" s="11" t="s">
        <v>101</v>
      </c>
      <c r="D425" s="11" t="s">
        <v>73</v>
      </c>
      <c r="E425" s="11" t="s">
        <v>102</v>
      </c>
      <c r="F425" s="11" t="s">
        <v>181</v>
      </c>
      <c r="G425" s="9">
        <v>25</v>
      </c>
      <c r="H425" s="26">
        <v>4700</v>
      </c>
      <c r="I425" s="9">
        <v>0</v>
      </c>
      <c r="J425" s="9">
        <f t="shared" si="12"/>
        <v>117500</v>
      </c>
      <c r="K425" s="9">
        <f t="shared" si="13"/>
        <v>117500</v>
      </c>
      <c r="L425" s="11" t="s">
        <v>76</v>
      </c>
      <c r="M425" s="11" t="s">
        <v>81</v>
      </c>
      <c r="N425">
        <v>5</v>
      </c>
      <c r="O425">
        <v>2023</v>
      </c>
      <c r="P425" s="29" t="s">
        <v>730</v>
      </c>
      <c r="Q425" t="s">
        <v>736</v>
      </c>
      <c r="R425" t="s">
        <v>739</v>
      </c>
    </row>
    <row r="426" spans="1:18" x14ac:dyDescent="0.25">
      <c r="A426" s="6">
        <v>425</v>
      </c>
      <c r="B426" s="7">
        <v>45397</v>
      </c>
      <c r="C426" s="8" t="s">
        <v>119</v>
      </c>
      <c r="D426" s="30" t="s">
        <v>703</v>
      </c>
      <c r="E426" s="8" t="s">
        <v>111</v>
      </c>
      <c r="F426" s="8" t="s">
        <v>112</v>
      </c>
      <c r="G426" s="6">
        <v>29</v>
      </c>
      <c r="H426" s="25">
        <v>72400</v>
      </c>
      <c r="I426" s="6">
        <v>15</v>
      </c>
      <c r="J426" s="6">
        <f t="shared" si="12"/>
        <v>2099600</v>
      </c>
      <c r="K426" s="6">
        <f t="shared" si="13"/>
        <v>1784660</v>
      </c>
      <c r="L426" s="8" t="s">
        <v>76</v>
      </c>
      <c r="M426" s="8" t="s">
        <v>91</v>
      </c>
      <c r="N426">
        <v>4</v>
      </c>
      <c r="O426">
        <v>2024</v>
      </c>
      <c r="P426" s="29" t="s">
        <v>722</v>
      </c>
      <c r="Q426" t="s">
        <v>736</v>
      </c>
      <c r="R426" t="s">
        <v>737</v>
      </c>
    </row>
    <row r="427" spans="1:18" x14ac:dyDescent="0.25">
      <c r="A427" s="9">
        <v>426</v>
      </c>
      <c r="B427" s="10">
        <v>45596</v>
      </c>
      <c r="C427" s="11" t="s">
        <v>78</v>
      </c>
      <c r="D427" s="11" t="s">
        <v>73</v>
      </c>
      <c r="E427" s="11" t="s">
        <v>111</v>
      </c>
      <c r="F427" s="11" t="s">
        <v>165</v>
      </c>
      <c r="G427" s="9">
        <v>36</v>
      </c>
      <c r="H427" s="26">
        <v>16400</v>
      </c>
      <c r="I427" s="9">
        <v>20</v>
      </c>
      <c r="J427" s="9">
        <f t="shared" si="12"/>
        <v>590400</v>
      </c>
      <c r="K427" s="9">
        <f t="shared" si="13"/>
        <v>472320</v>
      </c>
      <c r="L427" s="11" t="s">
        <v>76</v>
      </c>
      <c r="M427" s="11" t="s">
        <v>77</v>
      </c>
      <c r="N427">
        <v>10</v>
      </c>
      <c r="O427">
        <v>2024</v>
      </c>
      <c r="P427" s="29" t="s">
        <v>709</v>
      </c>
      <c r="Q427" t="s">
        <v>733</v>
      </c>
      <c r="R427" t="s">
        <v>737</v>
      </c>
    </row>
    <row r="428" spans="1:18" x14ac:dyDescent="0.25">
      <c r="A428" s="6">
        <v>427</v>
      </c>
      <c r="B428" s="7">
        <v>45574</v>
      </c>
      <c r="C428" s="8" t="s">
        <v>124</v>
      </c>
      <c r="D428" s="8" t="s">
        <v>117</v>
      </c>
      <c r="E428" s="8" t="s">
        <v>102</v>
      </c>
      <c r="F428" s="8" t="s">
        <v>181</v>
      </c>
      <c r="G428" s="6">
        <v>30</v>
      </c>
      <c r="H428" s="25">
        <v>4800</v>
      </c>
      <c r="I428" s="6">
        <v>20</v>
      </c>
      <c r="J428" s="6">
        <f t="shared" si="12"/>
        <v>144000</v>
      </c>
      <c r="K428" s="6">
        <f t="shared" si="13"/>
        <v>115200</v>
      </c>
      <c r="L428" s="8" t="s">
        <v>123</v>
      </c>
      <c r="M428" s="8" t="s">
        <v>96</v>
      </c>
      <c r="N428">
        <v>10</v>
      </c>
      <c r="O428">
        <v>2024</v>
      </c>
      <c r="P428" s="29" t="s">
        <v>709</v>
      </c>
      <c r="Q428" t="s">
        <v>733</v>
      </c>
      <c r="R428" t="s">
        <v>739</v>
      </c>
    </row>
    <row r="429" spans="1:18" x14ac:dyDescent="0.25">
      <c r="A429" s="9">
        <v>428</v>
      </c>
      <c r="B429" s="10">
        <v>44982</v>
      </c>
      <c r="C429" s="11" t="s">
        <v>106</v>
      </c>
      <c r="D429" s="30" t="s">
        <v>703</v>
      </c>
      <c r="E429" s="11" t="s">
        <v>74</v>
      </c>
      <c r="F429" s="11" t="s">
        <v>99</v>
      </c>
      <c r="G429" s="9">
        <v>24</v>
      </c>
      <c r="H429" s="26">
        <v>3800</v>
      </c>
      <c r="I429" s="9">
        <v>0</v>
      </c>
      <c r="J429" s="9">
        <f t="shared" si="12"/>
        <v>91200</v>
      </c>
      <c r="K429" s="9">
        <f t="shared" si="13"/>
        <v>91200</v>
      </c>
      <c r="L429" s="11" t="s">
        <v>187</v>
      </c>
      <c r="M429" s="11" t="s">
        <v>77</v>
      </c>
      <c r="N429">
        <v>2</v>
      </c>
      <c r="O429">
        <v>2023</v>
      </c>
      <c r="P429" s="29" t="s">
        <v>717</v>
      </c>
      <c r="Q429" t="s">
        <v>735</v>
      </c>
      <c r="R429" t="s">
        <v>739</v>
      </c>
    </row>
    <row r="430" spans="1:18" x14ac:dyDescent="0.25">
      <c r="A430" s="6">
        <v>429</v>
      </c>
      <c r="B430" s="7">
        <v>45423</v>
      </c>
      <c r="C430" s="8" t="s">
        <v>106</v>
      </c>
      <c r="D430" s="8" t="s">
        <v>73</v>
      </c>
      <c r="E430" s="8" t="s">
        <v>74</v>
      </c>
      <c r="F430" s="8" t="s">
        <v>212</v>
      </c>
      <c r="G430" s="6">
        <v>19</v>
      </c>
      <c r="H430" s="25">
        <v>8900</v>
      </c>
      <c r="I430" s="6">
        <v>15</v>
      </c>
      <c r="J430" s="6">
        <f t="shared" si="12"/>
        <v>169100</v>
      </c>
      <c r="K430" s="6">
        <f t="shared" si="13"/>
        <v>143735</v>
      </c>
      <c r="L430" s="8" t="s">
        <v>76</v>
      </c>
      <c r="M430" s="8" t="s">
        <v>96</v>
      </c>
      <c r="N430">
        <v>5</v>
      </c>
      <c r="O430">
        <v>2024</v>
      </c>
      <c r="P430" s="29" t="s">
        <v>732</v>
      </c>
      <c r="Q430" t="s">
        <v>736</v>
      </c>
      <c r="R430" t="s">
        <v>739</v>
      </c>
    </row>
    <row r="431" spans="1:18" x14ac:dyDescent="0.25">
      <c r="A431" s="9">
        <v>430</v>
      </c>
      <c r="B431" s="10">
        <v>45035</v>
      </c>
      <c r="C431" s="11" t="s">
        <v>78</v>
      </c>
      <c r="D431" s="11" t="s">
        <v>109</v>
      </c>
      <c r="E431" s="11" t="s">
        <v>111</v>
      </c>
      <c r="F431" s="11" t="s">
        <v>166</v>
      </c>
      <c r="G431" s="9">
        <v>48</v>
      </c>
      <c r="H431" s="26">
        <v>31000</v>
      </c>
      <c r="I431" s="9">
        <v>0</v>
      </c>
      <c r="J431" s="9">
        <f t="shared" si="12"/>
        <v>1488000</v>
      </c>
      <c r="K431" s="9">
        <f t="shared" si="13"/>
        <v>1488000</v>
      </c>
      <c r="L431" s="11" t="s">
        <v>187</v>
      </c>
      <c r="M431" s="11" t="s">
        <v>77</v>
      </c>
      <c r="N431">
        <v>4</v>
      </c>
      <c r="O431">
        <v>2023</v>
      </c>
      <c r="P431" s="29" t="s">
        <v>716</v>
      </c>
      <c r="Q431" t="s">
        <v>736</v>
      </c>
      <c r="R431" t="s">
        <v>737</v>
      </c>
    </row>
    <row r="432" spans="1:18" x14ac:dyDescent="0.25">
      <c r="A432" s="6">
        <v>431</v>
      </c>
      <c r="B432" s="7">
        <v>45552</v>
      </c>
      <c r="C432" s="8" t="s">
        <v>106</v>
      </c>
      <c r="D432" s="8" t="s">
        <v>109</v>
      </c>
      <c r="E432" s="8" t="s">
        <v>79</v>
      </c>
      <c r="F432" s="8" t="s">
        <v>115</v>
      </c>
      <c r="G432" s="6">
        <v>13</v>
      </c>
      <c r="H432" s="25">
        <v>8600</v>
      </c>
      <c r="I432" s="6">
        <v>20</v>
      </c>
      <c r="J432" s="6">
        <f t="shared" si="12"/>
        <v>111800</v>
      </c>
      <c r="K432" s="6">
        <f t="shared" si="13"/>
        <v>89440</v>
      </c>
      <c r="L432" s="8" t="s">
        <v>187</v>
      </c>
      <c r="M432" s="8" t="s">
        <v>77</v>
      </c>
      <c r="N432">
        <v>9</v>
      </c>
      <c r="O432">
        <v>2024</v>
      </c>
      <c r="P432" s="29" t="s">
        <v>731</v>
      </c>
      <c r="Q432" t="s">
        <v>734</v>
      </c>
      <c r="R432" t="s">
        <v>739</v>
      </c>
    </row>
    <row r="433" spans="1:18" x14ac:dyDescent="0.25">
      <c r="A433" s="9">
        <v>432</v>
      </c>
      <c r="B433" s="10">
        <v>45351</v>
      </c>
      <c r="C433" s="11" t="s">
        <v>78</v>
      </c>
      <c r="D433" s="11" t="s">
        <v>93</v>
      </c>
      <c r="E433" s="11" t="s">
        <v>79</v>
      </c>
      <c r="F433" s="11" t="s">
        <v>172</v>
      </c>
      <c r="G433" s="9">
        <v>38</v>
      </c>
      <c r="H433" s="26">
        <v>25400</v>
      </c>
      <c r="I433" s="9">
        <v>5</v>
      </c>
      <c r="J433" s="9">
        <f t="shared" si="12"/>
        <v>965200</v>
      </c>
      <c r="K433" s="9">
        <f t="shared" si="13"/>
        <v>916940</v>
      </c>
      <c r="L433" s="11" t="s">
        <v>123</v>
      </c>
      <c r="M433" s="11" t="s">
        <v>81</v>
      </c>
      <c r="N433">
        <v>2</v>
      </c>
      <c r="O433">
        <v>2024</v>
      </c>
      <c r="P433" s="29" t="s">
        <v>729</v>
      </c>
      <c r="Q433" t="s">
        <v>735</v>
      </c>
      <c r="R433" t="s">
        <v>737</v>
      </c>
    </row>
    <row r="434" spans="1:18" x14ac:dyDescent="0.25">
      <c r="A434" s="6">
        <v>433</v>
      </c>
      <c r="B434" s="7">
        <v>45047</v>
      </c>
      <c r="C434" s="8" t="s">
        <v>82</v>
      </c>
      <c r="D434" s="8" t="s">
        <v>73</v>
      </c>
      <c r="E434" s="8" t="s">
        <v>102</v>
      </c>
      <c r="F434" s="8" t="s">
        <v>151</v>
      </c>
      <c r="G434" s="6">
        <v>31</v>
      </c>
      <c r="H434" s="25">
        <v>8300</v>
      </c>
      <c r="I434" s="6">
        <v>15</v>
      </c>
      <c r="J434" s="6">
        <f t="shared" si="12"/>
        <v>257300</v>
      </c>
      <c r="K434" s="6">
        <f t="shared" si="13"/>
        <v>218705</v>
      </c>
      <c r="L434" s="8" t="s">
        <v>107</v>
      </c>
      <c r="M434" s="8" t="s">
        <v>81</v>
      </c>
      <c r="N434">
        <v>5</v>
      </c>
      <c r="O434">
        <v>2023</v>
      </c>
      <c r="P434" s="29" t="s">
        <v>730</v>
      </c>
      <c r="Q434" t="s">
        <v>736</v>
      </c>
      <c r="R434" t="s">
        <v>737</v>
      </c>
    </row>
    <row r="435" spans="1:18" x14ac:dyDescent="0.25">
      <c r="A435" s="9">
        <v>434</v>
      </c>
      <c r="B435" s="10">
        <v>45519</v>
      </c>
      <c r="C435" s="11" t="s">
        <v>108</v>
      </c>
      <c r="D435" s="11" t="s">
        <v>109</v>
      </c>
      <c r="E435" s="11" t="s">
        <v>79</v>
      </c>
      <c r="F435" s="11" t="s">
        <v>115</v>
      </c>
      <c r="G435" s="9">
        <v>39</v>
      </c>
      <c r="H435" s="26">
        <v>9600</v>
      </c>
      <c r="I435" s="9">
        <v>5</v>
      </c>
      <c r="J435" s="9">
        <f t="shared" si="12"/>
        <v>374400</v>
      </c>
      <c r="K435" s="9">
        <f t="shared" si="13"/>
        <v>355680</v>
      </c>
      <c r="L435" s="11" t="s">
        <v>107</v>
      </c>
      <c r="M435" s="11" t="s">
        <v>91</v>
      </c>
      <c r="N435">
        <v>8</v>
      </c>
      <c r="O435">
        <v>2024</v>
      </c>
      <c r="P435" s="29" t="s">
        <v>710</v>
      </c>
      <c r="Q435" t="s">
        <v>734</v>
      </c>
      <c r="R435" t="s">
        <v>737</v>
      </c>
    </row>
    <row r="436" spans="1:18" x14ac:dyDescent="0.25">
      <c r="A436" s="6">
        <v>435</v>
      </c>
      <c r="B436" s="7">
        <v>45550</v>
      </c>
      <c r="C436" s="8" t="s">
        <v>106</v>
      </c>
      <c r="D436" s="8" t="s">
        <v>117</v>
      </c>
      <c r="E436" s="8" t="s">
        <v>111</v>
      </c>
      <c r="F436" s="8" t="s">
        <v>132</v>
      </c>
      <c r="G436" s="6">
        <v>29</v>
      </c>
      <c r="H436" s="25">
        <v>8600</v>
      </c>
      <c r="I436" s="6">
        <v>5</v>
      </c>
      <c r="J436" s="6">
        <f t="shared" si="12"/>
        <v>249400</v>
      </c>
      <c r="K436" s="6">
        <f t="shared" si="13"/>
        <v>236930</v>
      </c>
      <c r="L436" s="8" t="s">
        <v>187</v>
      </c>
      <c r="M436" s="8" t="s">
        <v>81</v>
      </c>
      <c r="N436">
        <v>9</v>
      </c>
      <c r="O436">
        <v>2024</v>
      </c>
      <c r="P436" s="29" t="s">
        <v>731</v>
      </c>
      <c r="Q436" t="s">
        <v>734</v>
      </c>
      <c r="R436" t="s">
        <v>737</v>
      </c>
    </row>
    <row r="437" spans="1:18" x14ac:dyDescent="0.25">
      <c r="A437" s="9">
        <v>436</v>
      </c>
      <c r="B437" s="10">
        <v>45513</v>
      </c>
      <c r="C437" s="11" t="s">
        <v>82</v>
      </c>
      <c r="D437" s="11" t="s">
        <v>117</v>
      </c>
      <c r="E437" s="11" t="s">
        <v>102</v>
      </c>
      <c r="F437" s="11" t="s">
        <v>157</v>
      </c>
      <c r="G437" s="9">
        <v>36</v>
      </c>
      <c r="H437" s="26">
        <v>12900</v>
      </c>
      <c r="I437" s="9">
        <v>0</v>
      </c>
      <c r="J437" s="9">
        <f t="shared" si="12"/>
        <v>464400</v>
      </c>
      <c r="K437" s="9">
        <f t="shared" si="13"/>
        <v>464400</v>
      </c>
      <c r="L437" s="11" t="s">
        <v>76</v>
      </c>
      <c r="M437" s="31" t="s">
        <v>695</v>
      </c>
      <c r="N437">
        <v>8</v>
      </c>
      <c r="O437">
        <v>2024</v>
      </c>
      <c r="P437" s="29" t="s">
        <v>710</v>
      </c>
      <c r="Q437" t="s">
        <v>734</v>
      </c>
      <c r="R437" t="s">
        <v>737</v>
      </c>
    </row>
    <row r="438" spans="1:18" x14ac:dyDescent="0.25">
      <c r="A438" s="6">
        <v>437</v>
      </c>
      <c r="B438" s="7">
        <v>45301</v>
      </c>
      <c r="C438" s="8" t="s">
        <v>101</v>
      </c>
      <c r="D438" s="8" t="s">
        <v>117</v>
      </c>
      <c r="E438" s="8" t="s">
        <v>84</v>
      </c>
      <c r="F438" s="8" t="s">
        <v>128</v>
      </c>
      <c r="G438" s="6">
        <v>45</v>
      </c>
      <c r="H438" s="25">
        <v>4300</v>
      </c>
      <c r="I438" s="6">
        <v>20</v>
      </c>
      <c r="J438" s="6">
        <f t="shared" si="12"/>
        <v>193500</v>
      </c>
      <c r="K438" s="6">
        <f t="shared" si="13"/>
        <v>154800</v>
      </c>
      <c r="L438" s="8" t="s">
        <v>76</v>
      </c>
      <c r="M438" s="8" t="s">
        <v>77</v>
      </c>
      <c r="N438">
        <v>1</v>
      </c>
      <c r="O438">
        <v>2024</v>
      </c>
      <c r="P438" s="29" t="s">
        <v>727</v>
      </c>
      <c r="Q438" t="s">
        <v>735</v>
      </c>
      <c r="R438" t="s">
        <v>739</v>
      </c>
    </row>
    <row r="439" spans="1:18" x14ac:dyDescent="0.25">
      <c r="A439" s="9">
        <v>438</v>
      </c>
      <c r="B439" s="10">
        <v>45287</v>
      </c>
      <c r="C439" s="11" t="s">
        <v>82</v>
      </c>
      <c r="D439" s="11" t="s">
        <v>83</v>
      </c>
      <c r="E439" s="11" t="s">
        <v>102</v>
      </c>
      <c r="F439" s="11" t="s">
        <v>151</v>
      </c>
      <c r="G439" s="9">
        <v>35</v>
      </c>
      <c r="H439" s="26">
        <v>8000</v>
      </c>
      <c r="I439" s="9">
        <v>20</v>
      </c>
      <c r="J439" s="9">
        <f t="shared" si="12"/>
        <v>280000</v>
      </c>
      <c r="K439" s="9">
        <f t="shared" si="13"/>
        <v>224000</v>
      </c>
      <c r="L439" s="11" t="s">
        <v>76</v>
      </c>
      <c r="M439" s="11" t="s">
        <v>91</v>
      </c>
      <c r="N439">
        <v>12</v>
      </c>
      <c r="O439">
        <v>2023</v>
      </c>
      <c r="P439" s="29" t="s">
        <v>725</v>
      </c>
      <c r="Q439" t="s">
        <v>733</v>
      </c>
      <c r="R439" t="s">
        <v>737</v>
      </c>
    </row>
    <row r="440" spans="1:18" x14ac:dyDescent="0.25">
      <c r="A440" s="6">
        <v>439</v>
      </c>
      <c r="B440" s="7">
        <v>44940</v>
      </c>
      <c r="C440" s="8" t="s">
        <v>82</v>
      </c>
      <c r="D440" s="8" t="s">
        <v>73</v>
      </c>
      <c r="E440" s="8" t="s">
        <v>79</v>
      </c>
      <c r="F440" s="8" t="s">
        <v>115</v>
      </c>
      <c r="G440" s="6">
        <v>43</v>
      </c>
      <c r="H440" s="25">
        <v>8400</v>
      </c>
      <c r="I440" s="6">
        <v>20</v>
      </c>
      <c r="J440" s="6">
        <f t="shared" si="12"/>
        <v>361200</v>
      </c>
      <c r="K440" s="6">
        <f t="shared" si="13"/>
        <v>288960</v>
      </c>
      <c r="L440" s="8" t="s">
        <v>76</v>
      </c>
      <c r="M440" s="8" t="s">
        <v>96</v>
      </c>
      <c r="N440">
        <v>1</v>
      </c>
      <c r="O440">
        <v>2023</v>
      </c>
      <c r="P440" s="29" t="s">
        <v>721</v>
      </c>
      <c r="Q440" t="s">
        <v>735</v>
      </c>
      <c r="R440" t="s">
        <v>737</v>
      </c>
    </row>
    <row r="441" spans="1:18" x14ac:dyDescent="0.25">
      <c r="A441" s="6">
        <v>440</v>
      </c>
      <c r="B441" s="7">
        <v>45091</v>
      </c>
      <c r="C441" s="8" t="s">
        <v>101</v>
      </c>
      <c r="D441" s="8" t="s">
        <v>117</v>
      </c>
      <c r="E441" s="8" t="s">
        <v>84</v>
      </c>
      <c r="F441" s="8" t="s">
        <v>206</v>
      </c>
      <c r="G441" s="6">
        <v>19</v>
      </c>
      <c r="H441" s="25">
        <v>15000</v>
      </c>
      <c r="I441" s="6">
        <v>0</v>
      </c>
      <c r="J441" s="6">
        <f t="shared" si="12"/>
        <v>285000</v>
      </c>
      <c r="K441" s="6">
        <f t="shared" si="13"/>
        <v>285000</v>
      </c>
      <c r="L441" s="8" t="s">
        <v>76</v>
      </c>
      <c r="M441" s="8" t="s">
        <v>77</v>
      </c>
      <c r="N441">
        <v>6</v>
      </c>
      <c r="O441">
        <v>2023</v>
      </c>
      <c r="P441" s="29" t="s">
        <v>723</v>
      </c>
      <c r="Q441" t="s">
        <v>736</v>
      </c>
      <c r="R441" t="s">
        <v>737</v>
      </c>
    </row>
    <row r="442" spans="1:18" x14ac:dyDescent="0.25">
      <c r="A442" s="9">
        <v>441</v>
      </c>
      <c r="B442" s="10">
        <v>45508</v>
      </c>
      <c r="C442" s="11" t="s">
        <v>97</v>
      </c>
      <c r="D442" s="30" t="s">
        <v>703</v>
      </c>
      <c r="E442" s="11" t="s">
        <v>102</v>
      </c>
      <c r="F442" s="11" t="s">
        <v>181</v>
      </c>
      <c r="G442" s="9">
        <v>36</v>
      </c>
      <c r="H442" s="26">
        <v>4900</v>
      </c>
      <c r="I442" s="9">
        <v>15</v>
      </c>
      <c r="J442" s="9">
        <f t="shared" si="12"/>
        <v>176400</v>
      </c>
      <c r="K442" s="9">
        <f t="shared" si="13"/>
        <v>149940</v>
      </c>
      <c r="L442" s="11" t="s">
        <v>76</v>
      </c>
      <c r="M442" s="11" t="s">
        <v>96</v>
      </c>
      <c r="N442">
        <v>8</v>
      </c>
      <c r="O442">
        <v>2024</v>
      </c>
      <c r="P442" s="29" t="s">
        <v>710</v>
      </c>
      <c r="Q442" t="s">
        <v>734</v>
      </c>
      <c r="R442" t="s">
        <v>739</v>
      </c>
    </row>
    <row r="443" spans="1:18" x14ac:dyDescent="0.25">
      <c r="A443" s="6">
        <v>442</v>
      </c>
      <c r="B443" s="7">
        <v>45607</v>
      </c>
      <c r="C443" s="8" t="s">
        <v>78</v>
      </c>
      <c r="D443" s="8" t="s">
        <v>83</v>
      </c>
      <c r="E443" s="8" t="s">
        <v>111</v>
      </c>
      <c r="F443" s="8" t="s">
        <v>165</v>
      </c>
      <c r="G443" s="6">
        <v>44</v>
      </c>
      <c r="H443" s="25">
        <v>20500</v>
      </c>
      <c r="I443" s="6">
        <v>0</v>
      </c>
      <c r="J443" s="6">
        <f t="shared" si="12"/>
        <v>902000</v>
      </c>
      <c r="K443" s="6">
        <f t="shared" si="13"/>
        <v>902000</v>
      </c>
      <c r="L443" s="8" t="s">
        <v>76</v>
      </c>
      <c r="M443" s="8" t="s">
        <v>77</v>
      </c>
      <c r="N443">
        <v>11</v>
      </c>
      <c r="O443">
        <v>2024</v>
      </c>
      <c r="P443" s="29" t="s">
        <v>714</v>
      </c>
      <c r="Q443" t="s">
        <v>733</v>
      </c>
      <c r="R443" t="s">
        <v>737</v>
      </c>
    </row>
    <row r="444" spans="1:18" x14ac:dyDescent="0.25">
      <c r="A444" s="9">
        <v>443</v>
      </c>
      <c r="B444" s="10">
        <v>45184</v>
      </c>
      <c r="C444" s="11" t="s">
        <v>106</v>
      </c>
      <c r="D444" s="11" t="s">
        <v>93</v>
      </c>
      <c r="E444" s="11" t="s">
        <v>111</v>
      </c>
      <c r="F444" s="11" t="s">
        <v>156</v>
      </c>
      <c r="G444" s="9">
        <v>46</v>
      </c>
      <c r="H444" s="26">
        <v>47400</v>
      </c>
      <c r="I444" s="9">
        <v>20</v>
      </c>
      <c r="J444" s="9">
        <f t="shared" si="12"/>
        <v>2180400</v>
      </c>
      <c r="K444" s="9">
        <f t="shared" si="13"/>
        <v>1744320</v>
      </c>
      <c r="L444" s="11" t="s">
        <v>187</v>
      </c>
      <c r="M444" s="11" t="s">
        <v>96</v>
      </c>
      <c r="N444">
        <v>9</v>
      </c>
      <c r="O444">
        <v>2023</v>
      </c>
      <c r="P444" s="29" t="s">
        <v>715</v>
      </c>
      <c r="Q444" t="s">
        <v>734</v>
      </c>
      <c r="R444" t="s">
        <v>737</v>
      </c>
    </row>
    <row r="445" spans="1:18" x14ac:dyDescent="0.25">
      <c r="A445" s="6">
        <v>444</v>
      </c>
      <c r="B445" s="7">
        <v>45529</v>
      </c>
      <c r="C445" s="8" t="s">
        <v>82</v>
      </c>
      <c r="D445" s="8" t="s">
        <v>93</v>
      </c>
      <c r="E445" s="8" t="s">
        <v>84</v>
      </c>
      <c r="F445" s="8" t="s">
        <v>90</v>
      </c>
      <c r="G445" s="6">
        <v>12</v>
      </c>
      <c r="H445" s="25">
        <v>1800</v>
      </c>
      <c r="I445" s="6">
        <v>0</v>
      </c>
      <c r="J445" s="6">
        <f t="shared" si="12"/>
        <v>21600</v>
      </c>
      <c r="K445" s="6">
        <f t="shared" si="13"/>
        <v>21600</v>
      </c>
      <c r="L445" s="8" t="s">
        <v>123</v>
      </c>
      <c r="M445" s="8" t="s">
        <v>77</v>
      </c>
      <c r="N445">
        <v>8</v>
      </c>
      <c r="O445">
        <v>2024</v>
      </c>
      <c r="P445" s="29" t="s">
        <v>710</v>
      </c>
      <c r="Q445" t="s">
        <v>734</v>
      </c>
      <c r="R445" t="s">
        <v>738</v>
      </c>
    </row>
    <row r="446" spans="1:18" x14ac:dyDescent="0.25">
      <c r="A446" s="9">
        <v>445</v>
      </c>
      <c r="B446" s="10">
        <v>45104</v>
      </c>
      <c r="C446" s="11" t="s">
        <v>82</v>
      </c>
      <c r="D446" s="11" t="s">
        <v>73</v>
      </c>
      <c r="E446" s="11" t="s">
        <v>111</v>
      </c>
      <c r="F446" s="11" t="s">
        <v>192</v>
      </c>
      <c r="G446" s="9">
        <v>36</v>
      </c>
      <c r="H446" s="26">
        <v>95700</v>
      </c>
      <c r="I446" s="9">
        <v>10</v>
      </c>
      <c r="J446" s="9">
        <f t="shared" si="12"/>
        <v>3445200</v>
      </c>
      <c r="K446" s="9">
        <f t="shared" si="13"/>
        <v>3100680</v>
      </c>
      <c r="L446" s="11" t="s">
        <v>76</v>
      </c>
      <c r="M446" s="11" t="s">
        <v>81</v>
      </c>
      <c r="N446">
        <v>6</v>
      </c>
      <c r="O446">
        <v>2023</v>
      </c>
      <c r="P446" s="29" t="s">
        <v>723</v>
      </c>
      <c r="Q446" t="s">
        <v>736</v>
      </c>
      <c r="R446" t="s">
        <v>737</v>
      </c>
    </row>
    <row r="447" spans="1:18" x14ac:dyDescent="0.25">
      <c r="A447" s="6">
        <v>446</v>
      </c>
      <c r="B447" s="7">
        <v>45188</v>
      </c>
      <c r="C447" s="8" t="s">
        <v>78</v>
      </c>
      <c r="D447" s="8" t="s">
        <v>117</v>
      </c>
      <c r="E447" s="8" t="s">
        <v>111</v>
      </c>
      <c r="F447" s="8" t="s">
        <v>166</v>
      </c>
      <c r="G447" s="6">
        <v>21</v>
      </c>
      <c r="H447" s="25">
        <v>25500</v>
      </c>
      <c r="I447" s="6">
        <v>5</v>
      </c>
      <c r="J447" s="6">
        <f t="shared" si="12"/>
        <v>535500</v>
      </c>
      <c r="K447" s="6">
        <f t="shared" si="13"/>
        <v>508725</v>
      </c>
      <c r="L447" s="8" t="s">
        <v>76</v>
      </c>
      <c r="M447" s="8" t="s">
        <v>96</v>
      </c>
      <c r="N447">
        <v>9</v>
      </c>
      <c r="O447">
        <v>2023</v>
      </c>
      <c r="P447" s="29" t="s">
        <v>715</v>
      </c>
      <c r="Q447" t="s">
        <v>734</v>
      </c>
      <c r="R447" t="s">
        <v>737</v>
      </c>
    </row>
    <row r="448" spans="1:18" x14ac:dyDescent="0.25">
      <c r="A448" s="9">
        <v>447</v>
      </c>
      <c r="B448" s="10">
        <v>45543</v>
      </c>
      <c r="C448" s="11" t="s">
        <v>82</v>
      </c>
      <c r="D448" s="11" t="s">
        <v>117</v>
      </c>
      <c r="E448" s="11" t="s">
        <v>79</v>
      </c>
      <c r="F448" s="11" t="s">
        <v>120</v>
      </c>
      <c r="G448" s="9">
        <v>12</v>
      </c>
      <c r="H448" s="26">
        <v>6200</v>
      </c>
      <c r="I448" s="9">
        <v>5</v>
      </c>
      <c r="J448" s="9">
        <f t="shared" si="12"/>
        <v>74400</v>
      </c>
      <c r="K448" s="9">
        <f t="shared" si="13"/>
        <v>70680</v>
      </c>
      <c r="L448" s="11" t="s">
        <v>76</v>
      </c>
      <c r="M448" s="11" t="s">
        <v>81</v>
      </c>
      <c r="N448">
        <v>9</v>
      </c>
      <c r="O448">
        <v>2024</v>
      </c>
      <c r="P448" s="29" t="s">
        <v>731</v>
      </c>
      <c r="Q448" t="s">
        <v>734</v>
      </c>
      <c r="R448" t="s">
        <v>739</v>
      </c>
    </row>
    <row r="449" spans="1:18" x14ac:dyDescent="0.25">
      <c r="A449" s="6">
        <v>448</v>
      </c>
      <c r="B449" s="7">
        <v>45572</v>
      </c>
      <c r="C449" s="8" t="s">
        <v>82</v>
      </c>
      <c r="D449" s="8" t="s">
        <v>83</v>
      </c>
      <c r="E449" s="8" t="s">
        <v>79</v>
      </c>
      <c r="F449" s="8" t="s">
        <v>120</v>
      </c>
      <c r="G449" s="6">
        <v>14</v>
      </c>
      <c r="H449" s="25">
        <v>5700</v>
      </c>
      <c r="I449" s="6">
        <v>0</v>
      </c>
      <c r="J449" s="6">
        <f t="shared" si="12"/>
        <v>79800</v>
      </c>
      <c r="K449" s="6">
        <f t="shared" si="13"/>
        <v>79800</v>
      </c>
      <c r="L449" s="8" t="s">
        <v>187</v>
      </c>
      <c r="M449" s="8" t="s">
        <v>96</v>
      </c>
      <c r="N449">
        <v>10</v>
      </c>
      <c r="O449">
        <v>2024</v>
      </c>
      <c r="P449" s="29" t="s">
        <v>709</v>
      </c>
      <c r="Q449" t="s">
        <v>733</v>
      </c>
      <c r="R449" t="s">
        <v>739</v>
      </c>
    </row>
    <row r="450" spans="1:18" x14ac:dyDescent="0.25">
      <c r="A450" s="9">
        <v>449</v>
      </c>
      <c r="B450" s="10">
        <v>45227</v>
      </c>
      <c r="C450" s="11" t="s">
        <v>106</v>
      </c>
      <c r="D450" s="11" t="s">
        <v>93</v>
      </c>
      <c r="E450" s="11" t="s">
        <v>102</v>
      </c>
      <c r="F450" s="11" t="s">
        <v>197</v>
      </c>
      <c r="G450" s="9">
        <v>49</v>
      </c>
      <c r="H450" s="26">
        <v>4400</v>
      </c>
      <c r="I450" s="9">
        <v>0</v>
      </c>
      <c r="J450" s="9">
        <f t="shared" ref="J450:J513" si="14">G450*H450</f>
        <v>215600</v>
      </c>
      <c r="K450" s="9">
        <f t="shared" ref="K450:K513" si="15">J450*(1-I450/100)</f>
        <v>215600</v>
      </c>
      <c r="L450" s="11" t="s">
        <v>123</v>
      </c>
      <c r="M450" s="11" t="s">
        <v>77</v>
      </c>
      <c r="N450">
        <v>10</v>
      </c>
      <c r="O450">
        <v>2023</v>
      </c>
      <c r="P450" s="29" t="s">
        <v>726</v>
      </c>
      <c r="Q450" t="s">
        <v>733</v>
      </c>
      <c r="R450" t="s">
        <v>737</v>
      </c>
    </row>
    <row r="451" spans="1:18" x14ac:dyDescent="0.25">
      <c r="A451" s="6">
        <v>450</v>
      </c>
      <c r="B451" s="7">
        <v>45611</v>
      </c>
      <c r="C451" s="8" t="s">
        <v>88</v>
      </c>
      <c r="D451" s="8" t="s">
        <v>83</v>
      </c>
      <c r="E451" s="8" t="s">
        <v>84</v>
      </c>
      <c r="F451" s="8" t="s">
        <v>90</v>
      </c>
      <c r="G451" s="6">
        <v>44</v>
      </c>
      <c r="H451" s="25">
        <v>2100</v>
      </c>
      <c r="I451" s="6">
        <v>20</v>
      </c>
      <c r="J451" s="6">
        <f t="shared" si="14"/>
        <v>92400</v>
      </c>
      <c r="K451" s="6">
        <f t="shared" si="15"/>
        <v>73920</v>
      </c>
      <c r="L451" s="8" t="s">
        <v>107</v>
      </c>
      <c r="M451" s="8" t="s">
        <v>91</v>
      </c>
      <c r="N451">
        <v>11</v>
      </c>
      <c r="O451">
        <v>2024</v>
      </c>
      <c r="P451" s="29" t="s">
        <v>714</v>
      </c>
      <c r="Q451" t="s">
        <v>733</v>
      </c>
      <c r="R451" t="s">
        <v>739</v>
      </c>
    </row>
    <row r="452" spans="1:18" x14ac:dyDescent="0.25">
      <c r="A452" s="9">
        <v>451</v>
      </c>
      <c r="B452" s="10">
        <v>45043</v>
      </c>
      <c r="C452" s="11" t="s">
        <v>114</v>
      </c>
      <c r="D452" s="11" t="s">
        <v>117</v>
      </c>
      <c r="E452" s="11" t="s">
        <v>102</v>
      </c>
      <c r="F452" s="11" t="s">
        <v>110</v>
      </c>
      <c r="G452" s="9">
        <v>34</v>
      </c>
      <c r="H452" s="26">
        <v>19900</v>
      </c>
      <c r="I452" s="9">
        <v>10</v>
      </c>
      <c r="J452" s="9">
        <f t="shared" si="14"/>
        <v>676600</v>
      </c>
      <c r="K452" s="9">
        <f t="shared" si="15"/>
        <v>608940</v>
      </c>
      <c r="L452" s="11" t="s">
        <v>187</v>
      </c>
      <c r="M452" s="11" t="s">
        <v>96</v>
      </c>
      <c r="N452">
        <v>4</v>
      </c>
      <c r="O452">
        <v>2023</v>
      </c>
      <c r="P452" s="29" t="s">
        <v>716</v>
      </c>
      <c r="Q452" t="s">
        <v>736</v>
      </c>
      <c r="R452" t="s">
        <v>737</v>
      </c>
    </row>
    <row r="453" spans="1:18" x14ac:dyDescent="0.25">
      <c r="A453" s="6">
        <v>452</v>
      </c>
      <c r="B453" s="7">
        <v>45388</v>
      </c>
      <c r="C453" s="8" t="s">
        <v>119</v>
      </c>
      <c r="D453" s="8" t="s">
        <v>83</v>
      </c>
      <c r="E453" s="8" t="s">
        <v>79</v>
      </c>
      <c r="F453" s="8" t="s">
        <v>179</v>
      </c>
      <c r="G453" s="6">
        <v>13</v>
      </c>
      <c r="H453" s="25">
        <v>2800</v>
      </c>
      <c r="I453" s="6">
        <v>0</v>
      </c>
      <c r="J453" s="6">
        <f t="shared" si="14"/>
        <v>36400</v>
      </c>
      <c r="K453" s="6">
        <f t="shared" si="15"/>
        <v>36400</v>
      </c>
      <c r="L453" s="8" t="s">
        <v>76</v>
      </c>
      <c r="M453" s="8" t="s">
        <v>77</v>
      </c>
      <c r="N453">
        <v>4</v>
      </c>
      <c r="O453">
        <v>2024</v>
      </c>
      <c r="P453" s="29" t="s">
        <v>722</v>
      </c>
      <c r="Q453" t="s">
        <v>736</v>
      </c>
      <c r="R453" t="s">
        <v>738</v>
      </c>
    </row>
    <row r="454" spans="1:18" x14ac:dyDescent="0.25">
      <c r="A454" s="9">
        <v>453</v>
      </c>
      <c r="B454" s="10">
        <v>45098</v>
      </c>
      <c r="C454" s="11" t="s">
        <v>82</v>
      </c>
      <c r="D454" s="11" t="s">
        <v>93</v>
      </c>
      <c r="E454" s="11" t="s">
        <v>79</v>
      </c>
      <c r="F454" s="11" t="s">
        <v>131</v>
      </c>
      <c r="G454" s="9">
        <v>41</v>
      </c>
      <c r="H454" s="26">
        <v>114300</v>
      </c>
      <c r="I454" s="9">
        <v>20</v>
      </c>
      <c r="J454" s="9">
        <f t="shared" si="14"/>
        <v>4686300</v>
      </c>
      <c r="K454" s="9">
        <f t="shared" si="15"/>
        <v>3749040</v>
      </c>
      <c r="L454" s="11" t="s">
        <v>187</v>
      </c>
      <c r="M454" s="11" t="s">
        <v>91</v>
      </c>
      <c r="N454">
        <v>6</v>
      </c>
      <c r="O454">
        <v>2023</v>
      </c>
      <c r="P454" s="29" t="s">
        <v>723</v>
      </c>
      <c r="Q454" t="s">
        <v>736</v>
      </c>
      <c r="R454" t="s">
        <v>737</v>
      </c>
    </row>
    <row r="455" spans="1:18" x14ac:dyDescent="0.25">
      <c r="A455" s="6">
        <v>454</v>
      </c>
      <c r="B455" s="7">
        <v>45033</v>
      </c>
      <c r="C455" s="8" t="s">
        <v>106</v>
      </c>
      <c r="D455" s="8" t="s">
        <v>93</v>
      </c>
      <c r="E455" s="8" t="s">
        <v>111</v>
      </c>
      <c r="F455" s="8" t="s">
        <v>112</v>
      </c>
      <c r="G455" s="6">
        <v>10</v>
      </c>
      <c r="H455" s="25">
        <v>70600</v>
      </c>
      <c r="I455" s="6">
        <v>0</v>
      </c>
      <c r="J455" s="6">
        <f t="shared" si="14"/>
        <v>706000</v>
      </c>
      <c r="K455" s="6">
        <f t="shared" si="15"/>
        <v>706000</v>
      </c>
      <c r="L455" s="8" t="s">
        <v>76</v>
      </c>
      <c r="M455" s="8" t="s">
        <v>96</v>
      </c>
      <c r="N455">
        <v>4</v>
      </c>
      <c r="O455">
        <v>2023</v>
      </c>
      <c r="P455" s="29" t="s">
        <v>716</v>
      </c>
      <c r="Q455" t="s">
        <v>736</v>
      </c>
      <c r="R455" t="s">
        <v>737</v>
      </c>
    </row>
    <row r="456" spans="1:18" x14ac:dyDescent="0.25">
      <c r="A456" s="9">
        <v>455</v>
      </c>
      <c r="B456" s="10">
        <v>45016</v>
      </c>
      <c r="C456" s="11" t="s">
        <v>97</v>
      </c>
      <c r="D456" s="11" t="s">
        <v>73</v>
      </c>
      <c r="E456" s="11" t="s">
        <v>84</v>
      </c>
      <c r="F456" s="11" t="s">
        <v>134</v>
      </c>
      <c r="G456" s="9">
        <v>37</v>
      </c>
      <c r="H456" s="26">
        <v>10000</v>
      </c>
      <c r="I456" s="9">
        <v>5</v>
      </c>
      <c r="J456" s="9">
        <f t="shared" si="14"/>
        <v>370000</v>
      </c>
      <c r="K456" s="9">
        <f t="shared" si="15"/>
        <v>351500</v>
      </c>
      <c r="L456" s="11" t="s">
        <v>187</v>
      </c>
      <c r="M456" s="31" t="s">
        <v>695</v>
      </c>
      <c r="N456">
        <v>3</v>
      </c>
      <c r="O456">
        <v>2023</v>
      </c>
      <c r="P456" s="29" t="s">
        <v>719</v>
      </c>
      <c r="Q456" t="s">
        <v>735</v>
      </c>
      <c r="R456" t="s">
        <v>737</v>
      </c>
    </row>
    <row r="457" spans="1:18" x14ac:dyDescent="0.25">
      <c r="A457" s="6">
        <v>456</v>
      </c>
      <c r="B457" s="7">
        <v>45324</v>
      </c>
      <c r="C457" s="8" t="s">
        <v>119</v>
      </c>
      <c r="D457" s="8" t="s">
        <v>83</v>
      </c>
      <c r="E457" s="8" t="s">
        <v>111</v>
      </c>
      <c r="F457" s="8" t="s">
        <v>132</v>
      </c>
      <c r="G457" s="6">
        <v>44</v>
      </c>
      <c r="H457" s="25">
        <v>6800</v>
      </c>
      <c r="I457" s="6">
        <v>15</v>
      </c>
      <c r="J457" s="6">
        <f t="shared" si="14"/>
        <v>299200</v>
      </c>
      <c r="K457" s="6">
        <f t="shared" si="15"/>
        <v>254320</v>
      </c>
      <c r="L457" s="8" t="s">
        <v>76</v>
      </c>
      <c r="M457" s="8" t="s">
        <v>77</v>
      </c>
      <c r="N457">
        <v>2</v>
      </c>
      <c r="O457">
        <v>2024</v>
      </c>
      <c r="P457" s="29" t="s">
        <v>729</v>
      </c>
      <c r="Q457" t="s">
        <v>735</v>
      </c>
      <c r="R457" t="s">
        <v>737</v>
      </c>
    </row>
    <row r="458" spans="1:18" x14ac:dyDescent="0.25">
      <c r="A458" s="9">
        <v>457</v>
      </c>
      <c r="B458" s="10">
        <v>45560</v>
      </c>
      <c r="C458" s="11" t="s">
        <v>97</v>
      </c>
      <c r="D458" s="11" t="s">
        <v>93</v>
      </c>
      <c r="E458" s="11" t="s">
        <v>79</v>
      </c>
      <c r="F458" s="11" t="s">
        <v>131</v>
      </c>
      <c r="G458" s="9">
        <v>33</v>
      </c>
      <c r="H458" s="26">
        <v>118700</v>
      </c>
      <c r="I458" s="9">
        <v>10</v>
      </c>
      <c r="J458" s="9">
        <f t="shared" si="14"/>
        <v>3917100</v>
      </c>
      <c r="K458" s="9">
        <f t="shared" si="15"/>
        <v>3525390</v>
      </c>
      <c r="L458" s="11" t="s">
        <v>76</v>
      </c>
      <c r="M458" s="11" t="s">
        <v>96</v>
      </c>
      <c r="N458">
        <v>9</v>
      </c>
      <c r="O458">
        <v>2024</v>
      </c>
      <c r="P458" s="29" t="s">
        <v>731</v>
      </c>
      <c r="Q458" t="s">
        <v>734</v>
      </c>
      <c r="R458" t="s">
        <v>737</v>
      </c>
    </row>
    <row r="459" spans="1:18" x14ac:dyDescent="0.25">
      <c r="A459" s="6">
        <v>458</v>
      </c>
      <c r="B459" s="7">
        <v>45015</v>
      </c>
      <c r="C459" s="8" t="s">
        <v>101</v>
      </c>
      <c r="D459" s="8" t="s">
        <v>83</v>
      </c>
      <c r="E459" s="8" t="s">
        <v>111</v>
      </c>
      <c r="F459" s="8" t="s">
        <v>165</v>
      </c>
      <c r="G459" s="6">
        <v>2</v>
      </c>
      <c r="H459" s="25">
        <v>19900</v>
      </c>
      <c r="I459" s="6">
        <v>0</v>
      </c>
      <c r="J459" s="6">
        <f t="shared" si="14"/>
        <v>39800</v>
      </c>
      <c r="K459" s="6">
        <f t="shared" si="15"/>
        <v>39800</v>
      </c>
      <c r="L459" s="8" t="s">
        <v>76</v>
      </c>
      <c r="M459" s="8" t="s">
        <v>81</v>
      </c>
      <c r="N459">
        <v>3</v>
      </c>
      <c r="O459">
        <v>2023</v>
      </c>
      <c r="P459" s="29" t="s">
        <v>719</v>
      </c>
      <c r="Q459" t="s">
        <v>735</v>
      </c>
      <c r="R459" t="s">
        <v>738</v>
      </c>
    </row>
    <row r="460" spans="1:18" x14ac:dyDescent="0.25">
      <c r="A460" s="9">
        <v>459</v>
      </c>
      <c r="B460" s="10">
        <v>45414</v>
      </c>
      <c r="C460" s="11" t="s">
        <v>82</v>
      </c>
      <c r="D460" s="11" t="s">
        <v>117</v>
      </c>
      <c r="E460" s="11" t="s">
        <v>84</v>
      </c>
      <c r="F460" s="11" t="s">
        <v>134</v>
      </c>
      <c r="G460" s="9">
        <v>47</v>
      </c>
      <c r="H460" s="26">
        <v>10300</v>
      </c>
      <c r="I460" s="9">
        <v>10</v>
      </c>
      <c r="J460" s="9">
        <f t="shared" si="14"/>
        <v>484100</v>
      </c>
      <c r="K460" s="9">
        <f t="shared" si="15"/>
        <v>435690</v>
      </c>
      <c r="L460" s="11" t="s">
        <v>76</v>
      </c>
      <c r="M460" s="11" t="s">
        <v>77</v>
      </c>
      <c r="N460">
        <v>5</v>
      </c>
      <c r="O460">
        <v>2024</v>
      </c>
      <c r="P460" s="29" t="s">
        <v>732</v>
      </c>
      <c r="Q460" t="s">
        <v>736</v>
      </c>
      <c r="R460" t="s">
        <v>737</v>
      </c>
    </row>
    <row r="461" spans="1:18" x14ac:dyDescent="0.25">
      <c r="A461" s="6">
        <v>460</v>
      </c>
      <c r="B461" s="7">
        <v>45495</v>
      </c>
      <c r="C461" s="8" t="s">
        <v>108</v>
      </c>
      <c r="D461" s="8" t="s">
        <v>73</v>
      </c>
      <c r="E461" s="8" t="s">
        <v>79</v>
      </c>
      <c r="F461" s="8" t="s">
        <v>136</v>
      </c>
      <c r="G461" s="6">
        <v>26</v>
      </c>
      <c r="H461" s="25">
        <v>88700</v>
      </c>
      <c r="I461" s="6">
        <v>0</v>
      </c>
      <c r="J461" s="6">
        <f t="shared" si="14"/>
        <v>2306200</v>
      </c>
      <c r="K461" s="6">
        <f t="shared" si="15"/>
        <v>2306200</v>
      </c>
      <c r="L461" s="8" t="s">
        <v>76</v>
      </c>
      <c r="M461" s="8" t="s">
        <v>77</v>
      </c>
      <c r="N461">
        <v>7</v>
      </c>
      <c r="O461">
        <v>2024</v>
      </c>
      <c r="P461" s="29" t="s">
        <v>712</v>
      </c>
      <c r="Q461" t="s">
        <v>734</v>
      </c>
      <c r="R461" t="s">
        <v>737</v>
      </c>
    </row>
    <row r="462" spans="1:18" x14ac:dyDescent="0.25">
      <c r="A462" s="9">
        <v>461</v>
      </c>
      <c r="B462" s="10">
        <v>45024</v>
      </c>
      <c r="C462" s="11" t="s">
        <v>88</v>
      </c>
      <c r="D462" s="11" t="s">
        <v>109</v>
      </c>
      <c r="E462" s="11" t="s">
        <v>111</v>
      </c>
      <c r="F462" s="11" t="s">
        <v>166</v>
      </c>
      <c r="G462" s="9">
        <v>15</v>
      </c>
      <c r="H462" s="26">
        <v>26300</v>
      </c>
      <c r="I462" s="9">
        <v>0</v>
      </c>
      <c r="J462" s="9">
        <f t="shared" si="14"/>
        <v>394500</v>
      </c>
      <c r="K462" s="9">
        <f t="shared" si="15"/>
        <v>394500</v>
      </c>
      <c r="L462" s="11" t="s">
        <v>76</v>
      </c>
      <c r="M462" s="11" t="s">
        <v>96</v>
      </c>
      <c r="N462">
        <v>4</v>
      </c>
      <c r="O462">
        <v>2023</v>
      </c>
      <c r="P462" s="29" t="s">
        <v>716</v>
      </c>
      <c r="Q462" t="s">
        <v>736</v>
      </c>
      <c r="R462" t="s">
        <v>737</v>
      </c>
    </row>
    <row r="463" spans="1:18" x14ac:dyDescent="0.25">
      <c r="A463" s="6">
        <v>462</v>
      </c>
      <c r="B463" s="7">
        <v>45044</v>
      </c>
      <c r="C463" s="8" t="s">
        <v>108</v>
      </c>
      <c r="D463" s="8" t="s">
        <v>93</v>
      </c>
      <c r="E463" s="8" t="s">
        <v>79</v>
      </c>
      <c r="F463" s="8" t="s">
        <v>172</v>
      </c>
      <c r="G463" s="6">
        <v>5</v>
      </c>
      <c r="H463" s="25">
        <v>26500</v>
      </c>
      <c r="I463" s="6">
        <v>0</v>
      </c>
      <c r="J463" s="6">
        <f t="shared" si="14"/>
        <v>132500</v>
      </c>
      <c r="K463" s="6">
        <f t="shared" si="15"/>
        <v>132500</v>
      </c>
      <c r="L463" s="8" t="s">
        <v>76</v>
      </c>
      <c r="M463" s="8" t="s">
        <v>77</v>
      </c>
      <c r="N463">
        <v>4</v>
      </c>
      <c r="O463">
        <v>2023</v>
      </c>
      <c r="P463" s="29" t="s">
        <v>716</v>
      </c>
      <c r="Q463" t="s">
        <v>736</v>
      </c>
      <c r="R463" t="s">
        <v>739</v>
      </c>
    </row>
    <row r="464" spans="1:18" x14ac:dyDescent="0.25">
      <c r="A464" s="9">
        <v>463</v>
      </c>
      <c r="B464" s="10">
        <v>45234</v>
      </c>
      <c r="C464" s="11" t="s">
        <v>106</v>
      </c>
      <c r="D464" s="11" t="s">
        <v>93</v>
      </c>
      <c r="E464" s="11" t="s">
        <v>111</v>
      </c>
      <c r="F464" s="11" t="s">
        <v>132</v>
      </c>
      <c r="G464" s="9">
        <v>43</v>
      </c>
      <c r="H464" s="26">
        <v>7400</v>
      </c>
      <c r="I464" s="9">
        <v>0</v>
      </c>
      <c r="J464" s="9">
        <f t="shared" si="14"/>
        <v>318200</v>
      </c>
      <c r="K464" s="9">
        <f t="shared" si="15"/>
        <v>318200</v>
      </c>
      <c r="L464" s="11" t="s">
        <v>187</v>
      </c>
      <c r="M464" s="11" t="s">
        <v>77</v>
      </c>
      <c r="N464">
        <v>11</v>
      </c>
      <c r="O464">
        <v>2023</v>
      </c>
      <c r="P464" s="29" t="s">
        <v>718</v>
      </c>
      <c r="Q464" t="s">
        <v>733</v>
      </c>
      <c r="R464" t="s">
        <v>737</v>
      </c>
    </row>
    <row r="465" spans="1:18" x14ac:dyDescent="0.25">
      <c r="A465" s="6">
        <v>464</v>
      </c>
      <c r="B465" s="7">
        <v>45561</v>
      </c>
      <c r="C465" s="8" t="s">
        <v>97</v>
      </c>
      <c r="D465" s="8" t="s">
        <v>109</v>
      </c>
      <c r="E465" s="8" t="s">
        <v>74</v>
      </c>
      <c r="F465" s="8" t="s">
        <v>99</v>
      </c>
      <c r="G465" s="6">
        <v>40</v>
      </c>
      <c r="H465" s="25">
        <v>3500</v>
      </c>
      <c r="I465" s="6">
        <v>10</v>
      </c>
      <c r="J465" s="6">
        <f t="shared" si="14"/>
        <v>140000</v>
      </c>
      <c r="K465" s="6">
        <f t="shared" si="15"/>
        <v>126000</v>
      </c>
      <c r="L465" s="8" t="s">
        <v>187</v>
      </c>
      <c r="M465" s="8" t="s">
        <v>81</v>
      </c>
      <c r="N465">
        <v>9</v>
      </c>
      <c r="O465">
        <v>2024</v>
      </c>
      <c r="P465" s="29" t="s">
        <v>731</v>
      </c>
      <c r="Q465" t="s">
        <v>734</v>
      </c>
      <c r="R465" t="s">
        <v>739</v>
      </c>
    </row>
    <row r="466" spans="1:18" x14ac:dyDescent="0.25">
      <c r="A466" s="9">
        <v>465</v>
      </c>
      <c r="B466" s="10">
        <v>45359</v>
      </c>
      <c r="C466" s="11" t="s">
        <v>88</v>
      </c>
      <c r="D466" s="11" t="s">
        <v>117</v>
      </c>
      <c r="E466" s="11" t="s">
        <v>111</v>
      </c>
      <c r="F466" s="11" t="s">
        <v>166</v>
      </c>
      <c r="G466" s="9">
        <v>16</v>
      </c>
      <c r="H466" s="26">
        <v>25200</v>
      </c>
      <c r="I466" s="9">
        <v>0</v>
      </c>
      <c r="J466" s="9">
        <f t="shared" si="14"/>
        <v>403200</v>
      </c>
      <c r="K466" s="9">
        <f t="shared" si="15"/>
        <v>403200</v>
      </c>
      <c r="L466" s="11" t="s">
        <v>187</v>
      </c>
      <c r="M466" s="11" t="s">
        <v>91</v>
      </c>
      <c r="N466">
        <v>3</v>
      </c>
      <c r="O466">
        <v>2024</v>
      </c>
      <c r="P466" s="29" t="s">
        <v>711</v>
      </c>
      <c r="Q466" t="s">
        <v>735</v>
      </c>
      <c r="R466" t="s">
        <v>737</v>
      </c>
    </row>
    <row r="467" spans="1:18" x14ac:dyDescent="0.25">
      <c r="A467" s="6">
        <v>466</v>
      </c>
      <c r="B467" s="7">
        <v>45383</v>
      </c>
      <c r="C467" s="8" t="s">
        <v>108</v>
      </c>
      <c r="D467" s="8" t="s">
        <v>117</v>
      </c>
      <c r="E467" s="8" t="s">
        <v>111</v>
      </c>
      <c r="F467" s="8" t="s">
        <v>159</v>
      </c>
      <c r="G467" s="6">
        <v>50</v>
      </c>
      <c r="H467" s="25">
        <v>12100</v>
      </c>
      <c r="I467" s="6">
        <v>0</v>
      </c>
      <c r="J467" s="6">
        <f t="shared" si="14"/>
        <v>605000</v>
      </c>
      <c r="K467" s="6">
        <f t="shared" si="15"/>
        <v>605000</v>
      </c>
      <c r="L467" s="8" t="s">
        <v>76</v>
      </c>
      <c r="M467" s="8" t="s">
        <v>77</v>
      </c>
      <c r="N467">
        <v>4</v>
      </c>
      <c r="O467">
        <v>2024</v>
      </c>
      <c r="P467" s="29" t="s">
        <v>722</v>
      </c>
      <c r="Q467" t="s">
        <v>736</v>
      </c>
      <c r="R467" t="s">
        <v>737</v>
      </c>
    </row>
    <row r="468" spans="1:18" x14ac:dyDescent="0.25">
      <c r="A468" s="9">
        <v>467</v>
      </c>
      <c r="B468" s="10">
        <v>45588</v>
      </c>
      <c r="C468" s="11" t="s">
        <v>124</v>
      </c>
      <c r="D468" s="11" t="s">
        <v>73</v>
      </c>
      <c r="E468" s="11" t="s">
        <v>74</v>
      </c>
      <c r="F468" s="11" t="s">
        <v>142</v>
      </c>
      <c r="G468" s="9">
        <v>13</v>
      </c>
      <c r="H468" s="26">
        <v>13500</v>
      </c>
      <c r="I468" s="9">
        <v>15</v>
      </c>
      <c r="J468" s="9">
        <f t="shared" si="14"/>
        <v>175500</v>
      </c>
      <c r="K468" s="9">
        <f t="shared" si="15"/>
        <v>149175</v>
      </c>
      <c r="L468" s="11" t="s">
        <v>76</v>
      </c>
      <c r="M468" s="11" t="s">
        <v>77</v>
      </c>
      <c r="N468">
        <v>10</v>
      </c>
      <c r="O468">
        <v>2024</v>
      </c>
      <c r="P468" s="29" t="s">
        <v>709</v>
      </c>
      <c r="Q468" t="s">
        <v>733</v>
      </c>
      <c r="R468" t="s">
        <v>739</v>
      </c>
    </row>
    <row r="469" spans="1:18" x14ac:dyDescent="0.25">
      <c r="A469" s="6">
        <v>468</v>
      </c>
      <c r="B469" s="7">
        <v>45004</v>
      </c>
      <c r="C469" s="8" t="s">
        <v>78</v>
      </c>
      <c r="D469" s="8" t="s">
        <v>93</v>
      </c>
      <c r="E469" s="8" t="s">
        <v>79</v>
      </c>
      <c r="F469" s="8" t="s">
        <v>115</v>
      </c>
      <c r="G469" s="6">
        <v>14</v>
      </c>
      <c r="H469" s="25">
        <v>9800</v>
      </c>
      <c r="I469" s="6">
        <v>10</v>
      </c>
      <c r="J469" s="6">
        <f t="shared" si="14"/>
        <v>137200</v>
      </c>
      <c r="K469" s="6">
        <f t="shared" si="15"/>
        <v>123480</v>
      </c>
      <c r="L469" s="8" t="s">
        <v>107</v>
      </c>
      <c r="M469" s="8" t="s">
        <v>96</v>
      </c>
      <c r="N469">
        <v>3</v>
      </c>
      <c r="O469">
        <v>2023</v>
      </c>
      <c r="P469" s="29" t="s">
        <v>719</v>
      </c>
      <c r="Q469" t="s">
        <v>735</v>
      </c>
      <c r="R469" t="s">
        <v>739</v>
      </c>
    </row>
    <row r="470" spans="1:18" x14ac:dyDescent="0.25">
      <c r="A470" s="9">
        <v>469</v>
      </c>
      <c r="B470" s="10">
        <v>45450</v>
      </c>
      <c r="C470" s="11" t="s">
        <v>119</v>
      </c>
      <c r="D470" s="11" t="s">
        <v>109</v>
      </c>
      <c r="E470" s="11" t="s">
        <v>74</v>
      </c>
      <c r="F470" s="11" t="s">
        <v>140</v>
      </c>
      <c r="G470" s="12">
        <v>50</v>
      </c>
      <c r="H470" s="26">
        <v>4300</v>
      </c>
      <c r="I470" s="9">
        <v>0</v>
      </c>
      <c r="J470" s="9">
        <f t="shared" si="14"/>
        <v>215000</v>
      </c>
      <c r="K470" s="9">
        <f t="shared" si="15"/>
        <v>215000</v>
      </c>
      <c r="L470" s="11" t="s">
        <v>76</v>
      </c>
      <c r="M470" s="11" t="s">
        <v>96</v>
      </c>
      <c r="N470">
        <v>6</v>
      </c>
      <c r="O470">
        <v>2024</v>
      </c>
      <c r="P470" s="29" t="s">
        <v>720</v>
      </c>
      <c r="Q470" t="s">
        <v>736</v>
      </c>
      <c r="R470" t="s">
        <v>737</v>
      </c>
    </row>
    <row r="471" spans="1:18" x14ac:dyDescent="0.25">
      <c r="A471" s="6">
        <v>470</v>
      </c>
      <c r="B471" s="7">
        <v>45402</v>
      </c>
      <c r="C471" s="8" t="s">
        <v>82</v>
      </c>
      <c r="D471" s="8" t="s">
        <v>93</v>
      </c>
      <c r="E471" s="8" t="s">
        <v>79</v>
      </c>
      <c r="F471" s="8" t="s">
        <v>115</v>
      </c>
      <c r="G471" s="6">
        <v>1</v>
      </c>
      <c r="H471" s="25">
        <v>8900</v>
      </c>
      <c r="I471" s="6">
        <v>20</v>
      </c>
      <c r="J471" s="6">
        <f t="shared" si="14"/>
        <v>8900</v>
      </c>
      <c r="K471" s="6">
        <f t="shared" si="15"/>
        <v>7120</v>
      </c>
      <c r="L471" s="8" t="s">
        <v>187</v>
      </c>
      <c r="M471" s="8" t="s">
        <v>81</v>
      </c>
      <c r="N471">
        <v>4</v>
      </c>
      <c r="O471">
        <v>2024</v>
      </c>
      <c r="P471" s="29" t="s">
        <v>722</v>
      </c>
      <c r="Q471" t="s">
        <v>736</v>
      </c>
      <c r="R471" t="s">
        <v>738</v>
      </c>
    </row>
    <row r="472" spans="1:18" x14ac:dyDescent="0.25">
      <c r="A472" s="9">
        <v>471</v>
      </c>
      <c r="B472" s="10">
        <v>45571</v>
      </c>
      <c r="C472" s="11" t="s">
        <v>108</v>
      </c>
      <c r="D472" s="11" t="s">
        <v>83</v>
      </c>
      <c r="E472" s="11" t="s">
        <v>84</v>
      </c>
      <c r="F472" s="11" t="s">
        <v>128</v>
      </c>
      <c r="G472" s="9">
        <v>37</v>
      </c>
      <c r="H472" s="26">
        <v>4400</v>
      </c>
      <c r="I472" s="9">
        <v>15</v>
      </c>
      <c r="J472" s="9">
        <f t="shared" si="14"/>
        <v>162800</v>
      </c>
      <c r="K472" s="9">
        <f t="shared" si="15"/>
        <v>138380</v>
      </c>
      <c r="L472" s="11" t="s">
        <v>187</v>
      </c>
      <c r="M472" s="11" t="s">
        <v>81</v>
      </c>
      <c r="N472">
        <v>10</v>
      </c>
      <c r="O472">
        <v>2024</v>
      </c>
      <c r="P472" s="29" t="s">
        <v>709</v>
      </c>
      <c r="Q472" t="s">
        <v>733</v>
      </c>
      <c r="R472" t="s">
        <v>739</v>
      </c>
    </row>
    <row r="473" spans="1:18" x14ac:dyDescent="0.25">
      <c r="A473" s="6">
        <v>472</v>
      </c>
      <c r="B473" s="7">
        <v>45570</v>
      </c>
      <c r="C473" s="8" t="s">
        <v>88</v>
      </c>
      <c r="D473" s="8" t="s">
        <v>73</v>
      </c>
      <c r="E473" s="8" t="s">
        <v>84</v>
      </c>
      <c r="F473" s="8" t="s">
        <v>85</v>
      </c>
      <c r="G473" s="6">
        <v>17</v>
      </c>
      <c r="H473" s="25">
        <v>5200</v>
      </c>
      <c r="I473" s="6">
        <v>15</v>
      </c>
      <c r="J473" s="6">
        <f t="shared" si="14"/>
        <v>88400</v>
      </c>
      <c r="K473" s="6">
        <f t="shared" si="15"/>
        <v>75140</v>
      </c>
      <c r="L473" s="8" t="s">
        <v>76</v>
      </c>
      <c r="M473" s="8" t="s">
        <v>77</v>
      </c>
      <c r="N473">
        <v>10</v>
      </c>
      <c r="O473">
        <v>2024</v>
      </c>
      <c r="P473" s="29" t="s">
        <v>709</v>
      </c>
      <c r="Q473" t="s">
        <v>733</v>
      </c>
      <c r="R473" t="s">
        <v>739</v>
      </c>
    </row>
    <row r="474" spans="1:18" x14ac:dyDescent="0.25">
      <c r="A474" s="9">
        <v>473</v>
      </c>
      <c r="B474" s="10">
        <v>45138</v>
      </c>
      <c r="C474" s="11" t="s">
        <v>82</v>
      </c>
      <c r="D474" s="11" t="s">
        <v>117</v>
      </c>
      <c r="E474" s="11" t="s">
        <v>111</v>
      </c>
      <c r="F474" s="11" t="s">
        <v>159</v>
      </c>
      <c r="G474" s="9">
        <v>3</v>
      </c>
      <c r="H474" s="26">
        <v>13600</v>
      </c>
      <c r="I474" s="9">
        <v>0</v>
      </c>
      <c r="J474" s="9">
        <f t="shared" si="14"/>
        <v>40800</v>
      </c>
      <c r="K474" s="9">
        <f t="shared" si="15"/>
        <v>40800</v>
      </c>
      <c r="L474" s="11" t="s">
        <v>76</v>
      </c>
      <c r="M474" s="11" t="s">
        <v>96</v>
      </c>
      <c r="N474">
        <v>7</v>
      </c>
      <c r="O474">
        <v>2023</v>
      </c>
      <c r="P474" s="29" t="s">
        <v>724</v>
      </c>
      <c r="Q474" t="s">
        <v>734</v>
      </c>
      <c r="R474" t="s">
        <v>738</v>
      </c>
    </row>
    <row r="475" spans="1:18" x14ac:dyDescent="0.25">
      <c r="A475" s="6">
        <v>474</v>
      </c>
      <c r="B475" s="7">
        <v>45647</v>
      </c>
      <c r="C475" s="8" t="s">
        <v>82</v>
      </c>
      <c r="D475" s="8" t="s">
        <v>117</v>
      </c>
      <c r="E475" s="8" t="s">
        <v>74</v>
      </c>
      <c r="F475" s="8" t="s">
        <v>142</v>
      </c>
      <c r="G475" s="6">
        <v>25</v>
      </c>
      <c r="H475" s="25">
        <v>11900</v>
      </c>
      <c r="I475" s="6">
        <v>10</v>
      </c>
      <c r="J475" s="6">
        <f t="shared" si="14"/>
        <v>297500</v>
      </c>
      <c r="K475" s="6">
        <f t="shared" si="15"/>
        <v>267750</v>
      </c>
      <c r="L475" s="8" t="s">
        <v>76</v>
      </c>
      <c r="M475" s="31" t="s">
        <v>695</v>
      </c>
      <c r="N475">
        <v>12</v>
      </c>
      <c r="O475">
        <v>2024</v>
      </c>
      <c r="P475" s="29" t="s">
        <v>728</v>
      </c>
      <c r="Q475" t="s">
        <v>733</v>
      </c>
      <c r="R475" t="s">
        <v>737</v>
      </c>
    </row>
    <row r="476" spans="1:18" x14ac:dyDescent="0.25">
      <c r="A476" s="9">
        <v>475</v>
      </c>
      <c r="B476" s="10">
        <v>45184</v>
      </c>
      <c r="C476" s="11" t="s">
        <v>114</v>
      </c>
      <c r="D476" s="11" t="s">
        <v>109</v>
      </c>
      <c r="E476" s="11" t="s">
        <v>102</v>
      </c>
      <c r="F476" s="11" t="s">
        <v>151</v>
      </c>
      <c r="G476" s="9">
        <v>23</v>
      </c>
      <c r="H476" s="26">
        <v>7400</v>
      </c>
      <c r="I476" s="9">
        <v>10</v>
      </c>
      <c r="J476" s="9">
        <f t="shared" si="14"/>
        <v>170200</v>
      </c>
      <c r="K476" s="9">
        <f t="shared" si="15"/>
        <v>153180</v>
      </c>
      <c r="L476" s="11" t="s">
        <v>76</v>
      </c>
      <c r="M476" s="11" t="s">
        <v>91</v>
      </c>
      <c r="N476">
        <v>9</v>
      </c>
      <c r="O476">
        <v>2023</v>
      </c>
      <c r="P476" s="29" t="s">
        <v>715</v>
      </c>
      <c r="Q476" t="s">
        <v>734</v>
      </c>
      <c r="R476" t="s">
        <v>739</v>
      </c>
    </row>
    <row r="477" spans="1:18" x14ac:dyDescent="0.25">
      <c r="A477" s="6">
        <v>476</v>
      </c>
      <c r="B477" s="7">
        <v>45108</v>
      </c>
      <c r="C477" s="8" t="s">
        <v>82</v>
      </c>
      <c r="D477" s="8" t="s">
        <v>109</v>
      </c>
      <c r="E477" s="8" t="s">
        <v>111</v>
      </c>
      <c r="F477" s="8" t="s">
        <v>166</v>
      </c>
      <c r="G477" s="6">
        <v>33</v>
      </c>
      <c r="H477" s="25">
        <v>26800</v>
      </c>
      <c r="I477" s="6">
        <v>0</v>
      </c>
      <c r="J477" s="6">
        <f t="shared" si="14"/>
        <v>884400</v>
      </c>
      <c r="K477" s="6">
        <f t="shared" si="15"/>
        <v>884400</v>
      </c>
      <c r="L477" s="8" t="s">
        <v>76</v>
      </c>
      <c r="M477" s="8" t="s">
        <v>81</v>
      </c>
      <c r="N477">
        <v>7</v>
      </c>
      <c r="O477">
        <v>2023</v>
      </c>
      <c r="P477" s="29" t="s">
        <v>724</v>
      </c>
      <c r="Q477" t="s">
        <v>734</v>
      </c>
      <c r="R477" t="s">
        <v>737</v>
      </c>
    </row>
    <row r="478" spans="1:18" x14ac:dyDescent="0.25">
      <c r="A478" s="9">
        <v>477</v>
      </c>
      <c r="B478" s="10">
        <v>45237</v>
      </c>
      <c r="C478" s="11" t="s">
        <v>108</v>
      </c>
      <c r="D478" s="11" t="s">
        <v>117</v>
      </c>
      <c r="E478" s="11" t="s">
        <v>102</v>
      </c>
      <c r="F478" s="11" t="s">
        <v>137</v>
      </c>
      <c r="G478" s="9">
        <v>27</v>
      </c>
      <c r="H478" s="26">
        <v>2300</v>
      </c>
      <c r="I478" s="9">
        <v>5</v>
      </c>
      <c r="J478" s="9">
        <f t="shared" si="14"/>
        <v>62100</v>
      </c>
      <c r="K478" s="9">
        <f t="shared" si="15"/>
        <v>58995</v>
      </c>
      <c r="L478" s="11" t="s">
        <v>187</v>
      </c>
      <c r="M478" s="31" t="s">
        <v>695</v>
      </c>
      <c r="N478">
        <v>11</v>
      </c>
      <c r="O478">
        <v>2023</v>
      </c>
      <c r="P478" s="29" t="s">
        <v>718</v>
      </c>
      <c r="Q478" t="s">
        <v>733</v>
      </c>
      <c r="R478" t="s">
        <v>739</v>
      </c>
    </row>
    <row r="479" spans="1:18" x14ac:dyDescent="0.25">
      <c r="A479" s="6">
        <v>478</v>
      </c>
      <c r="B479" s="7">
        <v>45618</v>
      </c>
      <c r="C479" s="8" t="s">
        <v>119</v>
      </c>
      <c r="D479" s="8" t="s">
        <v>83</v>
      </c>
      <c r="E479" s="8" t="s">
        <v>84</v>
      </c>
      <c r="F479" s="8" t="s">
        <v>128</v>
      </c>
      <c r="G479" s="6">
        <v>27</v>
      </c>
      <c r="H479" s="25">
        <v>4500</v>
      </c>
      <c r="I479" s="6">
        <v>0</v>
      </c>
      <c r="J479" s="6">
        <f t="shared" si="14"/>
        <v>121500</v>
      </c>
      <c r="K479" s="6">
        <f t="shared" si="15"/>
        <v>121500</v>
      </c>
      <c r="L479" s="8" t="s">
        <v>76</v>
      </c>
      <c r="M479" s="8" t="s">
        <v>77</v>
      </c>
      <c r="N479">
        <v>11</v>
      </c>
      <c r="O479">
        <v>2024</v>
      </c>
      <c r="P479" s="29" t="s">
        <v>714</v>
      </c>
      <c r="Q479" t="s">
        <v>733</v>
      </c>
      <c r="R479" t="s">
        <v>739</v>
      </c>
    </row>
    <row r="480" spans="1:18" x14ac:dyDescent="0.25">
      <c r="A480" s="9">
        <v>479</v>
      </c>
      <c r="B480" s="10">
        <v>45573</v>
      </c>
      <c r="C480" s="11" t="s">
        <v>124</v>
      </c>
      <c r="D480" s="11" t="s">
        <v>109</v>
      </c>
      <c r="E480" s="11" t="s">
        <v>84</v>
      </c>
      <c r="F480" s="11" t="s">
        <v>206</v>
      </c>
      <c r="G480" s="9">
        <v>10</v>
      </c>
      <c r="H480" s="26">
        <v>15700</v>
      </c>
      <c r="I480" s="9">
        <v>0</v>
      </c>
      <c r="J480" s="9">
        <f t="shared" si="14"/>
        <v>157000</v>
      </c>
      <c r="K480" s="9">
        <f t="shared" si="15"/>
        <v>157000</v>
      </c>
      <c r="L480" s="11" t="s">
        <v>76</v>
      </c>
      <c r="M480" s="11" t="s">
        <v>96</v>
      </c>
      <c r="N480">
        <v>10</v>
      </c>
      <c r="O480">
        <v>2024</v>
      </c>
      <c r="P480" s="29" t="s">
        <v>709</v>
      </c>
      <c r="Q480" t="s">
        <v>733</v>
      </c>
      <c r="R480" t="s">
        <v>739</v>
      </c>
    </row>
    <row r="481" spans="1:18" x14ac:dyDescent="0.25">
      <c r="A481" s="9">
        <v>480</v>
      </c>
      <c r="B481" s="10">
        <v>45456</v>
      </c>
      <c r="C481" s="11" t="s">
        <v>114</v>
      </c>
      <c r="D481" s="11" t="s">
        <v>93</v>
      </c>
      <c r="E481" s="11" t="s">
        <v>102</v>
      </c>
      <c r="F481" s="11" t="s">
        <v>138</v>
      </c>
      <c r="G481" s="9">
        <v>47</v>
      </c>
      <c r="H481" s="26">
        <v>7300</v>
      </c>
      <c r="I481" s="9">
        <v>0</v>
      </c>
      <c r="J481" s="9">
        <f t="shared" si="14"/>
        <v>343100</v>
      </c>
      <c r="K481" s="9">
        <f t="shared" si="15"/>
        <v>343100</v>
      </c>
      <c r="L481" s="11" t="s">
        <v>187</v>
      </c>
      <c r="M481" s="11" t="s">
        <v>96</v>
      </c>
      <c r="N481">
        <v>6</v>
      </c>
      <c r="O481">
        <v>2024</v>
      </c>
      <c r="P481" s="29" t="s">
        <v>720</v>
      </c>
      <c r="Q481" t="s">
        <v>736</v>
      </c>
      <c r="R481" t="s">
        <v>737</v>
      </c>
    </row>
    <row r="482" spans="1:18" x14ac:dyDescent="0.25">
      <c r="A482" s="6">
        <v>481</v>
      </c>
      <c r="B482" s="7">
        <v>45207</v>
      </c>
      <c r="C482" s="8" t="s">
        <v>119</v>
      </c>
      <c r="D482" s="8" t="s">
        <v>93</v>
      </c>
      <c r="E482" s="8" t="s">
        <v>111</v>
      </c>
      <c r="F482" s="8" t="s">
        <v>159</v>
      </c>
      <c r="G482" s="6">
        <v>27</v>
      </c>
      <c r="H482" s="25">
        <v>11300</v>
      </c>
      <c r="I482" s="6">
        <v>10</v>
      </c>
      <c r="J482" s="6">
        <f t="shared" si="14"/>
        <v>305100</v>
      </c>
      <c r="K482" s="6">
        <f t="shared" si="15"/>
        <v>274590</v>
      </c>
      <c r="L482" s="8" t="s">
        <v>76</v>
      </c>
      <c r="M482" s="8" t="s">
        <v>81</v>
      </c>
      <c r="N482">
        <v>10</v>
      </c>
      <c r="O482">
        <v>2023</v>
      </c>
      <c r="P482" s="29" t="s">
        <v>726</v>
      </c>
      <c r="Q482" t="s">
        <v>733</v>
      </c>
      <c r="R482" t="s">
        <v>737</v>
      </c>
    </row>
    <row r="483" spans="1:18" x14ac:dyDescent="0.25">
      <c r="A483" s="9">
        <v>482</v>
      </c>
      <c r="B483" s="10">
        <v>45454</v>
      </c>
      <c r="C483" s="11" t="s">
        <v>82</v>
      </c>
      <c r="D483" s="11" t="s">
        <v>117</v>
      </c>
      <c r="E483" s="11" t="s">
        <v>84</v>
      </c>
      <c r="F483" s="11" t="s">
        <v>200</v>
      </c>
      <c r="G483" s="9">
        <v>39</v>
      </c>
      <c r="H483" s="26">
        <v>3600</v>
      </c>
      <c r="I483" s="9">
        <v>5</v>
      </c>
      <c r="J483" s="9">
        <f t="shared" si="14"/>
        <v>140400</v>
      </c>
      <c r="K483" s="9">
        <f t="shared" si="15"/>
        <v>133380</v>
      </c>
      <c r="L483" s="11" t="s">
        <v>76</v>
      </c>
      <c r="M483" s="11" t="s">
        <v>81</v>
      </c>
      <c r="N483">
        <v>6</v>
      </c>
      <c r="O483">
        <v>2024</v>
      </c>
      <c r="P483" s="29" t="s">
        <v>720</v>
      </c>
      <c r="Q483" t="s">
        <v>736</v>
      </c>
      <c r="R483" t="s">
        <v>739</v>
      </c>
    </row>
    <row r="484" spans="1:18" x14ac:dyDescent="0.25">
      <c r="A484" s="6">
        <v>483</v>
      </c>
      <c r="B484" s="7">
        <v>45321</v>
      </c>
      <c r="C484" s="8" t="s">
        <v>108</v>
      </c>
      <c r="D484" s="8" t="s">
        <v>73</v>
      </c>
      <c r="E484" s="8" t="s">
        <v>79</v>
      </c>
      <c r="F484" s="8" t="s">
        <v>80</v>
      </c>
      <c r="G484" s="6">
        <v>33</v>
      </c>
      <c r="H484" s="25">
        <v>8800</v>
      </c>
      <c r="I484" s="6">
        <v>10</v>
      </c>
      <c r="J484" s="6">
        <f t="shared" si="14"/>
        <v>290400</v>
      </c>
      <c r="K484" s="6">
        <f t="shared" si="15"/>
        <v>261360</v>
      </c>
      <c r="L484" s="8" t="s">
        <v>187</v>
      </c>
      <c r="M484" s="8" t="s">
        <v>81</v>
      </c>
      <c r="N484">
        <v>1</v>
      </c>
      <c r="O484">
        <v>2024</v>
      </c>
      <c r="P484" s="29" t="s">
        <v>727</v>
      </c>
      <c r="Q484" t="s">
        <v>735</v>
      </c>
      <c r="R484" t="s">
        <v>737</v>
      </c>
    </row>
    <row r="485" spans="1:18" x14ac:dyDescent="0.25">
      <c r="A485" s="9">
        <v>484</v>
      </c>
      <c r="B485" s="10">
        <v>45173</v>
      </c>
      <c r="C485" s="11" t="s">
        <v>108</v>
      </c>
      <c r="D485" s="11" t="s">
        <v>83</v>
      </c>
      <c r="E485" s="11" t="s">
        <v>102</v>
      </c>
      <c r="F485" s="11" t="s">
        <v>138</v>
      </c>
      <c r="G485" s="9">
        <v>35</v>
      </c>
      <c r="H485" s="26">
        <v>7300</v>
      </c>
      <c r="I485" s="9">
        <v>0</v>
      </c>
      <c r="J485" s="9">
        <f t="shared" si="14"/>
        <v>255500</v>
      </c>
      <c r="K485" s="9">
        <f t="shared" si="15"/>
        <v>255500</v>
      </c>
      <c r="L485" s="11" t="s">
        <v>76</v>
      </c>
      <c r="M485" s="11" t="s">
        <v>77</v>
      </c>
      <c r="N485">
        <v>9</v>
      </c>
      <c r="O485">
        <v>2023</v>
      </c>
      <c r="P485" s="29" t="s">
        <v>715</v>
      </c>
      <c r="Q485" t="s">
        <v>734</v>
      </c>
      <c r="R485" t="s">
        <v>737</v>
      </c>
    </row>
    <row r="486" spans="1:18" x14ac:dyDescent="0.25">
      <c r="A486" s="6">
        <v>485</v>
      </c>
      <c r="B486" s="7">
        <v>45509</v>
      </c>
      <c r="C486" s="8" t="s">
        <v>108</v>
      </c>
      <c r="D486" s="8" t="s">
        <v>93</v>
      </c>
      <c r="E486" s="8" t="s">
        <v>102</v>
      </c>
      <c r="F486" s="8" t="s">
        <v>138</v>
      </c>
      <c r="G486" s="6">
        <v>50</v>
      </c>
      <c r="H486" s="25">
        <v>7300</v>
      </c>
      <c r="I486" s="6">
        <v>10</v>
      </c>
      <c r="J486" s="6">
        <f t="shared" si="14"/>
        <v>365000</v>
      </c>
      <c r="K486" s="6">
        <f t="shared" si="15"/>
        <v>328500</v>
      </c>
      <c r="L486" s="8" t="s">
        <v>187</v>
      </c>
      <c r="M486" s="8" t="s">
        <v>91</v>
      </c>
      <c r="N486">
        <v>8</v>
      </c>
      <c r="O486">
        <v>2024</v>
      </c>
      <c r="P486" s="29" t="s">
        <v>710</v>
      </c>
      <c r="Q486" t="s">
        <v>734</v>
      </c>
      <c r="R486" t="s">
        <v>737</v>
      </c>
    </row>
    <row r="487" spans="1:18" x14ac:dyDescent="0.25">
      <c r="A487" s="9">
        <v>486</v>
      </c>
      <c r="B487" s="10">
        <v>45446</v>
      </c>
      <c r="C487" s="11" t="s">
        <v>88</v>
      </c>
      <c r="D487" s="11" t="s">
        <v>73</v>
      </c>
      <c r="E487" s="11" t="s">
        <v>102</v>
      </c>
      <c r="F487" s="11" t="s">
        <v>151</v>
      </c>
      <c r="G487" s="9">
        <v>31</v>
      </c>
      <c r="H487" s="26">
        <v>7200</v>
      </c>
      <c r="I487" s="9">
        <v>0</v>
      </c>
      <c r="J487" s="9">
        <f t="shared" si="14"/>
        <v>223200</v>
      </c>
      <c r="K487" s="9">
        <f t="shared" si="15"/>
        <v>223200</v>
      </c>
      <c r="L487" s="11" t="s">
        <v>187</v>
      </c>
      <c r="M487" s="11" t="s">
        <v>91</v>
      </c>
      <c r="N487">
        <v>6</v>
      </c>
      <c r="O487">
        <v>2024</v>
      </c>
      <c r="P487" s="29" t="s">
        <v>720</v>
      </c>
      <c r="Q487" t="s">
        <v>736</v>
      </c>
      <c r="R487" t="s">
        <v>737</v>
      </c>
    </row>
    <row r="488" spans="1:18" x14ac:dyDescent="0.25">
      <c r="A488" s="6">
        <v>487</v>
      </c>
      <c r="B488" s="7">
        <v>45530</v>
      </c>
      <c r="C488" s="8" t="s">
        <v>124</v>
      </c>
      <c r="D488" s="8" t="s">
        <v>73</v>
      </c>
      <c r="E488" s="8" t="s">
        <v>111</v>
      </c>
      <c r="F488" s="8" t="s">
        <v>166</v>
      </c>
      <c r="G488" s="6">
        <v>50</v>
      </c>
      <c r="H488" s="25">
        <v>27000</v>
      </c>
      <c r="I488" s="6">
        <v>0</v>
      </c>
      <c r="J488" s="6">
        <f t="shared" si="14"/>
        <v>1350000</v>
      </c>
      <c r="K488" s="6">
        <f t="shared" si="15"/>
        <v>1350000</v>
      </c>
      <c r="L488" s="8" t="s">
        <v>76</v>
      </c>
      <c r="M488" s="8" t="s">
        <v>77</v>
      </c>
      <c r="N488">
        <v>8</v>
      </c>
      <c r="O488">
        <v>2024</v>
      </c>
      <c r="P488" s="29" t="s">
        <v>710</v>
      </c>
      <c r="Q488" t="s">
        <v>734</v>
      </c>
      <c r="R488" t="s">
        <v>737</v>
      </c>
    </row>
    <row r="489" spans="1:18" x14ac:dyDescent="0.25">
      <c r="A489" s="9">
        <v>488</v>
      </c>
      <c r="B489" s="10">
        <v>45391</v>
      </c>
      <c r="C489" s="11" t="s">
        <v>82</v>
      </c>
      <c r="D489" s="11" t="s">
        <v>83</v>
      </c>
      <c r="E489" s="11" t="s">
        <v>74</v>
      </c>
      <c r="F489" s="11" t="s">
        <v>75</v>
      </c>
      <c r="G489" s="12">
        <v>48</v>
      </c>
      <c r="H489" s="26">
        <v>19800</v>
      </c>
      <c r="I489" s="9">
        <v>10</v>
      </c>
      <c r="J489" s="9">
        <f t="shared" si="14"/>
        <v>950400</v>
      </c>
      <c r="K489" s="9">
        <f t="shared" si="15"/>
        <v>855360</v>
      </c>
      <c r="L489" s="11" t="s">
        <v>187</v>
      </c>
      <c r="M489" s="11" t="s">
        <v>77</v>
      </c>
      <c r="N489">
        <v>4</v>
      </c>
      <c r="O489">
        <v>2024</v>
      </c>
      <c r="P489" s="29" t="s">
        <v>722</v>
      </c>
      <c r="Q489" t="s">
        <v>736</v>
      </c>
      <c r="R489" t="s">
        <v>737</v>
      </c>
    </row>
    <row r="490" spans="1:18" x14ac:dyDescent="0.25">
      <c r="A490" s="6">
        <v>489</v>
      </c>
      <c r="B490" s="7">
        <v>45139</v>
      </c>
      <c r="C490" s="8" t="s">
        <v>114</v>
      </c>
      <c r="D490" s="8" t="s">
        <v>109</v>
      </c>
      <c r="E490" s="8" t="s">
        <v>74</v>
      </c>
      <c r="F490" s="8" t="s">
        <v>140</v>
      </c>
      <c r="G490" s="6">
        <v>10</v>
      </c>
      <c r="H490" s="25">
        <v>4500</v>
      </c>
      <c r="I490" s="6">
        <v>0</v>
      </c>
      <c r="J490" s="6">
        <f t="shared" si="14"/>
        <v>45000</v>
      </c>
      <c r="K490" s="6">
        <f t="shared" si="15"/>
        <v>45000</v>
      </c>
      <c r="L490" s="8" t="s">
        <v>76</v>
      </c>
      <c r="M490" s="8" t="s">
        <v>96</v>
      </c>
      <c r="N490">
        <v>8</v>
      </c>
      <c r="O490">
        <v>2023</v>
      </c>
      <c r="P490" s="29" t="s">
        <v>713</v>
      </c>
      <c r="Q490" t="s">
        <v>734</v>
      </c>
      <c r="R490" t="s">
        <v>738</v>
      </c>
    </row>
    <row r="491" spans="1:18" x14ac:dyDescent="0.25">
      <c r="A491" s="9">
        <v>490</v>
      </c>
      <c r="B491" s="10">
        <v>45329</v>
      </c>
      <c r="C491" s="11" t="s">
        <v>114</v>
      </c>
      <c r="D491" s="11" t="s">
        <v>93</v>
      </c>
      <c r="E491" s="11" t="s">
        <v>74</v>
      </c>
      <c r="F491" s="11" t="s">
        <v>190</v>
      </c>
      <c r="G491" s="9">
        <v>26</v>
      </c>
      <c r="H491" s="26">
        <v>36700</v>
      </c>
      <c r="I491" s="9">
        <v>10</v>
      </c>
      <c r="J491" s="9">
        <f t="shared" si="14"/>
        <v>954200</v>
      </c>
      <c r="K491" s="9">
        <f t="shared" si="15"/>
        <v>858780</v>
      </c>
      <c r="L491" s="11" t="s">
        <v>187</v>
      </c>
      <c r="M491" s="11" t="s">
        <v>91</v>
      </c>
      <c r="N491">
        <v>2</v>
      </c>
      <c r="O491">
        <v>2024</v>
      </c>
      <c r="P491" s="29" t="s">
        <v>729</v>
      </c>
      <c r="Q491" t="s">
        <v>735</v>
      </c>
      <c r="R491" t="s">
        <v>737</v>
      </c>
    </row>
    <row r="492" spans="1:18" x14ac:dyDescent="0.25">
      <c r="A492" s="6">
        <v>491</v>
      </c>
      <c r="B492" s="7">
        <v>45497</v>
      </c>
      <c r="C492" s="8" t="s">
        <v>119</v>
      </c>
      <c r="D492" s="8" t="s">
        <v>109</v>
      </c>
      <c r="E492" s="8" t="s">
        <v>74</v>
      </c>
      <c r="F492" s="8" t="s">
        <v>99</v>
      </c>
      <c r="G492" s="6">
        <v>20</v>
      </c>
      <c r="H492" s="25">
        <v>3400</v>
      </c>
      <c r="I492" s="6">
        <v>15</v>
      </c>
      <c r="J492" s="6">
        <f t="shared" si="14"/>
        <v>68000</v>
      </c>
      <c r="K492" s="6">
        <f t="shared" si="15"/>
        <v>57800</v>
      </c>
      <c r="L492" s="8" t="s">
        <v>76</v>
      </c>
      <c r="M492" s="8" t="s">
        <v>91</v>
      </c>
      <c r="N492">
        <v>7</v>
      </c>
      <c r="O492">
        <v>2024</v>
      </c>
      <c r="P492" s="29" t="s">
        <v>712</v>
      </c>
      <c r="Q492" t="s">
        <v>734</v>
      </c>
      <c r="R492" t="s">
        <v>739</v>
      </c>
    </row>
    <row r="493" spans="1:18" x14ac:dyDescent="0.25">
      <c r="A493" s="9">
        <v>492</v>
      </c>
      <c r="B493" s="10">
        <v>45068</v>
      </c>
      <c r="C493" s="11" t="s">
        <v>97</v>
      </c>
      <c r="D493" s="11" t="s">
        <v>109</v>
      </c>
      <c r="E493" s="11" t="s">
        <v>111</v>
      </c>
      <c r="F493" s="11" t="s">
        <v>166</v>
      </c>
      <c r="G493" s="9">
        <v>33</v>
      </c>
      <c r="H493" s="26">
        <v>25900</v>
      </c>
      <c r="I493" s="9">
        <v>20</v>
      </c>
      <c r="J493" s="9">
        <f t="shared" si="14"/>
        <v>854700</v>
      </c>
      <c r="K493" s="9">
        <f t="shared" si="15"/>
        <v>683760</v>
      </c>
      <c r="L493" s="11" t="s">
        <v>76</v>
      </c>
      <c r="M493" s="31" t="s">
        <v>695</v>
      </c>
      <c r="N493">
        <v>5</v>
      </c>
      <c r="O493">
        <v>2023</v>
      </c>
      <c r="P493" s="29" t="s">
        <v>730</v>
      </c>
      <c r="Q493" t="s">
        <v>736</v>
      </c>
      <c r="R493" t="s">
        <v>737</v>
      </c>
    </row>
    <row r="494" spans="1:18" x14ac:dyDescent="0.25">
      <c r="A494" s="6">
        <v>493</v>
      </c>
      <c r="B494" s="7">
        <v>45490</v>
      </c>
      <c r="C494" s="8" t="s">
        <v>124</v>
      </c>
      <c r="D494" s="8" t="s">
        <v>73</v>
      </c>
      <c r="E494" s="8" t="s">
        <v>84</v>
      </c>
      <c r="F494" s="8" t="s">
        <v>148</v>
      </c>
      <c r="G494" s="6">
        <v>1</v>
      </c>
      <c r="H494" s="25">
        <v>5500</v>
      </c>
      <c r="I494" s="6">
        <v>5</v>
      </c>
      <c r="J494" s="6">
        <f t="shared" si="14"/>
        <v>5500</v>
      </c>
      <c r="K494" s="6">
        <f t="shared" si="15"/>
        <v>5225</v>
      </c>
      <c r="L494" s="8" t="s">
        <v>187</v>
      </c>
      <c r="M494" s="8" t="s">
        <v>81</v>
      </c>
      <c r="N494">
        <v>7</v>
      </c>
      <c r="O494">
        <v>2024</v>
      </c>
      <c r="P494" s="29" t="s">
        <v>712</v>
      </c>
      <c r="Q494" t="s">
        <v>734</v>
      </c>
      <c r="R494" t="s">
        <v>738</v>
      </c>
    </row>
    <row r="495" spans="1:18" x14ac:dyDescent="0.25">
      <c r="A495" s="9">
        <v>494</v>
      </c>
      <c r="B495" s="10">
        <v>45452</v>
      </c>
      <c r="C495" s="11" t="s">
        <v>114</v>
      </c>
      <c r="D495" s="11" t="s">
        <v>73</v>
      </c>
      <c r="E495" s="11" t="s">
        <v>79</v>
      </c>
      <c r="F495" s="11" t="s">
        <v>179</v>
      </c>
      <c r="G495" s="9">
        <v>6</v>
      </c>
      <c r="H495" s="26">
        <v>2400</v>
      </c>
      <c r="I495" s="9">
        <v>5</v>
      </c>
      <c r="J495" s="9">
        <f t="shared" si="14"/>
        <v>14400</v>
      </c>
      <c r="K495" s="9">
        <f t="shared" si="15"/>
        <v>13680</v>
      </c>
      <c r="L495" s="11" t="s">
        <v>76</v>
      </c>
      <c r="M495" s="11" t="s">
        <v>91</v>
      </c>
      <c r="N495">
        <v>6</v>
      </c>
      <c r="O495">
        <v>2024</v>
      </c>
      <c r="P495" s="29" t="s">
        <v>720</v>
      </c>
      <c r="Q495" t="s">
        <v>736</v>
      </c>
      <c r="R495" t="s">
        <v>738</v>
      </c>
    </row>
    <row r="496" spans="1:18" x14ac:dyDescent="0.25">
      <c r="A496" s="6">
        <v>495</v>
      </c>
      <c r="B496" s="7">
        <v>45555</v>
      </c>
      <c r="C496" s="8" t="s">
        <v>82</v>
      </c>
      <c r="D496" s="8" t="s">
        <v>117</v>
      </c>
      <c r="E496" s="8" t="s">
        <v>102</v>
      </c>
      <c r="F496" s="8" t="s">
        <v>138</v>
      </c>
      <c r="G496" s="6">
        <v>12</v>
      </c>
      <c r="H496" s="25">
        <v>7400</v>
      </c>
      <c r="I496" s="6">
        <v>0</v>
      </c>
      <c r="J496" s="6">
        <f t="shared" si="14"/>
        <v>88800</v>
      </c>
      <c r="K496" s="6">
        <f t="shared" si="15"/>
        <v>88800</v>
      </c>
      <c r="L496" s="8" t="s">
        <v>76</v>
      </c>
      <c r="M496" s="8" t="s">
        <v>91</v>
      </c>
      <c r="N496">
        <v>9</v>
      </c>
      <c r="O496">
        <v>2024</v>
      </c>
      <c r="P496" s="29" t="s">
        <v>731</v>
      </c>
      <c r="Q496" t="s">
        <v>734</v>
      </c>
      <c r="R496" t="s">
        <v>739</v>
      </c>
    </row>
    <row r="497" spans="1:18" x14ac:dyDescent="0.25">
      <c r="A497" s="9">
        <v>496</v>
      </c>
      <c r="B497" s="10">
        <v>45133</v>
      </c>
      <c r="C497" s="11" t="s">
        <v>82</v>
      </c>
      <c r="D497" s="11" t="s">
        <v>117</v>
      </c>
      <c r="E497" s="11" t="s">
        <v>84</v>
      </c>
      <c r="F497" s="11" t="s">
        <v>206</v>
      </c>
      <c r="G497" s="9">
        <v>33</v>
      </c>
      <c r="H497" s="26">
        <v>15300</v>
      </c>
      <c r="I497" s="9">
        <v>10</v>
      </c>
      <c r="J497" s="9">
        <f t="shared" si="14"/>
        <v>504900</v>
      </c>
      <c r="K497" s="9">
        <f t="shared" si="15"/>
        <v>454410</v>
      </c>
      <c r="L497" s="11" t="s">
        <v>76</v>
      </c>
      <c r="M497" s="11" t="s">
        <v>81</v>
      </c>
      <c r="N497">
        <v>7</v>
      </c>
      <c r="O497">
        <v>2023</v>
      </c>
      <c r="P497" s="29" t="s">
        <v>724</v>
      </c>
      <c r="Q497" t="s">
        <v>734</v>
      </c>
      <c r="R497" t="s">
        <v>737</v>
      </c>
    </row>
    <row r="498" spans="1:18" x14ac:dyDescent="0.25">
      <c r="A498" s="6">
        <v>497</v>
      </c>
      <c r="B498" s="7">
        <v>45100</v>
      </c>
      <c r="C498" s="8" t="s">
        <v>78</v>
      </c>
      <c r="D498" s="8" t="s">
        <v>117</v>
      </c>
      <c r="E498" s="8" t="s">
        <v>84</v>
      </c>
      <c r="F498" s="8" t="s">
        <v>206</v>
      </c>
      <c r="G498" s="6">
        <v>6</v>
      </c>
      <c r="H498" s="25">
        <v>16000</v>
      </c>
      <c r="I498" s="6">
        <v>0</v>
      </c>
      <c r="J498" s="6">
        <f t="shared" si="14"/>
        <v>96000</v>
      </c>
      <c r="K498" s="6">
        <f t="shared" si="15"/>
        <v>96000</v>
      </c>
      <c r="L498" s="8" t="s">
        <v>123</v>
      </c>
      <c r="M498" s="8" t="s">
        <v>91</v>
      </c>
      <c r="N498">
        <v>6</v>
      </c>
      <c r="O498">
        <v>2023</v>
      </c>
      <c r="P498" s="29" t="s">
        <v>723</v>
      </c>
      <c r="Q498" t="s">
        <v>736</v>
      </c>
      <c r="R498" t="s">
        <v>739</v>
      </c>
    </row>
    <row r="499" spans="1:18" x14ac:dyDescent="0.25">
      <c r="A499" s="9">
        <v>498</v>
      </c>
      <c r="B499" s="10">
        <v>45612</v>
      </c>
      <c r="C499" s="11" t="s">
        <v>114</v>
      </c>
      <c r="D499" s="11" t="s">
        <v>83</v>
      </c>
      <c r="E499" s="11" t="s">
        <v>102</v>
      </c>
      <c r="F499" s="11" t="s">
        <v>181</v>
      </c>
      <c r="G499" s="9">
        <v>48</v>
      </c>
      <c r="H499" s="26">
        <v>4600</v>
      </c>
      <c r="I499" s="9">
        <v>10</v>
      </c>
      <c r="J499" s="9">
        <f t="shared" si="14"/>
        <v>220800</v>
      </c>
      <c r="K499" s="9">
        <f t="shared" si="15"/>
        <v>198720</v>
      </c>
      <c r="L499" s="11" t="s">
        <v>187</v>
      </c>
      <c r="M499" s="11" t="s">
        <v>77</v>
      </c>
      <c r="N499">
        <v>11</v>
      </c>
      <c r="O499">
        <v>2024</v>
      </c>
      <c r="P499" s="29" t="s">
        <v>714</v>
      </c>
      <c r="Q499" t="s">
        <v>733</v>
      </c>
      <c r="R499" t="s">
        <v>739</v>
      </c>
    </row>
    <row r="500" spans="1:18" x14ac:dyDescent="0.25">
      <c r="A500" s="6">
        <v>499</v>
      </c>
      <c r="B500" s="7">
        <v>45218</v>
      </c>
      <c r="C500" s="8" t="s">
        <v>82</v>
      </c>
      <c r="D500" s="8" t="s">
        <v>93</v>
      </c>
      <c r="E500" s="8" t="s">
        <v>74</v>
      </c>
      <c r="F500" s="8" t="s">
        <v>212</v>
      </c>
      <c r="G500" s="6">
        <v>18</v>
      </c>
      <c r="H500" s="25">
        <v>9100</v>
      </c>
      <c r="I500" s="6">
        <v>5</v>
      </c>
      <c r="J500" s="6">
        <f t="shared" si="14"/>
        <v>163800</v>
      </c>
      <c r="K500" s="6">
        <f t="shared" si="15"/>
        <v>155610</v>
      </c>
      <c r="L500" s="8" t="s">
        <v>76</v>
      </c>
      <c r="M500" s="31" t="s">
        <v>695</v>
      </c>
      <c r="N500">
        <v>10</v>
      </c>
      <c r="O500">
        <v>2023</v>
      </c>
      <c r="P500" s="29" t="s">
        <v>726</v>
      </c>
      <c r="Q500" t="s">
        <v>733</v>
      </c>
      <c r="R500" t="s">
        <v>739</v>
      </c>
    </row>
    <row r="501" spans="1:18" x14ac:dyDescent="0.25">
      <c r="A501" s="9">
        <v>500</v>
      </c>
      <c r="B501" s="10">
        <v>45340</v>
      </c>
      <c r="C501" s="11" t="s">
        <v>124</v>
      </c>
      <c r="D501" s="11" t="s">
        <v>73</v>
      </c>
      <c r="E501" s="11" t="s">
        <v>74</v>
      </c>
      <c r="F501" s="11" t="s">
        <v>142</v>
      </c>
      <c r="G501" s="9">
        <v>7</v>
      </c>
      <c r="H501" s="26">
        <v>12000</v>
      </c>
      <c r="I501" s="9">
        <v>0</v>
      </c>
      <c r="J501" s="9">
        <f t="shared" si="14"/>
        <v>84000</v>
      </c>
      <c r="K501" s="9">
        <f t="shared" si="15"/>
        <v>84000</v>
      </c>
      <c r="L501" s="11" t="s">
        <v>76</v>
      </c>
      <c r="M501" s="11" t="s">
        <v>96</v>
      </c>
      <c r="N501">
        <v>2</v>
      </c>
      <c r="O501">
        <v>2024</v>
      </c>
      <c r="P501" s="29" t="s">
        <v>729</v>
      </c>
      <c r="Q501" t="s">
        <v>735</v>
      </c>
      <c r="R501" t="s">
        <v>739</v>
      </c>
    </row>
    <row r="502" spans="1:18" x14ac:dyDescent="0.25">
      <c r="A502" s="6">
        <v>501</v>
      </c>
      <c r="B502" s="7">
        <v>45046</v>
      </c>
      <c r="C502" s="8" t="s">
        <v>82</v>
      </c>
      <c r="D502" s="8" t="s">
        <v>117</v>
      </c>
      <c r="E502" s="8" t="s">
        <v>102</v>
      </c>
      <c r="F502" s="8" t="s">
        <v>110</v>
      </c>
      <c r="G502" s="6">
        <v>25</v>
      </c>
      <c r="H502" s="25">
        <v>23600</v>
      </c>
      <c r="I502" s="6">
        <v>20</v>
      </c>
      <c r="J502" s="6">
        <f t="shared" si="14"/>
        <v>590000</v>
      </c>
      <c r="K502" s="6">
        <f t="shared" si="15"/>
        <v>472000</v>
      </c>
      <c r="L502" s="8" t="s">
        <v>76</v>
      </c>
      <c r="M502" s="8" t="s">
        <v>81</v>
      </c>
      <c r="N502">
        <v>4</v>
      </c>
      <c r="O502">
        <v>2023</v>
      </c>
      <c r="P502" s="29" t="s">
        <v>716</v>
      </c>
      <c r="Q502" t="s">
        <v>736</v>
      </c>
      <c r="R502" t="s">
        <v>737</v>
      </c>
    </row>
    <row r="503" spans="1:18" x14ac:dyDescent="0.25">
      <c r="A503" s="9">
        <v>502</v>
      </c>
      <c r="B503" s="10">
        <v>45274</v>
      </c>
      <c r="C503" s="11" t="s">
        <v>119</v>
      </c>
      <c r="D503" s="11" t="s">
        <v>83</v>
      </c>
      <c r="E503" s="11" t="s">
        <v>102</v>
      </c>
      <c r="F503" s="11" t="s">
        <v>138</v>
      </c>
      <c r="G503" s="9">
        <v>17</v>
      </c>
      <c r="H503" s="26">
        <v>6600</v>
      </c>
      <c r="I503" s="9">
        <v>15</v>
      </c>
      <c r="J503" s="9">
        <f t="shared" si="14"/>
        <v>112200</v>
      </c>
      <c r="K503" s="9">
        <f t="shared" si="15"/>
        <v>95370</v>
      </c>
      <c r="L503" s="11" t="s">
        <v>76</v>
      </c>
      <c r="M503" s="11" t="s">
        <v>81</v>
      </c>
      <c r="N503">
        <v>12</v>
      </c>
      <c r="O503">
        <v>2023</v>
      </c>
      <c r="P503" s="29" t="s">
        <v>725</v>
      </c>
      <c r="Q503" t="s">
        <v>733</v>
      </c>
      <c r="R503" t="s">
        <v>739</v>
      </c>
    </row>
    <row r="504" spans="1:18" x14ac:dyDescent="0.25">
      <c r="A504" s="6">
        <v>503</v>
      </c>
      <c r="B504" s="7">
        <v>45645</v>
      </c>
      <c r="C504" s="8" t="s">
        <v>106</v>
      </c>
      <c r="D504" s="8" t="s">
        <v>117</v>
      </c>
      <c r="E504" s="8" t="s">
        <v>111</v>
      </c>
      <c r="F504" s="8" t="s">
        <v>132</v>
      </c>
      <c r="G504" s="6">
        <v>1</v>
      </c>
      <c r="H504" s="25">
        <v>7700</v>
      </c>
      <c r="I504" s="6">
        <v>0</v>
      </c>
      <c r="J504" s="6">
        <f t="shared" si="14"/>
        <v>7700</v>
      </c>
      <c r="K504" s="6">
        <f t="shared" si="15"/>
        <v>7700</v>
      </c>
      <c r="L504" s="8" t="s">
        <v>187</v>
      </c>
      <c r="M504" s="8" t="s">
        <v>96</v>
      </c>
      <c r="N504">
        <v>12</v>
      </c>
      <c r="O504">
        <v>2024</v>
      </c>
      <c r="P504" s="29" t="s">
        <v>728</v>
      </c>
      <c r="Q504" t="s">
        <v>733</v>
      </c>
      <c r="R504" t="s">
        <v>738</v>
      </c>
    </row>
    <row r="505" spans="1:18" x14ac:dyDescent="0.25">
      <c r="A505" s="9">
        <v>504</v>
      </c>
      <c r="B505" s="10">
        <v>45221</v>
      </c>
      <c r="C505" s="11" t="s">
        <v>97</v>
      </c>
      <c r="D505" s="11" t="s">
        <v>83</v>
      </c>
      <c r="E505" s="11" t="s">
        <v>74</v>
      </c>
      <c r="F505" s="11" t="s">
        <v>118</v>
      </c>
      <c r="G505" s="9">
        <v>12</v>
      </c>
      <c r="H505" s="26">
        <v>29100</v>
      </c>
      <c r="I505" s="9">
        <v>0</v>
      </c>
      <c r="J505" s="9">
        <f t="shared" si="14"/>
        <v>349200</v>
      </c>
      <c r="K505" s="9">
        <f t="shared" si="15"/>
        <v>349200</v>
      </c>
      <c r="L505" s="11" t="s">
        <v>76</v>
      </c>
      <c r="M505" s="11" t="s">
        <v>96</v>
      </c>
      <c r="N505">
        <v>10</v>
      </c>
      <c r="O505">
        <v>2023</v>
      </c>
      <c r="P505" s="29" t="s">
        <v>726</v>
      </c>
      <c r="Q505" t="s">
        <v>733</v>
      </c>
      <c r="R505" t="s">
        <v>737</v>
      </c>
    </row>
    <row r="506" spans="1:18" x14ac:dyDescent="0.25">
      <c r="A506" s="6">
        <v>505</v>
      </c>
      <c r="B506" s="7">
        <v>45573</v>
      </c>
      <c r="C506" s="8" t="s">
        <v>101</v>
      </c>
      <c r="D506" s="8" t="s">
        <v>109</v>
      </c>
      <c r="E506" s="8" t="s">
        <v>84</v>
      </c>
      <c r="F506" s="8" t="s">
        <v>85</v>
      </c>
      <c r="G506" s="6">
        <v>16</v>
      </c>
      <c r="H506" s="25">
        <v>5900</v>
      </c>
      <c r="I506" s="6">
        <v>0</v>
      </c>
      <c r="J506" s="6">
        <f t="shared" si="14"/>
        <v>94400</v>
      </c>
      <c r="K506" s="6">
        <f t="shared" si="15"/>
        <v>94400</v>
      </c>
      <c r="L506" s="8" t="s">
        <v>187</v>
      </c>
      <c r="M506" s="8" t="s">
        <v>96</v>
      </c>
      <c r="N506">
        <v>10</v>
      </c>
      <c r="O506">
        <v>2024</v>
      </c>
      <c r="P506" s="29" t="s">
        <v>709</v>
      </c>
      <c r="Q506" t="s">
        <v>733</v>
      </c>
      <c r="R506" t="s">
        <v>739</v>
      </c>
    </row>
    <row r="507" spans="1:18" x14ac:dyDescent="0.25">
      <c r="A507" s="9">
        <v>506</v>
      </c>
      <c r="B507" s="10">
        <v>45161</v>
      </c>
      <c r="C507" s="11" t="s">
        <v>106</v>
      </c>
      <c r="D507" s="11" t="s">
        <v>109</v>
      </c>
      <c r="E507" s="11" t="s">
        <v>102</v>
      </c>
      <c r="F507" s="11" t="s">
        <v>157</v>
      </c>
      <c r="G507" s="9">
        <v>7</v>
      </c>
      <c r="H507" s="26">
        <v>11300</v>
      </c>
      <c r="I507" s="9">
        <v>15</v>
      </c>
      <c r="J507" s="9">
        <f t="shared" si="14"/>
        <v>79100</v>
      </c>
      <c r="K507" s="9">
        <f t="shared" si="15"/>
        <v>67235</v>
      </c>
      <c r="L507" s="11" t="s">
        <v>76</v>
      </c>
      <c r="M507" s="11" t="s">
        <v>77</v>
      </c>
      <c r="N507">
        <v>8</v>
      </c>
      <c r="O507">
        <v>2023</v>
      </c>
      <c r="P507" s="29" t="s">
        <v>713</v>
      </c>
      <c r="Q507" t="s">
        <v>734</v>
      </c>
      <c r="R507" t="s">
        <v>739</v>
      </c>
    </row>
    <row r="508" spans="1:18" x14ac:dyDescent="0.25">
      <c r="A508" s="6">
        <v>507</v>
      </c>
      <c r="B508" s="7">
        <v>45576</v>
      </c>
      <c r="C508" s="8" t="s">
        <v>119</v>
      </c>
      <c r="D508" s="8" t="s">
        <v>93</v>
      </c>
      <c r="E508" s="8" t="s">
        <v>79</v>
      </c>
      <c r="F508" s="8" t="s">
        <v>136</v>
      </c>
      <c r="G508" s="6">
        <v>24</v>
      </c>
      <c r="H508" s="25">
        <v>94500</v>
      </c>
      <c r="I508" s="6">
        <v>10</v>
      </c>
      <c r="J508" s="6">
        <f t="shared" si="14"/>
        <v>2268000</v>
      </c>
      <c r="K508" s="6">
        <f t="shared" si="15"/>
        <v>2041200</v>
      </c>
      <c r="L508" s="8" t="s">
        <v>76</v>
      </c>
      <c r="M508" s="8" t="s">
        <v>91</v>
      </c>
      <c r="N508">
        <v>10</v>
      </c>
      <c r="O508">
        <v>2024</v>
      </c>
      <c r="P508" s="29" t="s">
        <v>709</v>
      </c>
      <c r="Q508" t="s">
        <v>733</v>
      </c>
      <c r="R508" t="s">
        <v>737</v>
      </c>
    </row>
    <row r="509" spans="1:18" x14ac:dyDescent="0.25">
      <c r="A509" s="9">
        <v>508</v>
      </c>
      <c r="B509" s="10">
        <v>45179</v>
      </c>
      <c r="C509" s="11" t="s">
        <v>119</v>
      </c>
      <c r="D509" s="11" t="s">
        <v>109</v>
      </c>
      <c r="E509" s="11" t="s">
        <v>102</v>
      </c>
      <c r="F509" s="11" t="s">
        <v>110</v>
      </c>
      <c r="G509" s="9">
        <v>49</v>
      </c>
      <c r="H509" s="26">
        <v>22000</v>
      </c>
      <c r="I509" s="9">
        <v>10</v>
      </c>
      <c r="J509" s="9">
        <f t="shared" si="14"/>
        <v>1078000</v>
      </c>
      <c r="K509" s="9">
        <f t="shared" si="15"/>
        <v>970200</v>
      </c>
      <c r="L509" s="11" t="s">
        <v>76</v>
      </c>
      <c r="M509" s="31" t="s">
        <v>695</v>
      </c>
      <c r="N509">
        <v>9</v>
      </c>
      <c r="O509">
        <v>2023</v>
      </c>
      <c r="P509" s="29" t="s">
        <v>715</v>
      </c>
      <c r="Q509" t="s">
        <v>734</v>
      </c>
      <c r="R509" t="s">
        <v>737</v>
      </c>
    </row>
    <row r="510" spans="1:18" x14ac:dyDescent="0.25">
      <c r="A510" s="6">
        <v>509</v>
      </c>
      <c r="B510" s="7">
        <v>45538</v>
      </c>
      <c r="C510" s="8" t="s">
        <v>119</v>
      </c>
      <c r="D510" s="8" t="s">
        <v>93</v>
      </c>
      <c r="E510" s="8" t="s">
        <v>79</v>
      </c>
      <c r="F510" s="8" t="s">
        <v>120</v>
      </c>
      <c r="G510" s="6">
        <v>44</v>
      </c>
      <c r="H510" s="25">
        <v>6000</v>
      </c>
      <c r="I510" s="6">
        <v>0</v>
      </c>
      <c r="J510" s="6">
        <f t="shared" si="14"/>
        <v>264000</v>
      </c>
      <c r="K510" s="6">
        <f t="shared" si="15"/>
        <v>264000</v>
      </c>
      <c r="L510" s="8" t="s">
        <v>187</v>
      </c>
      <c r="M510" s="8" t="s">
        <v>91</v>
      </c>
      <c r="N510">
        <v>9</v>
      </c>
      <c r="O510">
        <v>2024</v>
      </c>
      <c r="P510" s="29" t="s">
        <v>731</v>
      </c>
      <c r="Q510" t="s">
        <v>734</v>
      </c>
      <c r="R510" t="s">
        <v>737</v>
      </c>
    </row>
    <row r="511" spans="1:18" x14ac:dyDescent="0.25">
      <c r="A511" s="9">
        <v>510</v>
      </c>
      <c r="B511" s="10">
        <v>45642</v>
      </c>
      <c r="C511" s="11" t="s">
        <v>82</v>
      </c>
      <c r="D511" s="11" t="s">
        <v>83</v>
      </c>
      <c r="E511" s="11" t="s">
        <v>74</v>
      </c>
      <c r="F511" s="11" t="s">
        <v>94</v>
      </c>
      <c r="G511" s="9">
        <v>14</v>
      </c>
      <c r="H511" s="26">
        <v>31600</v>
      </c>
      <c r="I511" s="9">
        <v>0</v>
      </c>
      <c r="J511" s="9">
        <f t="shared" si="14"/>
        <v>442400</v>
      </c>
      <c r="K511" s="9">
        <f t="shared" si="15"/>
        <v>442400</v>
      </c>
      <c r="L511" s="11" t="s">
        <v>76</v>
      </c>
      <c r="M511" s="11" t="s">
        <v>77</v>
      </c>
      <c r="N511">
        <v>12</v>
      </c>
      <c r="O511">
        <v>2024</v>
      </c>
      <c r="P511" s="29" t="s">
        <v>728</v>
      </c>
      <c r="Q511" t="s">
        <v>733</v>
      </c>
      <c r="R511" t="s">
        <v>737</v>
      </c>
    </row>
    <row r="512" spans="1:18" x14ac:dyDescent="0.25">
      <c r="A512" s="6">
        <v>511</v>
      </c>
      <c r="B512" s="7">
        <v>45444</v>
      </c>
      <c r="C512" s="8" t="s">
        <v>124</v>
      </c>
      <c r="D512" s="8" t="s">
        <v>117</v>
      </c>
      <c r="E512" s="8" t="s">
        <v>84</v>
      </c>
      <c r="F512" s="8" t="s">
        <v>134</v>
      </c>
      <c r="G512" s="6">
        <v>31</v>
      </c>
      <c r="H512" s="25">
        <v>9200</v>
      </c>
      <c r="I512" s="6">
        <v>0</v>
      </c>
      <c r="J512" s="6">
        <f t="shared" si="14"/>
        <v>285200</v>
      </c>
      <c r="K512" s="6">
        <f t="shared" si="15"/>
        <v>285200</v>
      </c>
      <c r="L512" s="8" t="s">
        <v>123</v>
      </c>
      <c r="M512" s="8" t="s">
        <v>96</v>
      </c>
      <c r="N512">
        <v>6</v>
      </c>
      <c r="O512">
        <v>2024</v>
      </c>
      <c r="P512" s="29" t="s">
        <v>720</v>
      </c>
      <c r="Q512" t="s">
        <v>736</v>
      </c>
      <c r="R512" t="s">
        <v>737</v>
      </c>
    </row>
    <row r="513" spans="1:18" x14ac:dyDescent="0.25">
      <c r="A513" s="9">
        <v>512</v>
      </c>
      <c r="B513" s="10">
        <v>45145</v>
      </c>
      <c r="C513" s="11" t="s">
        <v>119</v>
      </c>
      <c r="D513" s="11" t="s">
        <v>83</v>
      </c>
      <c r="E513" s="11" t="s">
        <v>84</v>
      </c>
      <c r="F513" s="11" t="s">
        <v>148</v>
      </c>
      <c r="G513" s="9">
        <v>24</v>
      </c>
      <c r="H513" s="26">
        <v>5200</v>
      </c>
      <c r="I513" s="9">
        <v>0</v>
      </c>
      <c r="J513" s="9">
        <f t="shared" si="14"/>
        <v>124800</v>
      </c>
      <c r="K513" s="9">
        <f t="shared" si="15"/>
        <v>124800</v>
      </c>
      <c r="L513" s="11" t="s">
        <v>76</v>
      </c>
      <c r="M513" s="11" t="s">
        <v>91</v>
      </c>
      <c r="N513">
        <v>8</v>
      </c>
      <c r="O513">
        <v>2023</v>
      </c>
      <c r="P513" s="29" t="s">
        <v>713</v>
      </c>
      <c r="Q513" t="s">
        <v>734</v>
      </c>
      <c r="R513" t="s">
        <v>739</v>
      </c>
    </row>
    <row r="514" spans="1:18" x14ac:dyDescent="0.25">
      <c r="A514" s="6">
        <v>513</v>
      </c>
      <c r="B514" s="7">
        <v>45447</v>
      </c>
      <c r="C514" s="8" t="s">
        <v>108</v>
      </c>
      <c r="D514" s="8" t="s">
        <v>93</v>
      </c>
      <c r="E514" s="8" t="s">
        <v>84</v>
      </c>
      <c r="F514" s="8" t="s">
        <v>90</v>
      </c>
      <c r="G514" s="6">
        <v>47</v>
      </c>
      <c r="H514" s="25">
        <v>2000</v>
      </c>
      <c r="I514" s="6">
        <v>10</v>
      </c>
      <c r="J514" s="6">
        <f t="shared" ref="J514:J577" si="16">G514*H514</f>
        <v>94000</v>
      </c>
      <c r="K514" s="6">
        <f t="shared" ref="K514:K577" si="17">J514*(1-I514/100)</f>
        <v>84600</v>
      </c>
      <c r="L514" s="8" t="s">
        <v>76</v>
      </c>
      <c r="M514" s="8" t="s">
        <v>81</v>
      </c>
      <c r="N514">
        <v>6</v>
      </c>
      <c r="O514">
        <v>2024</v>
      </c>
      <c r="P514" s="29" t="s">
        <v>720</v>
      </c>
      <c r="Q514" t="s">
        <v>736</v>
      </c>
      <c r="R514" t="s">
        <v>739</v>
      </c>
    </row>
    <row r="515" spans="1:18" x14ac:dyDescent="0.25">
      <c r="A515" s="9">
        <v>514</v>
      </c>
      <c r="B515" s="10">
        <v>45369</v>
      </c>
      <c r="C515" s="11" t="s">
        <v>114</v>
      </c>
      <c r="D515" s="11" t="s">
        <v>109</v>
      </c>
      <c r="E515" s="11" t="s">
        <v>84</v>
      </c>
      <c r="F515" s="11" t="s">
        <v>128</v>
      </c>
      <c r="G515" s="9">
        <v>1</v>
      </c>
      <c r="H515" s="26">
        <v>4300</v>
      </c>
      <c r="I515" s="9">
        <v>0</v>
      </c>
      <c r="J515" s="9">
        <f t="shared" si="16"/>
        <v>4300</v>
      </c>
      <c r="K515" s="9">
        <f t="shared" si="17"/>
        <v>4300</v>
      </c>
      <c r="L515" s="11" t="s">
        <v>76</v>
      </c>
      <c r="M515" s="11" t="s">
        <v>91</v>
      </c>
      <c r="N515">
        <v>3</v>
      </c>
      <c r="O515">
        <v>2024</v>
      </c>
      <c r="P515" s="29" t="s">
        <v>711</v>
      </c>
      <c r="Q515" t="s">
        <v>735</v>
      </c>
      <c r="R515" t="s">
        <v>738</v>
      </c>
    </row>
    <row r="516" spans="1:18" x14ac:dyDescent="0.25">
      <c r="A516" s="6">
        <v>515</v>
      </c>
      <c r="B516" s="7">
        <v>45483</v>
      </c>
      <c r="C516" s="8" t="s">
        <v>82</v>
      </c>
      <c r="D516" s="8" t="s">
        <v>93</v>
      </c>
      <c r="E516" s="8" t="s">
        <v>74</v>
      </c>
      <c r="F516" s="8" t="s">
        <v>99</v>
      </c>
      <c r="G516" s="6">
        <v>36</v>
      </c>
      <c r="H516" s="25">
        <v>3400</v>
      </c>
      <c r="I516" s="6">
        <v>5</v>
      </c>
      <c r="J516" s="6">
        <f t="shared" si="16"/>
        <v>122400</v>
      </c>
      <c r="K516" s="6">
        <f t="shared" si="17"/>
        <v>116280</v>
      </c>
      <c r="L516" s="8" t="s">
        <v>107</v>
      </c>
      <c r="M516" s="8" t="s">
        <v>77</v>
      </c>
      <c r="N516">
        <v>7</v>
      </c>
      <c r="O516">
        <v>2024</v>
      </c>
      <c r="P516" s="29" t="s">
        <v>712</v>
      </c>
      <c r="Q516" t="s">
        <v>734</v>
      </c>
      <c r="R516" t="s">
        <v>739</v>
      </c>
    </row>
    <row r="517" spans="1:18" x14ac:dyDescent="0.25">
      <c r="A517" s="9">
        <v>516</v>
      </c>
      <c r="B517" s="10">
        <v>45264</v>
      </c>
      <c r="C517" s="11" t="s">
        <v>108</v>
      </c>
      <c r="D517" s="11" t="s">
        <v>73</v>
      </c>
      <c r="E517" s="11" t="s">
        <v>84</v>
      </c>
      <c r="F517" s="11" t="s">
        <v>134</v>
      </c>
      <c r="G517" s="9">
        <v>41</v>
      </c>
      <c r="H517" s="26">
        <v>9800</v>
      </c>
      <c r="I517" s="9">
        <v>0</v>
      </c>
      <c r="J517" s="9">
        <f t="shared" si="16"/>
        <v>401800</v>
      </c>
      <c r="K517" s="9">
        <f t="shared" si="17"/>
        <v>401800</v>
      </c>
      <c r="L517" s="11" t="s">
        <v>76</v>
      </c>
      <c r="M517" s="11" t="s">
        <v>96</v>
      </c>
      <c r="N517">
        <v>12</v>
      </c>
      <c r="O517">
        <v>2023</v>
      </c>
      <c r="P517" s="29" t="s">
        <v>725</v>
      </c>
      <c r="Q517" t="s">
        <v>733</v>
      </c>
      <c r="R517" t="s">
        <v>737</v>
      </c>
    </row>
    <row r="518" spans="1:18" x14ac:dyDescent="0.25">
      <c r="A518" s="6">
        <v>517</v>
      </c>
      <c r="B518" s="7">
        <v>45413</v>
      </c>
      <c r="C518" s="8" t="s">
        <v>88</v>
      </c>
      <c r="D518" s="8" t="s">
        <v>93</v>
      </c>
      <c r="E518" s="8" t="s">
        <v>102</v>
      </c>
      <c r="F518" s="8" t="s">
        <v>110</v>
      </c>
      <c r="G518" s="6">
        <v>27</v>
      </c>
      <c r="H518" s="25">
        <v>21700</v>
      </c>
      <c r="I518" s="6">
        <v>10</v>
      </c>
      <c r="J518" s="6">
        <f t="shared" si="16"/>
        <v>585900</v>
      </c>
      <c r="K518" s="6">
        <f t="shared" si="17"/>
        <v>527310</v>
      </c>
      <c r="L518" s="8" t="s">
        <v>76</v>
      </c>
      <c r="M518" s="8" t="s">
        <v>81</v>
      </c>
      <c r="N518">
        <v>5</v>
      </c>
      <c r="O518">
        <v>2024</v>
      </c>
      <c r="P518" s="29" t="s">
        <v>732</v>
      </c>
      <c r="Q518" t="s">
        <v>736</v>
      </c>
      <c r="R518" t="s">
        <v>737</v>
      </c>
    </row>
    <row r="519" spans="1:18" x14ac:dyDescent="0.25">
      <c r="A519" s="9">
        <v>518</v>
      </c>
      <c r="B519" s="10">
        <v>45634</v>
      </c>
      <c r="C519" s="11" t="s">
        <v>82</v>
      </c>
      <c r="D519" s="11" t="s">
        <v>109</v>
      </c>
      <c r="E519" s="11" t="s">
        <v>74</v>
      </c>
      <c r="F519" s="11" t="s">
        <v>212</v>
      </c>
      <c r="G519" s="9">
        <v>33</v>
      </c>
      <c r="H519" s="26">
        <v>7900</v>
      </c>
      <c r="I519" s="9">
        <v>0</v>
      </c>
      <c r="J519" s="9">
        <f t="shared" si="16"/>
        <v>260700</v>
      </c>
      <c r="K519" s="9">
        <f t="shared" si="17"/>
        <v>260700</v>
      </c>
      <c r="L519" s="11" t="s">
        <v>76</v>
      </c>
      <c r="M519" s="11" t="s">
        <v>91</v>
      </c>
      <c r="N519">
        <v>12</v>
      </c>
      <c r="O519">
        <v>2024</v>
      </c>
      <c r="P519" s="29" t="s">
        <v>728</v>
      </c>
      <c r="Q519" t="s">
        <v>733</v>
      </c>
      <c r="R519" t="s">
        <v>737</v>
      </c>
    </row>
    <row r="520" spans="1:18" x14ac:dyDescent="0.25">
      <c r="A520" s="6">
        <v>519</v>
      </c>
      <c r="B520" s="7">
        <v>45317</v>
      </c>
      <c r="C520" s="8" t="s">
        <v>124</v>
      </c>
      <c r="D520" s="8" t="s">
        <v>117</v>
      </c>
      <c r="E520" s="8" t="s">
        <v>111</v>
      </c>
      <c r="F520" s="8" t="s">
        <v>166</v>
      </c>
      <c r="G520" s="12">
        <v>41</v>
      </c>
      <c r="H520" s="25">
        <v>31300</v>
      </c>
      <c r="I520" s="6">
        <v>5</v>
      </c>
      <c r="J520" s="6">
        <f t="shared" si="16"/>
        <v>1283300</v>
      </c>
      <c r="K520" s="6">
        <f t="shared" si="17"/>
        <v>1219135</v>
      </c>
      <c r="L520" s="8" t="s">
        <v>187</v>
      </c>
      <c r="M520" s="8" t="s">
        <v>96</v>
      </c>
      <c r="N520">
        <v>1</v>
      </c>
      <c r="O520">
        <v>2024</v>
      </c>
      <c r="P520" s="29" t="s">
        <v>727</v>
      </c>
      <c r="Q520" t="s">
        <v>735</v>
      </c>
      <c r="R520" t="s">
        <v>737</v>
      </c>
    </row>
    <row r="521" spans="1:18" x14ac:dyDescent="0.25">
      <c r="A521" s="9">
        <v>520</v>
      </c>
      <c r="B521" s="10">
        <v>45514</v>
      </c>
      <c r="C521" s="11" t="s">
        <v>124</v>
      </c>
      <c r="D521" s="11" t="s">
        <v>93</v>
      </c>
      <c r="E521" s="11" t="s">
        <v>111</v>
      </c>
      <c r="F521" s="11" t="s">
        <v>112</v>
      </c>
      <c r="G521" s="9">
        <v>22</v>
      </c>
      <c r="H521" s="26">
        <v>59800</v>
      </c>
      <c r="I521" s="9">
        <v>15</v>
      </c>
      <c r="J521" s="9">
        <f t="shared" si="16"/>
        <v>1315600</v>
      </c>
      <c r="K521" s="9">
        <f t="shared" si="17"/>
        <v>1118260</v>
      </c>
      <c r="L521" s="11" t="s">
        <v>76</v>
      </c>
      <c r="M521" s="11" t="s">
        <v>96</v>
      </c>
      <c r="N521">
        <v>8</v>
      </c>
      <c r="O521">
        <v>2024</v>
      </c>
      <c r="P521" s="29" t="s">
        <v>710</v>
      </c>
      <c r="Q521" t="s">
        <v>734</v>
      </c>
      <c r="R521" t="s">
        <v>737</v>
      </c>
    </row>
    <row r="522" spans="1:18" x14ac:dyDescent="0.25">
      <c r="A522" s="6">
        <v>521</v>
      </c>
      <c r="B522" s="7">
        <v>45225</v>
      </c>
      <c r="C522" s="8" t="s">
        <v>101</v>
      </c>
      <c r="D522" s="8" t="s">
        <v>93</v>
      </c>
      <c r="E522" s="8" t="s">
        <v>111</v>
      </c>
      <c r="F522" s="8" t="s">
        <v>135</v>
      </c>
      <c r="G522" s="6">
        <v>50</v>
      </c>
      <c r="H522" s="25">
        <v>129000</v>
      </c>
      <c r="I522" s="6">
        <v>15</v>
      </c>
      <c r="J522" s="6">
        <f t="shared" si="16"/>
        <v>6450000</v>
      </c>
      <c r="K522" s="6">
        <f t="shared" si="17"/>
        <v>5482500</v>
      </c>
      <c r="L522" s="8" t="s">
        <v>107</v>
      </c>
      <c r="M522" s="8" t="s">
        <v>96</v>
      </c>
      <c r="N522">
        <v>10</v>
      </c>
      <c r="O522">
        <v>2023</v>
      </c>
      <c r="P522" s="29" t="s">
        <v>726</v>
      </c>
      <c r="Q522" t="s">
        <v>733</v>
      </c>
      <c r="R522" t="s">
        <v>737</v>
      </c>
    </row>
    <row r="523" spans="1:18" x14ac:dyDescent="0.25">
      <c r="A523" s="9">
        <v>522</v>
      </c>
      <c r="B523" s="10">
        <v>45528</v>
      </c>
      <c r="C523" s="11" t="s">
        <v>82</v>
      </c>
      <c r="D523" s="11" t="s">
        <v>83</v>
      </c>
      <c r="E523" s="11" t="s">
        <v>111</v>
      </c>
      <c r="F523" s="11" t="s">
        <v>166</v>
      </c>
      <c r="G523" s="9">
        <v>2</v>
      </c>
      <c r="H523" s="26">
        <v>26500</v>
      </c>
      <c r="I523" s="9">
        <v>15</v>
      </c>
      <c r="J523" s="9">
        <f t="shared" si="16"/>
        <v>53000</v>
      </c>
      <c r="K523" s="9">
        <f t="shared" si="17"/>
        <v>45050</v>
      </c>
      <c r="L523" s="11" t="s">
        <v>76</v>
      </c>
      <c r="M523" s="11" t="s">
        <v>81</v>
      </c>
      <c r="N523">
        <v>8</v>
      </c>
      <c r="O523">
        <v>2024</v>
      </c>
      <c r="P523" s="29" t="s">
        <v>710</v>
      </c>
      <c r="Q523" t="s">
        <v>734</v>
      </c>
      <c r="R523" t="s">
        <v>738</v>
      </c>
    </row>
    <row r="524" spans="1:18" x14ac:dyDescent="0.25">
      <c r="A524" s="6">
        <v>523</v>
      </c>
      <c r="B524" s="7">
        <v>45184</v>
      </c>
      <c r="C524" s="8" t="s">
        <v>97</v>
      </c>
      <c r="D524" s="30" t="s">
        <v>703</v>
      </c>
      <c r="E524" s="8" t="s">
        <v>84</v>
      </c>
      <c r="F524" s="8" t="s">
        <v>148</v>
      </c>
      <c r="G524" s="6">
        <v>5</v>
      </c>
      <c r="H524" s="25">
        <v>4400</v>
      </c>
      <c r="I524" s="6">
        <v>10</v>
      </c>
      <c r="J524" s="6">
        <f t="shared" si="16"/>
        <v>22000</v>
      </c>
      <c r="K524" s="6">
        <f t="shared" si="17"/>
        <v>19800</v>
      </c>
      <c r="L524" s="8" t="s">
        <v>123</v>
      </c>
      <c r="M524" s="8" t="s">
        <v>91</v>
      </c>
      <c r="N524">
        <v>9</v>
      </c>
      <c r="O524">
        <v>2023</v>
      </c>
      <c r="P524" s="29" t="s">
        <v>715</v>
      </c>
      <c r="Q524" t="s">
        <v>734</v>
      </c>
      <c r="R524" t="s">
        <v>738</v>
      </c>
    </row>
    <row r="525" spans="1:18" x14ac:dyDescent="0.25">
      <c r="A525" s="9">
        <v>524</v>
      </c>
      <c r="B525" s="10">
        <v>44982</v>
      </c>
      <c r="C525" s="11" t="s">
        <v>78</v>
      </c>
      <c r="D525" s="11" t="s">
        <v>83</v>
      </c>
      <c r="E525" s="11" t="s">
        <v>102</v>
      </c>
      <c r="F525" s="11" t="s">
        <v>137</v>
      </c>
      <c r="G525" s="9">
        <v>40</v>
      </c>
      <c r="H525" s="26">
        <v>2000</v>
      </c>
      <c r="I525" s="6">
        <v>0</v>
      </c>
      <c r="J525" s="9">
        <f t="shared" si="16"/>
        <v>80000</v>
      </c>
      <c r="K525" s="9">
        <f t="shared" si="17"/>
        <v>80000</v>
      </c>
      <c r="L525" s="11" t="s">
        <v>76</v>
      </c>
      <c r="M525" s="11" t="s">
        <v>91</v>
      </c>
      <c r="N525">
        <v>2</v>
      </c>
      <c r="O525">
        <v>2023</v>
      </c>
      <c r="P525" s="29" t="s">
        <v>717</v>
      </c>
      <c r="Q525" t="s">
        <v>735</v>
      </c>
      <c r="R525" t="s">
        <v>739</v>
      </c>
    </row>
    <row r="526" spans="1:18" x14ac:dyDescent="0.25">
      <c r="A526" s="6">
        <v>525</v>
      </c>
      <c r="B526" s="7">
        <v>45161</v>
      </c>
      <c r="C526" s="8" t="s">
        <v>106</v>
      </c>
      <c r="D526" s="8" t="s">
        <v>117</v>
      </c>
      <c r="E526" s="8" t="s">
        <v>111</v>
      </c>
      <c r="F526" s="8" t="s">
        <v>166</v>
      </c>
      <c r="G526" s="6">
        <v>11</v>
      </c>
      <c r="H526" s="25">
        <v>26100</v>
      </c>
      <c r="I526" s="6">
        <v>20</v>
      </c>
      <c r="J526" s="6">
        <f t="shared" si="16"/>
        <v>287100</v>
      </c>
      <c r="K526" s="6">
        <f t="shared" si="17"/>
        <v>229680</v>
      </c>
      <c r="L526" s="8" t="s">
        <v>76</v>
      </c>
      <c r="M526" s="8" t="s">
        <v>96</v>
      </c>
      <c r="N526">
        <v>8</v>
      </c>
      <c r="O526">
        <v>2023</v>
      </c>
      <c r="P526" s="29" t="s">
        <v>713</v>
      </c>
      <c r="Q526" t="s">
        <v>734</v>
      </c>
      <c r="R526" t="s">
        <v>737</v>
      </c>
    </row>
    <row r="527" spans="1:18" x14ac:dyDescent="0.25">
      <c r="A527" s="9">
        <v>526</v>
      </c>
      <c r="B527" s="10">
        <v>45260</v>
      </c>
      <c r="C527" s="11" t="s">
        <v>119</v>
      </c>
      <c r="D527" s="11" t="s">
        <v>83</v>
      </c>
      <c r="E527" s="11" t="s">
        <v>102</v>
      </c>
      <c r="F527" s="11" t="s">
        <v>110</v>
      </c>
      <c r="G527" s="9">
        <v>9</v>
      </c>
      <c r="H527" s="26">
        <v>22800</v>
      </c>
      <c r="I527" s="9">
        <v>10</v>
      </c>
      <c r="J527" s="9">
        <f t="shared" si="16"/>
        <v>205200</v>
      </c>
      <c r="K527" s="9">
        <f t="shared" si="17"/>
        <v>184680</v>
      </c>
      <c r="L527" s="11" t="s">
        <v>123</v>
      </c>
      <c r="M527" s="11" t="s">
        <v>81</v>
      </c>
      <c r="N527">
        <v>11</v>
      </c>
      <c r="O527">
        <v>2023</v>
      </c>
      <c r="P527" s="29" t="s">
        <v>718</v>
      </c>
      <c r="Q527" t="s">
        <v>733</v>
      </c>
      <c r="R527" t="s">
        <v>739</v>
      </c>
    </row>
    <row r="528" spans="1:18" x14ac:dyDescent="0.25">
      <c r="A528" s="6">
        <v>527</v>
      </c>
      <c r="B528" s="7">
        <v>45360</v>
      </c>
      <c r="C528" s="8" t="s">
        <v>119</v>
      </c>
      <c r="D528" s="8" t="s">
        <v>93</v>
      </c>
      <c r="E528" s="8" t="s">
        <v>111</v>
      </c>
      <c r="F528" s="8" t="s">
        <v>135</v>
      </c>
      <c r="G528" s="6">
        <v>31</v>
      </c>
      <c r="H528" s="25">
        <v>129600</v>
      </c>
      <c r="I528" s="6">
        <v>5</v>
      </c>
      <c r="J528" s="6">
        <f t="shared" si="16"/>
        <v>4017600</v>
      </c>
      <c r="K528" s="6">
        <f t="shared" si="17"/>
        <v>3816720</v>
      </c>
      <c r="L528" s="8" t="s">
        <v>76</v>
      </c>
      <c r="M528" s="8" t="s">
        <v>77</v>
      </c>
      <c r="N528">
        <v>3</v>
      </c>
      <c r="O528">
        <v>2024</v>
      </c>
      <c r="P528" s="29" t="s">
        <v>711</v>
      </c>
      <c r="Q528" t="s">
        <v>735</v>
      </c>
      <c r="R528" t="s">
        <v>737</v>
      </c>
    </row>
    <row r="529" spans="1:18" x14ac:dyDescent="0.25">
      <c r="A529" s="9">
        <v>528</v>
      </c>
      <c r="B529" s="10">
        <v>45271</v>
      </c>
      <c r="C529" s="11" t="s">
        <v>88</v>
      </c>
      <c r="D529" s="11" t="s">
        <v>83</v>
      </c>
      <c r="E529" s="11" t="s">
        <v>74</v>
      </c>
      <c r="F529" s="11" t="s">
        <v>142</v>
      </c>
      <c r="G529" s="9">
        <v>1</v>
      </c>
      <c r="H529" s="26">
        <v>11700</v>
      </c>
      <c r="I529" s="9">
        <v>0</v>
      </c>
      <c r="J529" s="9">
        <f t="shared" si="16"/>
        <v>11700</v>
      </c>
      <c r="K529" s="9">
        <f t="shared" si="17"/>
        <v>11700</v>
      </c>
      <c r="L529" s="11" t="s">
        <v>76</v>
      </c>
      <c r="M529" s="11" t="s">
        <v>81</v>
      </c>
      <c r="N529">
        <v>12</v>
      </c>
      <c r="O529">
        <v>2023</v>
      </c>
      <c r="P529" s="29" t="s">
        <v>725</v>
      </c>
      <c r="Q529" t="s">
        <v>733</v>
      </c>
      <c r="R529" t="s">
        <v>738</v>
      </c>
    </row>
    <row r="530" spans="1:18" x14ac:dyDescent="0.25">
      <c r="A530" s="6">
        <v>529</v>
      </c>
      <c r="B530" s="7">
        <v>45220</v>
      </c>
      <c r="C530" s="8" t="s">
        <v>119</v>
      </c>
      <c r="D530" s="8" t="s">
        <v>93</v>
      </c>
      <c r="E530" s="8" t="s">
        <v>79</v>
      </c>
      <c r="F530" s="8" t="s">
        <v>172</v>
      </c>
      <c r="G530" s="6">
        <v>31</v>
      </c>
      <c r="H530" s="25">
        <v>28400</v>
      </c>
      <c r="I530" s="6">
        <v>20</v>
      </c>
      <c r="J530" s="6">
        <f t="shared" si="16"/>
        <v>880400</v>
      </c>
      <c r="K530" s="6">
        <f t="shared" si="17"/>
        <v>704320</v>
      </c>
      <c r="L530" s="8" t="s">
        <v>76</v>
      </c>
      <c r="M530" s="8" t="s">
        <v>91</v>
      </c>
      <c r="N530">
        <v>10</v>
      </c>
      <c r="O530">
        <v>2023</v>
      </c>
      <c r="P530" s="29" t="s">
        <v>726</v>
      </c>
      <c r="Q530" t="s">
        <v>733</v>
      </c>
      <c r="R530" t="s">
        <v>737</v>
      </c>
    </row>
    <row r="531" spans="1:18" x14ac:dyDescent="0.25">
      <c r="A531" s="9">
        <v>530</v>
      </c>
      <c r="B531" s="10">
        <v>45226</v>
      </c>
      <c r="C531" s="11" t="s">
        <v>124</v>
      </c>
      <c r="D531" s="11" t="s">
        <v>109</v>
      </c>
      <c r="E531" s="11" t="s">
        <v>79</v>
      </c>
      <c r="F531" s="11" t="s">
        <v>120</v>
      </c>
      <c r="G531" s="9">
        <v>36</v>
      </c>
      <c r="H531" s="26">
        <v>5700</v>
      </c>
      <c r="I531" s="9">
        <v>0</v>
      </c>
      <c r="J531" s="9">
        <f t="shared" si="16"/>
        <v>205200</v>
      </c>
      <c r="K531" s="9">
        <f t="shared" si="17"/>
        <v>205200</v>
      </c>
      <c r="L531" s="11" t="s">
        <v>76</v>
      </c>
      <c r="M531" s="11" t="s">
        <v>81</v>
      </c>
      <c r="N531">
        <v>10</v>
      </c>
      <c r="O531">
        <v>2023</v>
      </c>
      <c r="P531" s="29" t="s">
        <v>726</v>
      </c>
      <c r="Q531" t="s">
        <v>733</v>
      </c>
      <c r="R531" t="s">
        <v>737</v>
      </c>
    </row>
    <row r="532" spans="1:18" x14ac:dyDescent="0.25">
      <c r="A532" s="6">
        <v>531</v>
      </c>
      <c r="B532" s="7">
        <v>45588</v>
      </c>
      <c r="C532" s="8" t="s">
        <v>114</v>
      </c>
      <c r="D532" s="8" t="s">
        <v>83</v>
      </c>
      <c r="E532" s="8" t="s">
        <v>84</v>
      </c>
      <c r="F532" s="8" t="s">
        <v>134</v>
      </c>
      <c r="G532" s="6">
        <v>41</v>
      </c>
      <c r="H532" s="25">
        <v>8800</v>
      </c>
      <c r="I532" s="6">
        <v>0</v>
      </c>
      <c r="J532" s="6">
        <f t="shared" si="16"/>
        <v>360800</v>
      </c>
      <c r="K532" s="6">
        <f t="shared" si="17"/>
        <v>360800</v>
      </c>
      <c r="L532" s="8" t="s">
        <v>76</v>
      </c>
      <c r="M532" s="8" t="s">
        <v>96</v>
      </c>
      <c r="N532">
        <v>10</v>
      </c>
      <c r="O532">
        <v>2024</v>
      </c>
      <c r="P532" s="29" t="s">
        <v>709</v>
      </c>
      <c r="Q532" t="s">
        <v>733</v>
      </c>
      <c r="R532" t="s">
        <v>737</v>
      </c>
    </row>
    <row r="533" spans="1:18" x14ac:dyDescent="0.25">
      <c r="A533" s="9">
        <v>532</v>
      </c>
      <c r="B533" s="10">
        <v>45591</v>
      </c>
      <c r="C533" s="11" t="s">
        <v>82</v>
      </c>
      <c r="D533" s="11" t="s">
        <v>117</v>
      </c>
      <c r="E533" s="11" t="s">
        <v>111</v>
      </c>
      <c r="F533" s="11" t="s">
        <v>156</v>
      </c>
      <c r="G533" s="9">
        <v>12</v>
      </c>
      <c r="H533" s="26">
        <v>46800</v>
      </c>
      <c r="I533" s="9">
        <v>15</v>
      </c>
      <c r="J533" s="9">
        <f t="shared" si="16"/>
        <v>561600</v>
      </c>
      <c r="K533" s="9">
        <f t="shared" si="17"/>
        <v>477360</v>
      </c>
      <c r="L533" s="11" t="s">
        <v>76</v>
      </c>
      <c r="M533" s="11" t="s">
        <v>77</v>
      </c>
      <c r="N533">
        <v>10</v>
      </c>
      <c r="O533">
        <v>2024</v>
      </c>
      <c r="P533" s="29" t="s">
        <v>709</v>
      </c>
      <c r="Q533" t="s">
        <v>733</v>
      </c>
      <c r="R533" t="s">
        <v>737</v>
      </c>
    </row>
    <row r="534" spans="1:18" x14ac:dyDescent="0.25">
      <c r="A534" s="6">
        <v>533</v>
      </c>
      <c r="B534" s="7">
        <v>45600</v>
      </c>
      <c r="C534" s="8" t="s">
        <v>124</v>
      </c>
      <c r="D534" s="8" t="s">
        <v>83</v>
      </c>
      <c r="E534" s="8" t="s">
        <v>74</v>
      </c>
      <c r="F534" s="8" t="s">
        <v>99</v>
      </c>
      <c r="G534" s="6">
        <v>2</v>
      </c>
      <c r="H534" s="25">
        <v>3300</v>
      </c>
      <c r="I534" s="6">
        <v>0</v>
      </c>
      <c r="J534" s="6">
        <f t="shared" si="16"/>
        <v>6600</v>
      </c>
      <c r="K534" s="6">
        <f t="shared" si="17"/>
        <v>6600</v>
      </c>
      <c r="L534" s="8" t="s">
        <v>76</v>
      </c>
      <c r="M534" s="8" t="s">
        <v>77</v>
      </c>
      <c r="N534">
        <v>11</v>
      </c>
      <c r="O534">
        <v>2024</v>
      </c>
      <c r="P534" s="29" t="s">
        <v>714</v>
      </c>
      <c r="Q534" t="s">
        <v>733</v>
      </c>
      <c r="R534" t="s">
        <v>738</v>
      </c>
    </row>
    <row r="535" spans="1:18" x14ac:dyDescent="0.25">
      <c r="A535" s="9">
        <v>534</v>
      </c>
      <c r="B535" s="10">
        <v>45031</v>
      </c>
      <c r="C535" s="11" t="s">
        <v>101</v>
      </c>
      <c r="D535" s="11" t="s">
        <v>117</v>
      </c>
      <c r="E535" s="11" t="s">
        <v>84</v>
      </c>
      <c r="F535" s="11" t="s">
        <v>85</v>
      </c>
      <c r="G535" s="9">
        <v>15</v>
      </c>
      <c r="H535" s="26">
        <v>5800</v>
      </c>
      <c r="I535" s="9">
        <v>5</v>
      </c>
      <c r="J535" s="9">
        <f t="shared" si="16"/>
        <v>87000</v>
      </c>
      <c r="K535" s="9">
        <f t="shared" si="17"/>
        <v>82650</v>
      </c>
      <c r="L535" s="11" t="s">
        <v>76</v>
      </c>
      <c r="M535" s="11" t="s">
        <v>77</v>
      </c>
      <c r="N535">
        <v>4</v>
      </c>
      <c r="O535">
        <v>2023</v>
      </c>
      <c r="P535" s="29" t="s">
        <v>716</v>
      </c>
      <c r="Q535" t="s">
        <v>736</v>
      </c>
      <c r="R535" t="s">
        <v>739</v>
      </c>
    </row>
    <row r="536" spans="1:18" x14ac:dyDescent="0.25">
      <c r="A536" s="6">
        <v>535</v>
      </c>
      <c r="B536" s="7">
        <v>45238</v>
      </c>
      <c r="C536" s="8" t="s">
        <v>88</v>
      </c>
      <c r="D536" s="8" t="s">
        <v>83</v>
      </c>
      <c r="E536" s="8" t="s">
        <v>74</v>
      </c>
      <c r="F536" s="8" t="s">
        <v>99</v>
      </c>
      <c r="G536" s="6">
        <v>30</v>
      </c>
      <c r="H536" s="25">
        <v>4000</v>
      </c>
      <c r="I536" s="6">
        <v>0</v>
      </c>
      <c r="J536" s="6">
        <f t="shared" si="16"/>
        <v>120000</v>
      </c>
      <c r="K536" s="6">
        <f t="shared" si="17"/>
        <v>120000</v>
      </c>
      <c r="L536" s="8" t="s">
        <v>187</v>
      </c>
      <c r="M536" s="8" t="s">
        <v>77</v>
      </c>
      <c r="N536">
        <v>11</v>
      </c>
      <c r="O536">
        <v>2023</v>
      </c>
      <c r="P536" s="29" t="s">
        <v>718</v>
      </c>
      <c r="Q536" t="s">
        <v>733</v>
      </c>
      <c r="R536" t="s">
        <v>739</v>
      </c>
    </row>
    <row r="537" spans="1:18" x14ac:dyDescent="0.25">
      <c r="A537" s="9">
        <v>536</v>
      </c>
      <c r="B537" s="10">
        <v>45009</v>
      </c>
      <c r="C537" s="11" t="s">
        <v>108</v>
      </c>
      <c r="D537" s="11" t="s">
        <v>73</v>
      </c>
      <c r="E537" s="11" t="s">
        <v>74</v>
      </c>
      <c r="F537" s="11" t="s">
        <v>140</v>
      </c>
      <c r="G537" s="9">
        <v>31</v>
      </c>
      <c r="H537" s="26">
        <v>4100</v>
      </c>
      <c r="I537" s="9">
        <v>20</v>
      </c>
      <c r="J537" s="9">
        <f t="shared" si="16"/>
        <v>127100</v>
      </c>
      <c r="K537" s="9">
        <f t="shared" si="17"/>
        <v>101680</v>
      </c>
      <c r="L537" s="11" t="s">
        <v>76</v>
      </c>
      <c r="M537" s="11" t="s">
        <v>96</v>
      </c>
      <c r="N537">
        <v>3</v>
      </c>
      <c r="O537">
        <v>2023</v>
      </c>
      <c r="P537" s="29" t="s">
        <v>719</v>
      </c>
      <c r="Q537" t="s">
        <v>735</v>
      </c>
      <c r="R537" t="s">
        <v>739</v>
      </c>
    </row>
    <row r="538" spans="1:18" x14ac:dyDescent="0.25">
      <c r="A538" s="6">
        <v>537</v>
      </c>
      <c r="B538" s="7">
        <v>45317</v>
      </c>
      <c r="C538" s="8" t="s">
        <v>78</v>
      </c>
      <c r="D538" s="8" t="s">
        <v>73</v>
      </c>
      <c r="E538" s="8" t="s">
        <v>84</v>
      </c>
      <c r="F538" s="8" t="s">
        <v>148</v>
      </c>
      <c r="G538" s="6">
        <v>29</v>
      </c>
      <c r="H538" s="25">
        <v>5200</v>
      </c>
      <c r="I538" s="6">
        <v>0</v>
      </c>
      <c r="J538" s="6">
        <f t="shared" si="16"/>
        <v>150800</v>
      </c>
      <c r="K538" s="6">
        <f t="shared" si="17"/>
        <v>150800</v>
      </c>
      <c r="L538" s="8" t="s">
        <v>76</v>
      </c>
      <c r="M538" s="8" t="s">
        <v>77</v>
      </c>
      <c r="N538">
        <v>1</v>
      </c>
      <c r="O538">
        <v>2024</v>
      </c>
      <c r="P538" s="29" t="s">
        <v>727</v>
      </c>
      <c r="Q538" t="s">
        <v>735</v>
      </c>
      <c r="R538" t="s">
        <v>739</v>
      </c>
    </row>
    <row r="539" spans="1:18" x14ac:dyDescent="0.25">
      <c r="A539" s="9">
        <v>538</v>
      </c>
      <c r="B539" s="10">
        <v>45398</v>
      </c>
      <c r="C539" s="11" t="s">
        <v>97</v>
      </c>
      <c r="D539" s="11" t="s">
        <v>93</v>
      </c>
      <c r="E539" s="11" t="s">
        <v>84</v>
      </c>
      <c r="F539" s="11" t="s">
        <v>85</v>
      </c>
      <c r="G539" s="9">
        <v>20</v>
      </c>
      <c r="H539" s="26">
        <v>5400</v>
      </c>
      <c r="I539" s="9">
        <v>15</v>
      </c>
      <c r="J539" s="9">
        <f t="shared" si="16"/>
        <v>108000</v>
      </c>
      <c r="K539" s="9">
        <f t="shared" si="17"/>
        <v>91800</v>
      </c>
      <c r="L539" s="11" t="s">
        <v>123</v>
      </c>
      <c r="M539" s="11" t="s">
        <v>81</v>
      </c>
      <c r="N539">
        <v>4</v>
      </c>
      <c r="O539">
        <v>2024</v>
      </c>
      <c r="P539" s="29" t="s">
        <v>722</v>
      </c>
      <c r="Q539" t="s">
        <v>736</v>
      </c>
      <c r="R539" t="s">
        <v>739</v>
      </c>
    </row>
    <row r="540" spans="1:18" x14ac:dyDescent="0.25">
      <c r="A540" s="6">
        <v>539</v>
      </c>
      <c r="B540" s="7">
        <v>44970</v>
      </c>
      <c r="C540" s="8" t="s">
        <v>82</v>
      </c>
      <c r="D540" s="8" t="s">
        <v>93</v>
      </c>
      <c r="E540" s="8" t="s">
        <v>79</v>
      </c>
      <c r="F540" s="8" t="s">
        <v>179</v>
      </c>
      <c r="G540" s="6">
        <v>20</v>
      </c>
      <c r="H540" s="25">
        <v>2600</v>
      </c>
      <c r="I540" s="6">
        <v>20</v>
      </c>
      <c r="J540" s="6">
        <f t="shared" si="16"/>
        <v>52000</v>
      </c>
      <c r="K540" s="6">
        <f t="shared" si="17"/>
        <v>41600</v>
      </c>
      <c r="L540" s="8" t="s">
        <v>76</v>
      </c>
      <c r="M540" s="8" t="s">
        <v>77</v>
      </c>
      <c r="N540">
        <v>2</v>
      </c>
      <c r="O540">
        <v>2023</v>
      </c>
      <c r="P540" s="29" t="s">
        <v>717</v>
      </c>
      <c r="Q540" t="s">
        <v>735</v>
      </c>
      <c r="R540" t="s">
        <v>738</v>
      </c>
    </row>
    <row r="541" spans="1:18" x14ac:dyDescent="0.25">
      <c r="A541" s="9">
        <v>540</v>
      </c>
      <c r="B541" s="10">
        <v>45609</v>
      </c>
      <c r="C541" s="11" t="s">
        <v>106</v>
      </c>
      <c r="D541" s="11" t="s">
        <v>73</v>
      </c>
      <c r="E541" s="11" t="s">
        <v>84</v>
      </c>
      <c r="F541" s="11" t="s">
        <v>148</v>
      </c>
      <c r="G541" s="9">
        <v>11</v>
      </c>
      <c r="H541" s="26">
        <v>4700</v>
      </c>
      <c r="I541" s="9">
        <v>5</v>
      </c>
      <c r="J541" s="9">
        <f t="shared" si="16"/>
        <v>51700</v>
      </c>
      <c r="K541" s="9">
        <f t="shared" si="17"/>
        <v>49115</v>
      </c>
      <c r="L541" s="11" t="s">
        <v>187</v>
      </c>
      <c r="M541" s="11" t="s">
        <v>77</v>
      </c>
      <c r="N541">
        <v>11</v>
      </c>
      <c r="O541">
        <v>2024</v>
      </c>
      <c r="P541" s="29" t="s">
        <v>714</v>
      </c>
      <c r="Q541" t="s">
        <v>733</v>
      </c>
      <c r="R541" t="s">
        <v>738</v>
      </c>
    </row>
    <row r="542" spans="1:18" x14ac:dyDescent="0.25">
      <c r="A542" s="6">
        <v>541</v>
      </c>
      <c r="B542" s="7">
        <v>45086</v>
      </c>
      <c r="C542" s="8" t="s">
        <v>78</v>
      </c>
      <c r="D542" s="8" t="s">
        <v>73</v>
      </c>
      <c r="E542" s="8" t="s">
        <v>102</v>
      </c>
      <c r="F542" s="8" t="s">
        <v>197</v>
      </c>
      <c r="G542" s="6">
        <v>10</v>
      </c>
      <c r="H542" s="25">
        <v>4100</v>
      </c>
      <c r="I542" s="6">
        <v>0</v>
      </c>
      <c r="J542" s="6">
        <f t="shared" si="16"/>
        <v>41000</v>
      </c>
      <c r="K542" s="6">
        <f t="shared" si="17"/>
        <v>41000</v>
      </c>
      <c r="L542" s="8" t="s">
        <v>76</v>
      </c>
      <c r="M542" s="8" t="s">
        <v>77</v>
      </c>
      <c r="N542">
        <v>6</v>
      </c>
      <c r="O542">
        <v>2023</v>
      </c>
      <c r="P542" s="29" t="s">
        <v>723</v>
      </c>
      <c r="Q542" t="s">
        <v>736</v>
      </c>
      <c r="R542" t="s">
        <v>738</v>
      </c>
    </row>
    <row r="543" spans="1:18" x14ac:dyDescent="0.25">
      <c r="A543" s="9">
        <v>542</v>
      </c>
      <c r="B543" s="10">
        <v>45236</v>
      </c>
      <c r="C543" s="11" t="s">
        <v>119</v>
      </c>
      <c r="D543" s="11" t="s">
        <v>73</v>
      </c>
      <c r="E543" s="11" t="s">
        <v>102</v>
      </c>
      <c r="F543" s="11" t="s">
        <v>157</v>
      </c>
      <c r="G543" s="9">
        <v>49</v>
      </c>
      <c r="H543" s="26">
        <v>13600</v>
      </c>
      <c r="I543" s="9">
        <v>0</v>
      </c>
      <c r="J543" s="9">
        <f t="shared" si="16"/>
        <v>666400</v>
      </c>
      <c r="K543" s="9">
        <f t="shared" si="17"/>
        <v>666400</v>
      </c>
      <c r="L543" s="11" t="s">
        <v>76</v>
      </c>
      <c r="M543" s="11" t="s">
        <v>77</v>
      </c>
      <c r="N543">
        <v>11</v>
      </c>
      <c r="O543">
        <v>2023</v>
      </c>
      <c r="P543" s="29" t="s">
        <v>718</v>
      </c>
      <c r="Q543" t="s">
        <v>733</v>
      </c>
      <c r="R543" t="s">
        <v>737</v>
      </c>
    </row>
    <row r="544" spans="1:18" x14ac:dyDescent="0.25">
      <c r="A544" s="6">
        <v>543</v>
      </c>
      <c r="B544" s="7">
        <v>45587</v>
      </c>
      <c r="C544" s="8" t="s">
        <v>108</v>
      </c>
      <c r="D544" s="8" t="s">
        <v>93</v>
      </c>
      <c r="E544" s="8" t="s">
        <v>79</v>
      </c>
      <c r="F544" s="8" t="s">
        <v>122</v>
      </c>
      <c r="G544" s="6">
        <v>21</v>
      </c>
      <c r="H544" s="25">
        <v>18400</v>
      </c>
      <c r="I544" s="6">
        <v>20</v>
      </c>
      <c r="J544" s="6">
        <f t="shared" si="16"/>
        <v>386400</v>
      </c>
      <c r="K544" s="6">
        <f t="shared" si="17"/>
        <v>309120</v>
      </c>
      <c r="L544" s="8" t="s">
        <v>123</v>
      </c>
      <c r="M544" s="8" t="s">
        <v>96</v>
      </c>
      <c r="N544">
        <v>10</v>
      </c>
      <c r="O544">
        <v>2024</v>
      </c>
      <c r="P544" s="29" t="s">
        <v>709</v>
      </c>
      <c r="Q544" t="s">
        <v>733</v>
      </c>
      <c r="R544" t="s">
        <v>737</v>
      </c>
    </row>
    <row r="545" spans="1:18" x14ac:dyDescent="0.25">
      <c r="A545" s="9">
        <v>544</v>
      </c>
      <c r="B545" s="10">
        <v>45376</v>
      </c>
      <c r="C545" s="11" t="s">
        <v>106</v>
      </c>
      <c r="D545" s="11" t="s">
        <v>73</v>
      </c>
      <c r="E545" s="11" t="s">
        <v>111</v>
      </c>
      <c r="F545" s="11" t="s">
        <v>132</v>
      </c>
      <c r="G545" s="9">
        <v>17</v>
      </c>
      <c r="H545" s="26">
        <v>8100</v>
      </c>
      <c r="I545" s="9">
        <v>15</v>
      </c>
      <c r="J545" s="9">
        <f t="shared" si="16"/>
        <v>137700</v>
      </c>
      <c r="K545" s="9">
        <f t="shared" si="17"/>
        <v>117045</v>
      </c>
      <c r="L545" s="11" t="s">
        <v>107</v>
      </c>
      <c r="M545" s="11" t="s">
        <v>91</v>
      </c>
      <c r="N545">
        <v>3</v>
      </c>
      <c r="O545">
        <v>2024</v>
      </c>
      <c r="P545" s="29" t="s">
        <v>711</v>
      </c>
      <c r="Q545" t="s">
        <v>735</v>
      </c>
      <c r="R545" t="s">
        <v>739</v>
      </c>
    </row>
    <row r="546" spans="1:18" x14ac:dyDescent="0.25">
      <c r="A546" s="6">
        <v>545</v>
      </c>
      <c r="B546" s="7">
        <v>45375</v>
      </c>
      <c r="C546" s="8" t="s">
        <v>82</v>
      </c>
      <c r="D546" s="8" t="s">
        <v>117</v>
      </c>
      <c r="E546" s="8" t="s">
        <v>102</v>
      </c>
      <c r="F546" s="8" t="s">
        <v>197</v>
      </c>
      <c r="G546" s="6">
        <v>12</v>
      </c>
      <c r="H546" s="25">
        <v>3600</v>
      </c>
      <c r="I546" s="6">
        <v>15</v>
      </c>
      <c r="J546" s="6">
        <f t="shared" si="16"/>
        <v>43200</v>
      </c>
      <c r="K546" s="6">
        <f t="shared" si="17"/>
        <v>36720</v>
      </c>
      <c r="L546" s="8" t="s">
        <v>76</v>
      </c>
      <c r="M546" s="8" t="s">
        <v>96</v>
      </c>
      <c r="N546">
        <v>3</v>
      </c>
      <c r="O546">
        <v>2024</v>
      </c>
      <c r="P546" s="29" t="s">
        <v>711</v>
      </c>
      <c r="Q546" t="s">
        <v>735</v>
      </c>
      <c r="R546" t="s">
        <v>738</v>
      </c>
    </row>
    <row r="547" spans="1:18" x14ac:dyDescent="0.25">
      <c r="A547" s="9">
        <v>546</v>
      </c>
      <c r="B547" s="10">
        <v>45406</v>
      </c>
      <c r="C547" s="11" t="s">
        <v>101</v>
      </c>
      <c r="D547" s="11" t="s">
        <v>93</v>
      </c>
      <c r="E547" s="11" t="s">
        <v>102</v>
      </c>
      <c r="F547" s="11" t="s">
        <v>103</v>
      </c>
      <c r="G547" s="9">
        <v>10</v>
      </c>
      <c r="H547" s="26">
        <v>9000</v>
      </c>
      <c r="I547" s="9">
        <v>10</v>
      </c>
      <c r="J547" s="9">
        <f t="shared" si="16"/>
        <v>90000</v>
      </c>
      <c r="K547" s="9">
        <f t="shared" si="17"/>
        <v>81000</v>
      </c>
      <c r="L547" s="11" t="s">
        <v>76</v>
      </c>
      <c r="M547" s="11" t="s">
        <v>96</v>
      </c>
      <c r="N547">
        <v>4</v>
      </c>
      <c r="O547">
        <v>2024</v>
      </c>
      <c r="P547" s="29" t="s">
        <v>722</v>
      </c>
      <c r="Q547" t="s">
        <v>736</v>
      </c>
      <c r="R547" t="s">
        <v>739</v>
      </c>
    </row>
    <row r="548" spans="1:18" x14ac:dyDescent="0.25">
      <c r="A548" s="9">
        <v>547</v>
      </c>
      <c r="B548" s="10">
        <v>45597</v>
      </c>
      <c r="C548" s="11" t="s">
        <v>119</v>
      </c>
      <c r="D548" s="11" t="s">
        <v>73</v>
      </c>
      <c r="E548" s="11" t="s">
        <v>102</v>
      </c>
      <c r="F548" s="11" t="s">
        <v>151</v>
      </c>
      <c r="G548" s="9">
        <v>2</v>
      </c>
      <c r="H548" s="26">
        <v>8100</v>
      </c>
      <c r="I548" s="9">
        <v>20</v>
      </c>
      <c r="J548" s="9">
        <f t="shared" si="16"/>
        <v>16200</v>
      </c>
      <c r="K548" s="9">
        <f t="shared" si="17"/>
        <v>12960</v>
      </c>
      <c r="L548" s="11" t="s">
        <v>76</v>
      </c>
      <c r="M548" s="11" t="s">
        <v>96</v>
      </c>
      <c r="N548">
        <v>11</v>
      </c>
      <c r="O548">
        <v>2024</v>
      </c>
      <c r="P548" s="29" t="s">
        <v>714</v>
      </c>
      <c r="Q548" t="s">
        <v>733</v>
      </c>
      <c r="R548" t="s">
        <v>738</v>
      </c>
    </row>
    <row r="549" spans="1:18" x14ac:dyDescent="0.25">
      <c r="A549" s="6">
        <v>548</v>
      </c>
      <c r="B549" s="7">
        <v>45562</v>
      </c>
      <c r="C549" s="8" t="s">
        <v>106</v>
      </c>
      <c r="D549" s="8" t="s">
        <v>117</v>
      </c>
      <c r="E549" s="8" t="s">
        <v>79</v>
      </c>
      <c r="F549" s="8" t="s">
        <v>115</v>
      </c>
      <c r="G549" s="6">
        <v>44</v>
      </c>
      <c r="H549" s="25">
        <v>8500</v>
      </c>
      <c r="I549" s="6">
        <v>10</v>
      </c>
      <c r="J549" s="6">
        <f t="shared" si="16"/>
        <v>374000</v>
      </c>
      <c r="K549" s="6">
        <f t="shared" si="17"/>
        <v>336600</v>
      </c>
      <c r="L549" s="8" t="s">
        <v>76</v>
      </c>
      <c r="M549" s="8" t="s">
        <v>81</v>
      </c>
      <c r="N549">
        <v>9</v>
      </c>
      <c r="O549">
        <v>2024</v>
      </c>
      <c r="P549" s="29" t="s">
        <v>731</v>
      </c>
      <c r="Q549" t="s">
        <v>734</v>
      </c>
      <c r="R549" t="s">
        <v>737</v>
      </c>
    </row>
    <row r="550" spans="1:18" x14ac:dyDescent="0.25">
      <c r="A550" s="9">
        <v>549</v>
      </c>
      <c r="B550" s="10">
        <v>45216</v>
      </c>
      <c r="C550" s="11" t="s">
        <v>88</v>
      </c>
      <c r="D550" s="11" t="s">
        <v>83</v>
      </c>
      <c r="E550" s="11" t="s">
        <v>74</v>
      </c>
      <c r="F550" s="11" t="s">
        <v>118</v>
      </c>
      <c r="G550" s="9">
        <v>43</v>
      </c>
      <c r="H550" s="26">
        <v>25900</v>
      </c>
      <c r="I550" s="9">
        <v>0</v>
      </c>
      <c r="J550" s="9">
        <f t="shared" si="16"/>
        <v>1113700</v>
      </c>
      <c r="K550" s="9">
        <f t="shared" si="17"/>
        <v>1113700</v>
      </c>
      <c r="L550" s="11" t="s">
        <v>76</v>
      </c>
      <c r="M550" s="11" t="s">
        <v>81</v>
      </c>
      <c r="N550">
        <v>10</v>
      </c>
      <c r="O550">
        <v>2023</v>
      </c>
      <c r="P550" s="29" t="s">
        <v>726</v>
      </c>
      <c r="Q550" t="s">
        <v>733</v>
      </c>
      <c r="R550" t="s">
        <v>737</v>
      </c>
    </row>
    <row r="551" spans="1:18" x14ac:dyDescent="0.25">
      <c r="A551" s="6">
        <v>550</v>
      </c>
      <c r="B551" s="7">
        <v>44959</v>
      </c>
      <c r="C551" s="8" t="s">
        <v>106</v>
      </c>
      <c r="D551" s="8" t="s">
        <v>73</v>
      </c>
      <c r="E551" s="8" t="s">
        <v>111</v>
      </c>
      <c r="F551" s="8" t="s">
        <v>156</v>
      </c>
      <c r="G551" s="6">
        <v>37</v>
      </c>
      <c r="H551" s="25">
        <v>38800</v>
      </c>
      <c r="I551" s="6">
        <v>15</v>
      </c>
      <c r="J551" s="6">
        <f t="shared" si="16"/>
        <v>1435600</v>
      </c>
      <c r="K551" s="6">
        <f t="shared" si="17"/>
        <v>1220260</v>
      </c>
      <c r="L551" s="8" t="s">
        <v>76</v>
      </c>
      <c r="M551" s="8" t="s">
        <v>91</v>
      </c>
      <c r="N551">
        <v>2</v>
      </c>
      <c r="O551">
        <v>2023</v>
      </c>
      <c r="P551" s="29" t="s">
        <v>717</v>
      </c>
      <c r="Q551" t="s">
        <v>735</v>
      </c>
      <c r="R551" t="s">
        <v>737</v>
      </c>
    </row>
    <row r="552" spans="1:18" x14ac:dyDescent="0.25">
      <c r="A552" s="9">
        <v>551</v>
      </c>
      <c r="B552" s="10">
        <v>45428</v>
      </c>
      <c r="C552" s="11" t="s">
        <v>82</v>
      </c>
      <c r="D552" s="30" t="s">
        <v>703</v>
      </c>
      <c r="E552" s="11" t="s">
        <v>102</v>
      </c>
      <c r="F552" s="11" t="s">
        <v>110</v>
      </c>
      <c r="G552" s="9">
        <v>15</v>
      </c>
      <c r="H552" s="26">
        <v>20100</v>
      </c>
      <c r="I552" s="9">
        <v>0</v>
      </c>
      <c r="J552" s="9">
        <f t="shared" si="16"/>
        <v>301500</v>
      </c>
      <c r="K552" s="9">
        <f t="shared" si="17"/>
        <v>301500</v>
      </c>
      <c r="L552" s="11" t="s">
        <v>76</v>
      </c>
      <c r="M552" s="11" t="s">
        <v>77</v>
      </c>
      <c r="N552">
        <v>5</v>
      </c>
      <c r="O552">
        <v>2024</v>
      </c>
      <c r="P552" s="29" t="s">
        <v>732</v>
      </c>
      <c r="Q552" t="s">
        <v>736</v>
      </c>
      <c r="R552" t="s">
        <v>737</v>
      </c>
    </row>
    <row r="553" spans="1:18" x14ac:dyDescent="0.25">
      <c r="A553" s="6">
        <v>552</v>
      </c>
      <c r="B553" s="7">
        <v>44965</v>
      </c>
      <c r="C553" s="8" t="s">
        <v>119</v>
      </c>
      <c r="D553" s="8" t="s">
        <v>73</v>
      </c>
      <c r="E553" s="8" t="s">
        <v>111</v>
      </c>
      <c r="F553" s="8" t="s">
        <v>192</v>
      </c>
      <c r="G553" s="6">
        <v>48</v>
      </c>
      <c r="H553" s="25">
        <v>94100</v>
      </c>
      <c r="I553" s="6">
        <v>20</v>
      </c>
      <c r="J553" s="6">
        <f t="shared" si="16"/>
        <v>4516800</v>
      </c>
      <c r="K553" s="6">
        <f t="shared" si="17"/>
        <v>3613440</v>
      </c>
      <c r="L553" s="8" t="s">
        <v>123</v>
      </c>
      <c r="M553" s="8" t="s">
        <v>91</v>
      </c>
      <c r="N553">
        <v>2</v>
      </c>
      <c r="O553">
        <v>2023</v>
      </c>
      <c r="P553" s="29" t="s">
        <v>717</v>
      </c>
      <c r="Q553" t="s">
        <v>735</v>
      </c>
      <c r="R553" t="s">
        <v>737</v>
      </c>
    </row>
    <row r="554" spans="1:18" x14ac:dyDescent="0.25">
      <c r="A554" s="9">
        <v>553</v>
      </c>
      <c r="B554" s="10">
        <v>45304</v>
      </c>
      <c r="C554" s="11" t="s">
        <v>78</v>
      </c>
      <c r="D554" s="11" t="s">
        <v>93</v>
      </c>
      <c r="E554" s="11" t="s">
        <v>74</v>
      </c>
      <c r="F554" s="11" t="s">
        <v>94</v>
      </c>
      <c r="G554" s="9">
        <v>20</v>
      </c>
      <c r="H554" s="26">
        <v>37900</v>
      </c>
      <c r="I554" s="9">
        <v>10</v>
      </c>
      <c r="J554" s="9">
        <f t="shared" si="16"/>
        <v>758000</v>
      </c>
      <c r="K554" s="9">
        <f t="shared" si="17"/>
        <v>682200</v>
      </c>
      <c r="L554" s="11" t="s">
        <v>76</v>
      </c>
      <c r="M554" s="11" t="s">
        <v>81</v>
      </c>
      <c r="N554">
        <v>1</v>
      </c>
      <c r="O554">
        <v>2024</v>
      </c>
      <c r="P554" s="29" t="s">
        <v>727</v>
      </c>
      <c r="Q554" t="s">
        <v>735</v>
      </c>
      <c r="R554" t="s">
        <v>737</v>
      </c>
    </row>
    <row r="555" spans="1:18" x14ac:dyDescent="0.25">
      <c r="A555" s="6">
        <v>554</v>
      </c>
      <c r="B555" s="7">
        <v>45203</v>
      </c>
      <c r="C555" s="8" t="s">
        <v>97</v>
      </c>
      <c r="D555" s="8" t="s">
        <v>109</v>
      </c>
      <c r="E555" s="8" t="s">
        <v>102</v>
      </c>
      <c r="F555" s="8" t="s">
        <v>151</v>
      </c>
      <c r="G555" s="6">
        <v>34</v>
      </c>
      <c r="H555" s="25">
        <v>7100</v>
      </c>
      <c r="I555" s="6">
        <v>10</v>
      </c>
      <c r="J555" s="6">
        <f t="shared" si="16"/>
        <v>241400</v>
      </c>
      <c r="K555" s="6">
        <f t="shared" si="17"/>
        <v>217260</v>
      </c>
      <c r="L555" s="8" t="s">
        <v>187</v>
      </c>
      <c r="M555" s="8" t="s">
        <v>81</v>
      </c>
      <c r="N555">
        <v>10</v>
      </c>
      <c r="O555">
        <v>2023</v>
      </c>
      <c r="P555" s="29" t="s">
        <v>726</v>
      </c>
      <c r="Q555" t="s">
        <v>733</v>
      </c>
      <c r="R555" t="s">
        <v>737</v>
      </c>
    </row>
    <row r="556" spans="1:18" x14ac:dyDescent="0.25">
      <c r="A556" s="9">
        <v>555</v>
      </c>
      <c r="B556" s="10">
        <v>45498</v>
      </c>
      <c r="C556" s="11" t="s">
        <v>114</v>
      </c>
      <c r="D556" s="11" t="s">
        <v>73</v>
      </c>
      <c r="E556" s="11" t="s">
        <v>102</v>
      </c>
      <c r="F556" s="11" t="s">
        <v>157</v>
      </c>
      <c r="G556" s="9">
        <v>45</v>
      </c>
      <c r="H556" s="26">
        <v>12800</v>
      </c>
      <c r="I556" s="9">
        <v>0</v>
      </c>
      <c r="J556" s="9">
        <f t="shared" si="16"/>
        <v>576000</v>
      </c>
      <c r="K556" s="9">
        <f t="shared" si="17"/>
        <v>576000</v>
      </c>
      <c r="L556" s="11" t="s">
        <v>187</v>
      </c>
      <c r="M556" s="11" t="s">
        <v>77</v>
      </c>
      <c r="N556">
        <v>7</v>
      </c>
      <c r="O556">
        <v>2024</v>
      </c>
      <c r="P556" s="29" t="s">
        <v>712</v>
      </c>
      <c r="Q556" t="s">
        <v>734</v>
      </c>
      <c r="R556" t="s">
        <v>737</v>
      </c>
    </row>
    <row r="557" spans="1:18" x14ac:dyDescent="0.25">
      <c r="A557" s="6">
        <v>556</v>
      </c>
      <c r="B557" s="7">
        <v>45023</v>
      </c>
      <c r="C557" s="8" t="s">
        <v>82</v>
      </c>
      <c r="D557" s="8" t="s">
        <v>83</v>
      </c>
      <c r="E557" s="8" t="s">
        <v>102</v>
      </c>
      <c r="F557" s="8" t="s">
        <v>157</v>
      </c>
      <c r="G557" s="6">
        <v>35</v>
      </c>
      <c r="H557" s="25">
        <v>12800</v>
      </c>
      <c r="I557" s="6">
        <v>0</v>
      </c>
      <c r="J557" s="6">
        <f t="shared" si="16"/>
        <v>448000</v>
      </c>
      <c r="K557" s="6">
        <f t="shared" si="17"/>
        <v>448000</v>
      </c>
      <c r="L557" s="8" t="s">
        <v>123</v>
      </c>
      <c r="M557" s="8" t="s">
        <v>91</v>
      </c>
      <c r="N557">
        <v>4</v>
      </c>
      <c r="O557">
        <v>2023</v>
      </c>
      <c r="P557" s="29" t="s">
        <v>716</v>
      </c>
      <c r="Q557" t="s">
        <v>736</v>
      </c>
      <c r="R557" t="s">
        <v>737</v>
      </c>
    </row>
    <row r="558" spans="1:18" x14ac:dyDescent="0.25">
      <c r="A558" s="9">
        <v>557</v>
      </c>
      <c r="B558" s="10">
        <v>45249</v>
      </c>
      <c r="C558" s="11" t="s">
        <v>82</v>
      </c>
      <c r="D558" s="11" t="s">
        <v>117</v>
      </c>
      <c r="E558" s="11" t="s">
        <v>74</v>
      </c>
      <c r="F558" s="11" t="s">
        <v>140</v>
      </c>
      <c r="G558" s="9">
        <v>28</v>
      </c>
      <c r="H558" s="26">
        <v>4900</v>
      </c>
      <c r="I558" s="9">
        <v>10</v>
      </c>
      <c r="J558" s="9">
        <f t="shared" si="16"/>
        <v>137200</v>
      </c>
      <c r="K558" s="9">
        <f t="shared" si="17"/>
        <v>123480</v>
      </c>
      <c r="L558" s="11" t="s">
        <v>187</v>
      </c>
      <c r="M558" s="11" t="s">
        <v>96</v>
      </c>
      <c r="N558">
        <v>11</v>
      </c>
      <c r="O558">
        <v>2023</v>
      </c>
      <c r="P558" s="29" t="s">
        <v>718</v>
      </c>
      <c r="Q558" t="s">
        <v>733</v>
      </c>
      <c r="R558" t="s">
        <v>739</v>
      </c>
    </row>
    <row r="559" spans="1:18" x14ac:dyDescent="0.25">
      <c r="A559" s="6">
        <v>558</v>
      </c>
      <c r="B559" s="7">
        <v>45025</v>
      </c>
      <c r="C559" s="8" t="s">
        <v>124</v>
      </c>
      <c r="D559" s="8" t="s">
        <v>93</v>
      </c>
      <c r="E559" s="8" t="s">
        <v>84</v>
      </c>
      <c r="F559" s="8" t="s">
        <v>148</v>
      </c>
      <c r="G559" s="6">
        <v>48</v>
      </c>
      <c r="H559" s="25">
        <v>5200</v>
      </c>
      <c r="I559" s="6">
        <v>5</v>
      </c>
      <c r="J559" s="6">
        <f t="shared" si="16"/>
        <v>249600</v>
      </c>
      <c r="K559" s="6">
        <f t="shared" si="17"/>
        <v>237120</v>
      </c>
      <c r="L559" s="8" t="s">
        <v>76</v>
      </c>
      <c r="M559" s="8" t="s">
        <v>91</v>
      </c>
      <c r="N559">
        <v>4</v>
      </c>
      <c r="O559">
        <v>2023</v>
      </c>
      <c r="P559" s="29" t="s">
        <v>716</v>
      </c>
      <c r="Q559" t="s">
        <v>736</v>
      </c>
      <c r="R559" t="s">
        <v>737</v>
      </c>
    </row>
    <row r="560" spans="1:18" x14ac:dyDescent="0.25">
      <c r="A560" s="9">
        <v>559</v>
      </c>
      <c r="B560" s="10">
        <v>45598</v>
      </c>
      <c r="C560" s="11" t="s">
        <v>78</v>
      </c>
      <c r="D560" s="11" t="s">
        <v>73</v>
      </c>
      <c r="E560" s="11" t="s">
        <v>74</v>
      </c>
      <c r="F560" s="11" t="s">
        <v>94</v>
      </c>
      <c r="G560" s="9">
        <v>20</v>
      </c>
      <c r="H560" s="26">
        <v>36000</v>
      </c>
      <c r="I560" s="9">
        <v>0</v>
      </c>
      <c r="J560" s="9">
        <f t="shared" si="16"/>
        <v>720000</v>
      </c>
      <c r="K560" s="9">
        <f t="shared" si="17"/>
        <v>720000</v>
      </c>
      <c r="L560" s="11" t="s">
        <v>76</v>
      </c>
      <c r="M560" s="11" t="s">
        <v>81</v>
      </c>
      <c r="N560">
        <v>11</v>
      </c>
      <c r="O560">
        <v>2024</v>
      </c>
      <c r="P560" s="29" t="s">
        <v>714</v>
      </c>
      <c r="Q560" t="s">
        <v>733</v>
      </c>
      <c r="R560" t="s">
        <v>737</v>
      </c>
    </row>
    <row r="561" spans="1:18" x14ac:dyDescent="0.25">
      <c r="A561" s="6">
        <v>560</v>
      </c>
      <c r="B561" s="7">
        <v>45249</v>
      </c>
      <c r="C561" s="8" t="s">
        <v>78</v>
      </c>
      <c r="D561" s="8" t="s">
        <v>117</v>
      </c>
      <c r="E561" s="8" t="s">
        <v>102</v>
      </c>
      <c r="F561" s="8" t="s">
        <v>103</v>
      </c>
      <c r="G561" s="6">
        <v>30</v>
      </c>
      <c r="H561" s="25">
        <v>9100</v>
      </c>
      <c r="I561" s="6">
        <v>0</v>
      </c>
      <c r="J561" s="6">
        <f t="shared" si="16"/>
        <v>273000</v>
      </c>
      <c r="K561" s="6">
        <f t="shared" si="17"/>
        <v>273000</v>
      </c>
      <c r="L561" s="8" t="s">
        <v>76</v>
      </c>
      <c r="M561" s="8" t="s">
        <v>81</v>
      </c>
      <c r="N561">
        <v>11</v>
      </c>
      <c r="O561">
        <v>2023</v>
      </c>
      <c r="P561" s="29" t="s">
        <v>718</v>
      </c>
      <c r="Q561" t="s">
        <v>733</v>
      </c>
      <c r="R561" t="s">
        <v>737</v>
      </c>
    </row>
    <row r="562" spans="1:18" x14ac:dyDescent="0.25">
      <c r="A562" s="9">
        <v>561</v>
      </c>
      <c r="B562" s="10">
        <v>45302</v>
      </c>
      <c r="C562" s="11" t="s">
        <v>124</v>
      </c>
      <c r="D562" s="11" t="s">
        <v>109</v>
      </c>
      <c r="E562" s="11" t="s">
        <v>84</v>
      </c>
      <c r="F562" s="11" t="s">
        <v>134</v>
      </c>
      <c r="G562" s="9">
        <v>6</v>
      </c>
      <c r="H562" s="26">
        <v>10600</v>
      </c>
      <c r="I562" s="9">
        <v>15</v>
      </c>
      <c r="J562" s="9">
        <f t="shared" si="16"/>
        <v>63600</v>
      </c>
      <c r="K562" s="9">
        <f t="shared" si="17"/>
        <v>54060</v>
      </c>
      <c r="L562" s="11" t="s">
        <v>76</v>
      </c>
      <c r="M562" s="11" t="s">
        <v>81</v>
      </c>
      <c r="N562">
        <v>1</v>
      </c>
      <c r="O562">
        <v>2024</v>
      </c>
      <c r="P562" s="29" t="s">
        <v>727</v>
      </c>
      <c r="Q562" t="s">
        <v>735</v>
      </c>
      <c r="R562" t="s">
        <v>739</v>
      </c>
    </row>
    <row r="563" spans="1:18" x14ac:dyDescent="0.25">
      <c r="A563" s="6">
        <v>562</v>
      </c>
      <c r="B563" s="7">
        <v>45006</v>
      </c>
      <c r="C563" s="8" t="s">
        <v>88</v>
      </c>
      <c r="D563" s="8" t="s">
        <v>83</v>
      </c>
      <c r="E563" s="8" t="s">
        <v>84</v>
      </c>
      <c r="F563" s="8" t="s">
        <v>85</v>
      </c>
      <c r="G563" s="6">
        <v>45</v>
      </c>
      <c r="H563" s="25">
        <v>6000</v>
      </c>
      <c r="I563" s="6">
        <v>10</v>
      </c>
      <c r="J563" s="6">
        <f t="shared" si="16"/>
        <v>270000</v>
      </c>
      <c r="K563" s="6">
        <f t="shared" si="17"/>
        <v>243000</v>
      </c>
      <c r="L563" s="8" t="s">
        <v>187</v>
      </c>
      <c r="M563" s="8" t="s">
        <v>77</v>
      </c>
      <c r="N563">
        <v>3</v>
      </c>
      <c r="O563">
        <v>2023</v>
      </c>
      <c r="P563" s="29" t="s">
        <v>719</v>
      </c>
      <c r="Q563" t="s">
        <v>735</v>
      </c>
      <c r="R563" t="s">
        <v>737</v>
      </c>
    </row>
    <row r="564" spans="1:18" x14ac:dyDescent="0.25">
      <c r="A564" s="9">
        <v>563</v>
      </c>
      <c r="B564" s="10">
        <v>45584</v>
      </c>
      <c r="C564" s="11" t="s">
        <v>101</v>
      </c>
      <c r="D564" s="11" t="s">
        <v>73</v>
      </c>
      <c r="E564" s="11" t="s">
        <v>102</v>
      </c>
      <c r="F564" s="11" t="s">
        <v>151</v>
      </c>
      <c r="G564" s="9">
        <v>4</v>
      </c>
      <c r="H564" s="26">
        <v>6900</v>
      </c>
      <c r="I564" s="9">
        <v>0</v>
      </c>
      <c r="J564" s="9">
        <f t="shared" si="16"/>
        <v>27600</v>
      </c>
      <c r="K564" s="9">
        <f t="shared" si="17"/>
        <v>27600</v>
      </c>
      <c r="L564" s="11" t="s">
        <v>107</v>
      </c>
      <c r="M564" s="11" t="s">
        <v>96</v>
      </c>
      <c r="N564">
        <v>10</v>
      </c>
      <c r="O564">
        <v>2024</v>
      </c>
      <c r="P564" s="29" t="s">
        <v>709</v>
      </c>
      <c r="Q564" t="s">
        <v>733</v>
      </c>
      <c r="R564" t="s">
        <v>738</v>
      </c>
    </row>
    <row r="565" spans="1:18" x14ac:dyDescent="0.25">
      <c r="A565" s="6">
        <v>564</v>
      </c>
      <c r="B565" s="7">
        <v>45371</v>
      </c>
      <c r="C565" s="8" t="s">
        <v>114</v>
      </c>
      <c r="D565" s="8" t="s">
        <v>73</v>
      </c>
      <c r="E565" s="8" t="s">
        <v>84</v>
      </c>
      <c r="F565" s="8" t="s">
        <v>206</v>
      </c>
      <c r="G565" s="6">
        <v>41</v>
      </c>
      <c r="H565" s="25">
        <v>14800</v>
      </c>
      <c r="I565" s="6">
        <v>10</v>
      </c>
      <c r="J565" s="6">
        <f t="shared" si="16"/>
        <v>606800</v>
      </c>
      <c r="K565" s="6">
        <f t="shared" si="17"/>
        <v>546120</v>
      </c>
      <c r="L565" s="8" t="s">
        <v>76</v>
      </c>
      <c r="M565" s="8" t="s">
        <v>96</v>
      </c>
      <c r="N565">
        <v>3</v>
      </c>
      <c r="O565">
        <v>2024</v>
      </c>
      <c r="P565" s="29" t="s">
        <v>711</v>
      </c>
      <c r="Q565" t="s">
        <v>735</v>
      </c>
      <c r="R565" t="s">
        <v>737</v>
      </c>
    </row>
    <row r="566" spans="1:18" x14ac:dyDescent="0.25">
      <c r="A566" s="9">
        <v>565</v>
      </c>
      <c r="B566" s="10">
        <v>45262</v>
      </c>
      <c r="C566" s="11" t="s">
        <v>88</v>
      </c>
      <c r="D566" s="11" t="s">
        <v>93</v>
      </c>
      <c r="E566" s="11" t="s">
        <v>102</v>
      </c>
      <c r="F566" s="11" t="s">
        <v>103</v>
      </c>
      <c r="G566" s="9">
        <v>45</v>
      </c>
      <c r="H566" s="26">
        <v>9600</v>
      </c>
      <c r="I566" s="9">
        <v>15</v>
      </c>
      <c r="J566" s="9">
        <f t="shared" si="16"/>
        <v>432000</v>
      </c>
      <c r="K566" s="9">
        <f t="shared" si="17"/>
        <v>367200</v>
      </c>
      <c r="L566" s="11" t="s">
        <v>76</v>
      </c>
      <c r="M566" s="11" t="s">
        <v>77</v>
      </c>
      <c r="N566">
        <v>12</v>
      </c>
      <c r="O566">
        <v>2023</v>
      </c>
      <c r="P566" s="29" t="s">
        <v>725</v>
      </c>
      <c r="Q566" t="s">
        <v>733</v>
      </c>
      <c r="R566" t="s">
        <v>737</v>
      </c>
    </row>
    <row r="567" spans="1:18" x14ac:dyDescent="0.25">
      <c r="A567" s="6">
        <v>566</v>
      </c>
      <c r="B567" s="7">
        <v>45475</v>
      </c>
      <c r="C567" s="8" t="s">
        <v>119</v>
      </c>
      <c r="D567" s="8" t="s">
        <v>93</v>
      </c>
      <c r="E567" s="8" t="s">
        <v>102</v>
      </c>
      <c r="F567" s="8" t="s">
        <v>137</v>
      </c>
      <c r="G567" s="6">
        <v>19</v>
      </c>
      <c r="H567" s="25">
        <v>2100</v>
      </c>
      <c r="I567" s="6">
        <v>0</v>
      </c>
      <c r="J567" s="6">
        <f t="shared" si="16"/>
        <v>39900</v>
      </c>
      <c r="K567" s="6">
        <f t="shared" si="17"/>
        <v>39900</v>
      </c>
      <c r="L567" s="8" t="s">
        <v>187</v>
      </c>
      <c r="M567" s="8" t="s">
        <v>81</v>
      </c>
      <c r="N567">
        <v>7</v>
      </c>
      <c r="O567">
        <v>2024</v>
      </c>
      <c r="P567" s="29" t="s">
        <v>712</v>
      </c>
      <c r="Q567" t="s">
        <v>734</v>
      </c>
      <c r="R567" t="s">
        <v>738</v>
      </c>
    </row>
    <row r="568" spans="1:18" x14ac:dyDescent="0.25">
      <c r="A568" s="9">
        <v>567</v>
      </c>
      <c r="B568" s="10">
        <v>45242</v>
      </c>
      <c r="C568" s="11" t="s">
        <v>97</v>
      </c>
      <c r="D568" s="11" t="s">
        <v>83</v>
      </c>
      <c r="E568" s="11" t="s">
        <v>102</v>
      </c>
      <c r="F568" s="11" t="s">
        <v>138</v>
      </c>
      <c r="G568" s="9">
        <v>17</v>
      </c>
      <c r="H568" s="26">
        <v>6700</v>
      </c>
      <c r="I568" s="9">
        <v>20</v>
      </c>
      <c r="J568" s="9">
        <f t="shared" si="16"/>
        <v>113900</v>
      </c>
      <c r="K568" s="9">
        <f t="shared" si="17"/>
        <v>91120</v>
      </c>
      <c r="L568" s="11" t="s">
        <v>76</v>
      </c>
      <c r="M568" s="31" t="s">
        <v>695</v>
      </c>
      <c r="N568">
        <v>11</v>
      </c>
      <c r="O568">
        <v>2023</v>
      </c>
      <c r="P568" s="29" t="s">
        <v>718</v>
      </c>
      <c r="Q568" t="s">
        <v>733</v>
      </c>
      <c r="R568" t="s">
        <v>739</v>
      </c>
    </row>
    <row r="569" spans="1:18" x14ac:dyDescent="0.25">
      <c r="A569" s="6">
        <v>568</v>
      </c>
      <c r="B569" s="7">
        <v>45641</v>
      </c>
      <c r="C569" s="8" t="s">
        <v>108</v>
      </c>
      <c r="D569" s="8" t="s">
        <v>109</v>
      </c>
      <c r="E569" s="8" t="s">
        <v>111</v>
      </c>
      <c r="F569" s="8" t="s">
        <v>156</v>
      </c>
      <c r="G569" s="6">
        <v>42</v>
      </c>
      <c r="H569" s="25">
        <v>42900</v>
      </c>
      <c r="I569" s="6">
        <v>0</v>
      </c>
      <c r="J569" s="6">
        <f t="shared" si="16"/>
        <v>1801800</v>
      </c>
      <c r="K569" s="6">
        <f t="shared" si="17"/>
        <v>1801800</v>
      </c>
      <c r="L569" s="8" t="s">
        <v>76</v>
      </c>
      <c r="M569" s="8" t="s">
        <v>81</v>
      </c>
      <c r="N569">
        <v>12</v>
      </c>
      <c r="O569">
        <v>2024</v>
      </c>
      <c r="P569" s="29" t="s">
        <v>728</v>
      </c>
      <c r="Q569" t="s">
        <v>733</v>
      </c>
      <c r="R569" t="s">
        <v>737</v>
      </c>
    </row>
    <row r="570" spans="1:18" x14ac:dyDescent="0.25">
      <c r="A570" s="9">
        <v>569</v>
      </c>
      <c r="B570" s="10">
        <v>45000</v>
      </c>
      <c r="C570" s="11" t="s">
        <v>101</v>
      </c>
      <c r="D570" s="11" t="s">
        <v>83</v>
      </c>
      <c r="E570" s="11" t="s">
        <v>74</v>
      </c>
      <c r="F570" s="11" t="s">
        <v>118</v>
      </c>
      <c r="G570" s="9">
        <v>27</v>
      </c>
      <c r="H570" s="26">
        <v>26000</v>
      </c>
      <c r="I570" s="9">
        <v>0</v>
      </c>
      <c r="J570" s="9">
        <f t="shared" si="16"/>
        <v>702000</v>
      </c>
      <c r="K570" s="9">
        <f t="shared" si="17"/>
        <v>702000</v>
      </c>
      <c r="L570" s="11" t="s">
        <v>76</v>
      </c>
      <c r="M570" s="11" t="s">
        <v>96</v>
      </c>
      <c r="N570">
        <v>3</v>
      </c>
      <c r="O570">
        <v>2023</v>
      </c>
      <c r="P570" s="29" t="s">
        <v>719</v>
      </c>
      <c r="Q570" t="s">
        <v>735</v>
      </c>
      <c r="R570" t="s">
        <v>737</v>
      </c>
    </row>
    <row r="571" spans="1:18" x14ac:dyDescent="0.25">
      <c r="A571" s="6">
        <v>570</v>
      </c>
      <c r="B571" s="7">
        <v>45255</v>
      </c>
      <c r="C571" s="8" t="s">
        <v>88</v>
      </c>
      <c r="D571" s="8" t="s">
        <v>93</v>
      </c>
      <c r="E571" s="8" t="s">
        <v>79</v>
      </c>
      <c r="F571" s="8" t="s">
        <v>179</v>
      </c>
      <c r="G571" s="6">
        <v>23</v>
      </c>
      <c r="H571" s="25">
        <v>2400</v>
      </c>
      <c r="I571" s="6">
        <v>10</v>
      </c>
      <c r="J571" s="6">
        <f t="shared" si="16"/>
        <v>55200</v>
      </c>
      <c r="K571" s="6">
        <f t="shared" si="17"/>
        <v>49680</v>
      </c>
      <c r="L571" s="8" t="s">
        <v>76</v>
      </c>
      <c r="M571" s="8" t="s">
        <v>91</v>
      </c>
      <c r="N571">
        <v>11</v>
      </c>
      <c r="O571">
        <v>2023</v>
      </c>
      <c r="P571" s="29" t="s">
        <v>718</v>
      </c>
      <c r="Q571" t="s">
        <v>733</v>
      </c>
      <c r="R571" t="s">
        <v>738</v>
      </c>
    </row>
    <row r="572" spans="1:18" x14ac:dyDescent="0.25">
      <c r="A572" s="9">
        <v>571</v>
      </c>
      <c r="B572" s="10">
        <v>45076</v>
      </c>
      <c r="C572" s="11" t="s">
        <v>119</v>
      </c>
      <c r="D572" s="11" t="s">
        <v>73</v>
      </c>
      <c r="E572" s="11" t="s">
        <v>84</v>
      </c>
      <c r="F572" s="11" t="s">
        <v>90</v>
      </c>
      <c r="G572" s="9">
        <v>10</v>
      </c>
      <c r="H572" s="26">
        <v>1900</v>
      </c>
      <c r="I572" s="9">
        <v>0</v>
      </c>
      <c r="J572" s="9">
        <f t="shared" si="16"/>
        <v>19000</v>
      </c>
      <c r="K572" s="9">
        <f t="shared" si="17"/>
        <v>19000</v>
      </c>
      <c r="L572" s="11" t="s">
        <v>187</v>
      </c>
      <c r="M572" s="11" t="s">
        <v>77</v>
      </c>
      <c r="N572">
        <v>5</v>
      </c>
      <c r="O572">
        <v>2023</v>
      </c>
      <c r="P572" s="29" t="s">
        <v>730</v>
      </c>
      <c r="Q572" t="s">
        <v>736</v>
      </c>
      <c r="R572" t="s">
        <v>738</v>
      </c>
    </row>
    <row r="573" spans="1:18" x14ac:dyDescent="0.25">
      <c r="A573" s="6">
        <v>572</v>
      </c>
      <c r="B573" s="7">
        <v>44982</v>
      </c>
      <c r="C573" s="8" t="s">
        <v>106</v>
      </c>
      <c r="D573" s="8" t="s">
        <v>93</v>
      </c>
      <c r="E573" s="8" t="s">
        <v>84</v>
      </c>
      <c r="F573" s="8" t="s">
        <v>134</v>
      </c>
      <c r="G573" s="6">
        <v>45</v>
      </c>
      <c r="H573" s="25">
        <v>8700</v>
      </c>
      <c r="I573" s="6">
        <v>5</v>
      </c>
      <c r="J573" s="6">
        <f t="shared" si="16"/>
        <v>391500</v>
      </c>
      <c r="K573" s="6">
        <f t="shared" si="17"/>
        <v>371925</v>
      </c>
      <c r="L573" s="8" t="s">
        <v>187</v>
      </c>
      <c r="M573" s="8" t="s">
        <v>96</v>
      </c>
      <c r="N573">
        <v>2</v>
      </c>
      <c r="O573">
        <v>2023</v>
      </c>
      <c r="P573" s="29" t="s">
        <v>717</v>
      </c>
      <c r="Q573" t="s">
        <v>735</v>
      </c>
      <c r="R573" t="s">
        <v>737</v>
      </c>
    </row>
    <row r="574" spans="1:18" x14ac:dyDescent="0.25">
      <c r="A574" s="9">
        <v>573</v>
      </c>
      <c r="B574" s="10">
        <v>45409</v>
      </c>
      <c r="C574" s="11" t="s">
        <v>78</v>
      </c>
      <c r="D574" s="11" t="s">
        <v>117</v>
      </c>
      <c r="E574" s="11" t="s">
        <v>84</v>
      </c>
      <c r="F574" s="11" t="s">
        <v>90</v>
      </c>
      <c r="G574" s="9">
        <v>34</v>
      </c>
      <c r="H574" s="26">
        <v>1700</v>
      </c>
      <c r="I574" s="9">
        <v>10</v>
      </c>
      <c r="J574" s="9">
        <f t="shared" si="16"/>
        <v>57800</v>
      </c>
      <c r="K574" s="9">
        <f t="shared" si="17"/>
        <v>52020</v>
      </c>
      <c r="L574" s="11" t="s">
        <v>187</v>
      </c>
      <c r="M574" s="31" t="s">
        <v>695</v>
      </c>
      <c r="N574">
        <v>4</v>
      </c>
      <c r="O574">
        <v>2024</v>
      </c>
      <c r="P574" s="29" t="s">
        <v>722</v>
      </c>
      <c r="Q574" t="s">
        <v>736</v>
      </c>
      <c r="R574" t="s">
        <v>739</v>
      </c>
    </row>
    <row r="575" spans="1:18" x14ac:dyDescent="0.25">
      <c r="A575" s="6">
        <v>574</v>
      </c>
      <c r="B575" s="7">
        <v>45071</v>
      </c>
      <c r="C575" s="8" t="s">
        <v>78</v>
      </c>
      <c r="D575" s="8" t="s">
        <v>83</v>
      </c>
      <c r="E575" s="8" t="s">
        <v>102</v>
      </c>
      <c r="F575" s="8" t="s">
        <v>138</v>
      </c>
      <c r="G575" s="6">
        <v>4</v>
      </c>
      <c r="H575" s="25">
        <v>6300</v>
      </c>
      <c r="I575" s="6">
        <v>0</v>
      </c>
      <c r="J575" s="6">
        <f t="shared" si="16"/>
        <v>25200</v>
      </c>
      <c r="K575" s="6">
        <f t="shared" si="17"/>
        <v>25200</v>
      </c>
      <c r="L575" s="8" t="s">
        <v>76</v>
      </c>
      <c r="M575" s="8" t="s">
        <v>96</v>
      </c>
      <c r="N575">
        <v>5</v>
      </c>
      <c r="O575">
        <v>2023</v>
      </c>
      <c r="P575" s="29" t="s">
        <v>730</v>
      </c>
      <c r="Q575" t="s">
        <v>736</v>
      </c>
      <c r="R575" t="s">
        <v>738</v>
      </c>
    </row>
    <row r="576" spans="1:18" x14ac:dyDescent="0.25">
      <c r="A576" s="9">
        <v>575</v>
      </c>
      <c r="B576" s="10">
        <v>45403</v>
      </c>
      <c r="C576" s="11" t="s">
        <v>78</v>
      </c>
      <c r="D576" s="11" t="s">
        <v>73</v>
      </c>
      <c r="E576" s="11" t="s">
        <v>111</v>
      </c>
      <c r="F576" s="11" t="s">
        <v>135</v>
      </c>
      <c r="G576" s="9">
        <v>43</v>
      </c>
      <c r="H576" s="26">
        <v>122600</v>
      </c>
      <c r="I576" s="9">
        <v>0</v>
      </c>
      <c r="J576" s="9">
        <f t="shared" si="16"/>
        <v>5271800</v>
      </c>
      <c r="K576" s="9">
        <f t="shared" si="17"/>
        <v>5271800</v>
      </c>
      <c r="L576" s="11" t="s">
        <v>76</v>
      </c>
      <c r="M576" s="11" t="s">
        <v>77</v>
      </c>
      <c r="N576">
        <v>4</v>
      </c>
      <c r="O576">
        <v>2024</v>
      </c>
      <c r="P576" s="29" t="s">
        <v>722</v>
      </c>
      <c r="Q576" t="s">
        <v>736</v>
      </c>
      <c r="R576" t="s">
        <v>737</v>
      </c>
    </row>
    <row r="577" spans="1:18" x14ac:dyDescent="0.25">
      <c r="A577" s="6">
        <v>576</v>
      </c>
      <c r="B577" s="7">
        <v>45226</v>
      </c>
      <c r="C577" s="8" t="s">
        <v>114</v>
      </c>
      <c r="D577" s="8" t="s">
        <v>109</v>
      </c>
      <c r="E577" s="8" t="s">
        <v>111</v>
      </c>
      <c r="F577" s="8" t="s">
        <v>112</v>
      </c>
      <c r="G577" s="6">
        <v>32</v>
      </c>
      <c r="H577" s="25">
        <v>73200</v>
      </c>
      <c r="I577" s="6">
        <v>0</v>
      </c>
      <c r="J577" s="6">
        <f t="shared" si="16"/>
        <v>2342400</v>
      </c>
      <c r="K577" s="6">
        <f t="shared" si="17"/>
        <v>2342400</v>
      </c>
      <c r="L577" s="8" t="s">
        <v>107</v>
      </c>
      <c r="M577" s="8" t="s">
        <v>77</v>
      </c>
      <c r="N577">
        <v>10</v>
      </c>
      <c r="O577">
        <v>2023</v>
      </c>
      <c r="P577" s="29" t="s">
        <v>726</v>
      </c>
      <c r="Q577" t="s">
        <v>733</v>
      </c>
      <c r="R577" t="s">
        <v>737</v>
      </c>
    </row>
    <row r="578" spans="1:18" x14ac:dyDescent="0.25">
      <c r="A578" s="9">
        <v>577</v>
      </c>
      <c r="B578" s="10">
        <v>45130</v>
      </c>
      <c r="C578" s="11" t="s">
        <v>82</v>
      </c>
      <c r="D578" s="11" t="s">
        <v>83</v>
      </c>
      <c r="E578" s="11" t="s">
        <v>102</v>
      </c>
      <c r="F578" s="11" t="s">
        <v>138</v>
      </c>
      <c r="G578" s="9">
        <v>34</v>
      </c>
      <c r="H578" s="26">
        <v>5900</v>
      </c>
      <c r="I578" s="9">
        <v>5</v>
      </c>
      <c r="J578" s="9">
        <f t="shared" ref="J578:J641" si="18">G578*H578</f>
        <v>200600</v>
      </c>
      <c r="K578" s="9">
        <f t="shared" ref="K578:K641" si="19">J578*(1-I578/100)</f>
        <v>190570</v>
      </c>
      <c r="L578" s="11" t="s">
        <v>76</v>
      </c>
      <c r="M578" s="11" t="s">
        <v>91</v>
      </c>
      <c r="N578">
        <v>7</v>
      </c>
      <c r="O578">
        <v>2023</v>
      </c>
      <c r="P578" s="29" t="s">
        <v>724</v>
      </c>
      <c r="Q578" t="s">
        <v>734</v>
      </c>
      <c r="R578" t="s">
        <v>739</v>
      </c>
    </row>
    <row r="579" spans="1:18" x14ac:dyDescent="0.25">
      <c r="A579" s="6">
        <v>578</v>
      </c>
      <c r="B579" s="7">
        <v>45205</v>
      </c>
      <c r="C579" s="8" t="s">
        <v>78</v>
      </c>
      <c r="D579" s="8" t="s">
        <v>117</v>
      </c>
      <c r="E579" s="8" t="s">
        <v>74</v>
      </c>
      <c r="F579" s="8" t="s">
        <v>212</v>
      </c>
      <c r="G579" s="6">
        <v>16</v>
      </c>
      <c r="H579" s="25">
        <v>8500</v>
      </c>
      <c r="I579" s="6">
        <v>20</v>
      </c>
      <c r="J579" s="6">
        <f t="shared" si="18"/>
        <v>136000</v>
      </c>
      <c r="K579" s="6">
        <f t="shared" si="19"/>
        <v>108800</v>
      </c>
      <c r="L579" s="8" t="s">
        <v>123</v>
      </c>
      <c r="M579" s="8" t="s">
        <v>96</v>
      </c>
      <c r="N579">
        <v>10</v>
      </c>
      <c r="O579">
        <v>2023</v>
      </c>
      <c r="P579" s="29" t="s">
        <v>726</v>
      </c>
      <c r="Q579" t="s">
        <v>733</v>
      </c>
      <c r="R579" t="s">
        <v>739</v>
      </c>
    </row>
    <row r="580" spans="1:18" x14ac:dyDescent="0.25">
      <c r="A580" s="9">
        <v>579</v>
      </c>
      <c r="B580" s="10">
        <v>44990</v>
      </c>
      <c r="C580" s="11" t="s">
        <v>101</v>
      </c>
      <c r="D580" s="11" t="s">
        <v>83</v>
      </c>
      <c r="E580" s="11" t="s">
        <v>79</v>
      </c>
      <c r="F580" s="11" t="s">
        <v>179</v>
      </c>
      <c r="G580" s="9">
        <v>22</v>
      </c>
      <c r="H580" s="26">
        <v>2400</v>
      </c>
      <c r="I580" s="9">
        <v>0</v>
      </c>
      <c r="J580" s="9">
        <f t="shared" si="18"/>
        <v>52800</v>
      </c>
      <c r="K580" s="9">
        <f t="shared" si="19"/>
        <v>52800</v>
      </c>
      <c r="L580" s="11" t="s">
        <v>107</v>
      </c>
      <c r="M580" s="11" t="s">
        <v>81</v>
      </c>
      <c r="N580">
        <v>3</v>
      </c>
      <c r="O580">
        <v>2023</v>
      </c>
      <c r="P580" s="29" t="s">
        <v>719</v>
      </c>
      <c r="Q580" t="s">
        <v>735</v>
      </c>
      <c r="R580" t="s">
        <v>739</v>
      </c>
    </row>
    <row r="581" spans="1:18" x14ac:dyDescent="0.25">
      <c r="A581" s="6">
        <v>580</v>
      </c>
      <c r="B581" s="7">
        <v>45318</v>
      </c>
      <c r="C581" s="8" t="s">
        <v>82</v>
      </c>
      <c r="D581" s="8" t="s">
        <v>93</v>
      </c>
      <c r="E581" s="8" t="s">
        <v>84</v>
      </c>
      <c r="F581" s="8" t="s">
        <v>148</v>
      </c>
      <c r="G581" s="6">
        <v>10</v>
      </c>
      <c r="H581" s="25">
        <v>4600</v>
      </c>
      <c r="I581" s="6">
        <v>10</v>
      </c>
      <c r="J581" s="6">
        <f t="shared" si="18"/>
        <v>46000</v>
      </c>
      <c r="K581" s="6">
        <f t="shared" si="19"/>
        <v>41400</v>
      </c>
      <c r="L581" s="8" t="s">
        <v>76</v>
      </c>
      <c r="M581" s="8" t="s">
        <v>96</v>
      </c>
      <c r="N581">
        <v>1</v>
      </c>
      <c r="O581">
        <v>2024</v>
      </c>
      <c r="P581" s="29" t="s">
        <v>727</v>
      </c>
      <c r="Q581" t="s">
        <v>735</v>
      </c>
      <c r="R581" t="s">
        <v>738</v>
      </c>
    </row>
    <row r="582" spans="1:18" x14ac:dyDescent="0.25">
      <c r="A582" s="6">
        <v>581</v>
      </c>
      <c r="B582" s="7">
        <v>45028</v>
      </c>
      <c r="C582" s="8" t="s">
        <v>119</v>
      </c>
      <c r="D582" s="8" t="s">
        <v>93</v>
      </c>
      <c r="E582" s="8" t="s">
        <v>84</v>
      </c>
      <c r="F582" s="8" t="s">
        <v>90</v>
      </c>
      <c r="G582" s="6">
        <v>38</v>
      </c>
      <c r="H582" s="25">
        <v>1900</v>
      </c>
      <c r="I582" s="6">
        <v>20</v>
      </c>
      <c r="J582" s="6">
        <f t="shared" si="18"/>
        <v>72200</v>
      </c>
      <c r="K582" s="6">
        <f t="shared" si="19"/>
        <v>57760</v>
      </c>
      <c r="L582" s="8" t="s">
        <v>76</v>
      </c>
      <c r="M582" s="8" t="s">
        <v>81</v>
      </c>
      <c r="N582">
        <v>4</v>
      </c>
      <c r="O582">
        <v>2023</v>
      </c>
      <c r="P582" s="29" t="s">
        <v>716</v>
      </c>
      <c r="Q582" t="s">
        <v>736</v>
      </c>
      <c r="R582" t="s">
        <v>739</v>
      </c>
    </row>
    <row r="583" spans="1:18" x14ac:dyDescent="0.25">
      <c r="A583" s="9">
        <v>582</v>
      </c>
      <c r="B583" s="10">
        <v>45068</v>
      </c>
      <c r="C583" s="11" t="s">
        <v>101</v>
      </c>
      <c r="D583" s="11" t="s">
        <v>93</v>
      </c>
      <c r="E583" s="11" t="s">
        <v>84</v>
      </c>
      <c r="F583" s="11" t="s">
        <v>148</v>
      </c>
      <c r="G583" s="9">
        <v>50</v>
      </c>
      <c r="H583" s="26">
        <v>5500</v>
      </c>
      <c r="I583" s="9">
        <v>0</v>
      </c>
      <c r="J583" s="9">
        <f t="shared" si="18"/>
        <v>275000</v>
      </c>
      <c r="K583" s="9">
        <f t="shared" si="19"/>
        <v>275000</v>
      </c>
      <c r="L583" s="11" t="s">
        <v>76</v>
      </c>
      <c r="M583" s="11" t="s">
        <v>81</v>
      </c>
      <c r="N583">
        <v>5</v>
      </c>
      <c r="O583">
        <v>2023</v>
      </c>
      <c r="P583" s="29" t="s">
        <v>730</v>
      </c>
      <c r="Q583" t="s">
        <v>736</v>
      </c>
      <c r="R583" t="s">
        <v>737</v>
      </c>
    </row>
    <row r="584" spans="1:18" x14ac:dyDescent="0.25">
      <c r="A584" s="6">
        <v>583</v>
      </c>
      <c r="B584" s="7">
        <v>45233</v>
      </c>
      <c r="C584" s="8" t="s">
        <v>82</v>
      </c>
      <c r="D584" s="8" t="s">
        <v>93</v>
      </c>
      <c r="E584" s="8" t="s">
        <v>79</v>
      </c>
      <c r="F584" s="8" t="s">
        <v>122</v>
      </c>
      <c r="G584" s="6">
        <v>10</v>
      </c>
      <c r="H584" s="25">
        <v>17600</v>
      </c>
      <c r="I584" s="6">
        <v>5</v>
      </c>
      <c r="J584" s="6">
        <f t="shared" si="18"/>
        <v>176000</v>
      </c>
      <c r="K584" s="6">
        <f t="shared" si="19"/>
        <v>167200</v>
      </c>
      <c r="L584" s="8" t="s">
        <v>187</v>
      </c>
      <c r="M584" s="8" t="s">
        <v>96</v>
      </c>
      <c r="N584">
        <v>11</v>
      </c>
      <c r="O584">
        <v>2023</v>
      </c>
      <c r="P584" s="29" t="s">
        <v>718</v>
      </c>
      <c r="Q584" t="s">
        <v>733</v>
      </c>
      <c r="R584" t="s">
        <v>739</v>
      </c>
    </row>
    <row r="585" spans="1:18" x14ac:dyDescent="0.25">
      <c r="A585" s="9">
        <v>584</v>
      </c>
      <c r="B585" s="10">
        <v>45348</v>
      </c>
      <c r="C585" s="11" t="s">
        <v>101</v>
      </c>
      <c r="D585" s="11" t="s">
        <v>83</v>
      </c>
      <c r="E585" s="11" t="s">
        <v>74</v>
      </c>
      <c r="F585" s="11" t="s">
        <v>142</v>
      </c>
      <c r="G585" s="9">
        <v>7</v>
      </c>
      <c r="H585" s="26">
        <v>13100</v>
      </c>
      <c r="I585" s="9">
        <v>20</v>
      </c>
      <c r="J585" s="9">
        <f t="shared" si="18"/>
        <v>91700</v>
      </c>
      <c r="K585" s="9">
        <f t="shared" si="19"/>
        <v>73360</v>
      </c>
      <c r="L585" s="11" t="s">
        <v>76</v>
      </c>
      <c r="M585" s="11" t="s">
        <v>77</v>
      </c>
      <c r="N585">
        <v>2</v>
      </c>
      <c r="O585">
        <v>2024</v>
      </c>
      <c r="P585" s="29" t="s">
        <v>729</v>
      </c>
      <c r="Q585" t="s">
        <v>735</v>
      </c>
      <c r="R585" t="s">
        <v>739</v>
      </c>
    </row>
    <row r="586" spans="1:18" x14ac:dyDescent="0.25">
      <c r="A586" s="6">
        <v>585</v>
      </c>
      <c r="B586" s="7">
        <v>45553</v>
      </c>
      <c r="C586" s="8" t="s">
        <v>124</v>
      </c>
      <c r="D586" s="8" t="s">
        <v>117</v>
      </c>
      <c r="E586" s="8" t="s">
        <v>102</v>
      </c>
      <c r="F586" s="8" t="s">
        <v>181</v>
      </c>
      <c r="G586" s="6">
        <v>15</v>
      </c>
      <c r="H586" s="25">
        <v>4700</v>
      </c>
      <c r="I586" s="6">
        <v>0</v>
      </c>
      <c r="J586" s="6">
        <f t="shared" si="18"/>
        <v>70500</v>
      </c>
      <c r="K586" s="6">
        <f t="shared" si="19"/>
        <v>70500</v>
      </c>
      <c r="L586" s="8" t="s">
        <v>187</v>
      </c>
      <c r="M586" s="8" t="s">
        <v>96</v>
      </c>
      <c r="N586">
        <v>9</v>
      </c>
      <c r="O586">
        <v>2024</v>
      </c>
      <c r="P586" s="29" t="s">
        <v>731</v>
      </c>
      <c r="Q586" t="s">
        <v>734</v>
      </c>
      <c r="R586" t="s">
        <v>739</v>
      </c>
    </row>
    <row r="587" spans="1:18" x14ac:dyDescent="0.25">
      <c r="A587" s="9">
        <v>586</v>
      </c>
      <c r="B587" s="10">
        <v>45424</v>
      </c>
      <c r="C587" s="11" t="s">
        <v>119</v>
      </c>
      <c r="D587" s="11" t="s">
        <v>109</v>
      </c>
      <c r="E587" s="11" t="s">
        <v>102</v>
      </c>
      <c r="F587" s="11" t="s">
        <v>197</v>
      </c>
      <c r="G587" s="9">
        <v>24</v>
      </c>
      <c r="H587" s="26">
        <v>4100</v>
      </c>
      <c r="I587" s="9">
        <v>5</v>
      </c>
      <c r="J587" s="9">
        <f t="shared" si="18"/>
        <v>98400</v>
      </c>
      <c r="K587" s="9">
        <f t="shared" si="19"/>
        <v>93480</v>
      </c>
      <c r="L587" s="11" t="s">
        <v>76</v>
      </c>
      <c r="M587" s="11" t="s">
        <v>91</v>
      </c>
      <c r="N587">
        <v>5</v>
      </c>
      <c r="O587">
        <v>2024</v>
      </c>
      <c r="P587" s="29" t="s">
        <v>732</v>
      </c>
      <c r="Q587" t="s">
        <v>736</v>
      </c>
      <c r="R587" t="s">
        <v>739</v>
      </c>
    </row>
    <row r="588" spans="1:18" x14ac:dyDescent="0.25">
      <c r="A588" s="6">
        <v>587</v>
      </c>
      <c r="B588" s="7">
        <v>45412</v>
      </c>
      <c r="C588" s="8" t="s">
        <v>108</v>
      </c>
      <c r="D588" s="8" t="s">
        <v>109</v>
      </c>
      <c r="E588" s="8" t="s">
        <v>84</v>
      </c>
      <c r="F588" s="8" t="s">
        <v>90</v>
      </c>
      <c r="G588" s="6">
        <v>49</v>
      </c>
      <c r="H588" s="25">
        <v>1600</v>
      </c>
      <c r="I588" s="6">
        <v>5</v>
      </c>
      <c r="J588" s="6">
        <f t="shared" si="18"/>
        <v>78400</v>
      </c>
      <c r="K588" s="6">
        <f t="shared" si="19"/>
        <v>74480</v>
      </c>
      <c r="L588" s="8" t="s">
        <v>123</v>
      </c>
      <c r="M588" s="8" t="s">
        <v>96</v>
      </c>
      <c r="N588">
        <v>4</v>
      </c>
      <c r="O588">
        <v>2024</v>
      </c>
      <c r="P588" s="29" t="s">
        <v>722</v>
      </c>
      <c r="Q588" t="s">
        <v>736</v>
      </c>
      <c r="R588" t="s">
        <v>739</v>
      </c>
    </row>
    <row r="589" spans="1:18" x14ac:dyDescent="0.25">
      <c r="A589" s="9">
        <v>588</v>
      </c>
      <c r="B589" s="10">
        <v>45154</v>
      </c>
      <c r="C589" s="11" t="s">
        <v>106</v>
      </c>
      <c r="D589" s="11" t="s">
        <v>109</v>
      </c>
      <c r="E589" s="11" t="s">
        <v>79</v>
      </c>
      <c r="F589" s="11" t="s">
        <v>122</v>
      </c>
      <c r="G589" s="9">
        <v>29</v>
      </c>
      <c r="H589" s="26">
        <v>20400</v>
      </c>
      <c r="I589" s="9">
        <v>15</v>
      </c>
      <c r="J589" s="9">
        <f t="shared" si="18"/>
        <v>591600</v>
      </c>
      <c r="K589" s="9">
        <f t="shared" si="19"/>
        <v>502860</v>
      </c>
      <c r="L589" s="11" t="s">
        <v>107</v>
      </c>
      <c r="M589" s="11" t="s">
        <v>91</v>
      </c>
      <c r="N589">
        <v>8</v>
      </c>
      <c r="O589">
        <v>2023</v>
      </c>
      <c r="P589" s="29" t="s">
        <v>713</v>
      </c>
      <c r="Q589" t="s">
        <v>734</v>
      </c>
      <c r="R589" t="s">
        <v>737</v>
      </c>
    </row>
    <row r="590" spans="1:18" x14ac:dyDescent="0.25">
      <c r="A590" s="6">
        <v>589</v>
      </c>
      <c r="B590" s="7">
        <v>45259</v>
      </c>
      <c r="C590" s="8" t="s">
        <v>119</v>
      </c>
      <c r="D590" s="8" t="s">
        <v>109</v>
      </c>
      <c r="E590" s="8" t="s">
        <v>111</v>
      </c>
      <c r="F590" s="8" t="s">
        <v>165</v>
      </c>
      <c r="G590" s="6">
        <v>39</v>
      </c>
      <c r="H590" s="25">
        <v>19700</v>
      </c>
      <c r="I590" s="6">
        <v>15</v>
      </c>
      <c r="J590" s="6">
        <f t="shared" si="18"/>
        <v>768300</v>
      </c>
      <c r="K590" s="6">
        <f t="shared" si="19"/>
        <v>653055</v>
      </c>
      <c r="L590" s="8" t="s">
        <v>187</v>
      </c>
      <c r="M590" s="8" t="s">
        <v>91</v>
      </c>
      <c r="N590">
        <v>11</v>
      </c>
      <c r="O590">
        <v>2023</v>
      </c>
      <c r="P590" s="29" t="s">
        <v>718</v>
      </c>
      <c r="Q590" t="s">
        <v>733</v>
      </c>
      <c r="R590" t="s">
        <v>737</v>
      </c>
    </row>
    <row r="591" spans="1:18" x14ac:dyDescent="0.25">
      <c r="A591" s="9">
        <v>590</v>
      </c>
      <c r="B591" s="10">
        <v>45247</v>
      </c>
      <c r="C591" s="11" t="s">
        <v>114</v>
      </c>
      <c r="D591" s="11" t="s">
        <v>93</v>
      </c>
      <c r="E591" s="11" t="s">
        <v>102</v>
      </c>
      <c r="F591" s="11" t="s">
        <v>138</v>
      </c>
      <c r="G591" s="9">
        <v>29</v>
      </c>
      <c r="H591" s="26">
        <v>6700</v>
      </c>
      <c r="I591" s="6">
        <v>0</v>
      </c>
      <c r="J591" s="9">
        <f t="shared" si="18"/>
        <v>194300</v>
      </c>
      <c r="K591" s="9">
        <f t="shared" si="19"/>
        <v>194300</v>
      </c>
      <c r="L591" s="11" t="s">
        <v>76</v>
      </c>
      <c r="M591" s="11" t="s">
        <v>77</v>
      </c>
      <c r="N591">
        <v>11</v>
      </c>
      <c r="O591">
        <v>2023</v>
      </c>
      <c r="P591" s="29" t="s">
        <v>718</v>
      </c>
      <c r="Q591" t="s">
        <v>733</v>
      </c>
      <c r="R591" t="s">
        <v>739</v>
      </c>
    </row>
    <row r="592" spans="1:18" x14ac:dyDescent="0.25">
      <c r="A592" s="6">
        <v>591</v>
      </c>
      <c r="B592" s="7">
        <v>45458</v>
      </c>
      <c r="C592" s="8" t="s">
        <v>82</v>
      </c>
      <c r="D592" s="8" t="s">
        <v>83</v>
      </c>
      <c r="E592" s="8" t="s">
        <v>79</v>
      </c>
      <c r="F592" s="8" t="s">
        <v>115</v>
      </c>
      <c r="G592" s="6">
        <v>41</v>
      </c>
      <c r="H592" s="25">
        <v>9300</v>
      </c>
      <c r="I592" s="6">
        <v>0</v>
      </c>
      <c r="J592" s="6">
        <f t="shared" si="18"/>
        <v>381300</v>
      </c>
      <c r="K592" s="6">
        <f t="shared" si="19"/>
        <v>381300</v>
      </c>
      <c r="L592" s="8" t="s">
        <v>123</v>
      </c>
      <c r="M592" s="8" t="s">
        <v>81</v>
      </c>
      <c r="N592">
        <v>6</v>
      </c>
      <c r="O592">
        <v>2024</v>
      </c>
      <c r="P592" s="29" t="s">
        <v>720</v>
      </c>
      <c r="Q592" t="s">
        <v>736</v>
      </c>
      <c r="R592" t="s">
        <v>737</v>
      </c>
    </row>
    <row r="593" spans="1:18" x14ac:dyDescent="0.25">
      <c r="A593" s="9">
        <v>592</v>
      </c>
      <c r="B593" s="10">
        <v>45377</v>
      </c>
      <c r="C593" s="11" t="s">
        <v>114</v>
      </c>
      <c r="D593" s="11" t="s">
        <v>117</v>
      </c>
      <c r="E593" s="11" t="s">
        <v>74</v>
      </c>
      <c r="F593" s="11" t="s">
        <v>99</v>
      </c>
      <c r="G593" s="9">
        <v>19</v>
      </c>
      <c r="H593" s="26">
        <v>3300</v>
      </c>
      <c r="I593" s="9">
        <v>15</v>
      </c>
      <c r="J593" s="9">
        <f t="shared" si="18"/>
        <v>62700</v>
      </c>
      <c r="K593" s="9">
        <f t="shared" si="19"/>
        <v>53295</v>
      </c>
      <c r="L593" s="11" t="s">
        <v>76</v>
      </c>
      <c r="M593" s="11" t="s">
        <v>77</v>
      </c>
      <c r="N593">
        <v>3</v>
      </c>
      <c r="O593">
        <v>2024</v>
      </c>
      <c r="P593" s="29" t="s">
        <v>711</v>
      </c>
      <c r="Q593" t="s">
        <v>735</v>
      </c>
      <c r="R593" t="s">
        <v>739</v>
      </c>
    </row>
    <row r="594" spans="1:18" x14ac:dyDescent="0.25">
      <c r="A594" s="6">
        <v>593</v>
      </c>
      <c r="B594" s="7">
        <v>45456</v>
      </c>
      <c r="C594" s="8" t="s">
        <v>108</v>
      </c>
      <c r="D594" s="8" t="s">
        <v>83</v>
      </c>
      <c r="E594" s="8" t="s">
        <v>111</v>
      </c>
      <c r="F594" s="8" t="s">
        <v>112</v>
      </c>
      <c r="G594" s="6">
        <v>8</v>
      </c>
      <c r="H594" s="25">
        <v>70200</v>
      </c>
      <c r="I594" s="6">
        <v>5</v>
      </c>
      <c r="J594" s="6">
        <f t="shared" si="18"/>
        <v>561600</v>
      </c>
      <c r="K594" s="6">
        <f t="shared" si="19"/>
        <v>533520</v>
      </c>
      <c r="L594" s="8" t="s">
        <v>76</v>
      </c>
      <c r="M594" s="31" t="s">
        <v>695</v>
      </c>
      <c r="N594">
        <v>6</v>
      </c>
      <c r="O594">
        <v>2024</v>
      </c>
      <c r="P594" s="29" t="s">
        <v>720</v>
      </c>
      <c r="Q594" t="s">
        <v>736</v>
      </c>
      <c r="R594" t="s">
        <v>737</v>
      </c>
    </row>
    <row r="595" spans="1:18" x14ac:dyDescent="0.25">
      <c r="A595" s="9">
        <v>594</v>
      </c>
      <c r="B595" s="10">
        <v>45350</v>
      </c>
      <c r="C595" s="11" t="s">
        <v>88</v>
      </c>
      <c r="D595" s="11" t="s">
        <v>83</v>
      </c>
      <c r="E595" s="11" t="s">
        <v>79</v>
      </c>
      <c r="F595" s="11" t="s">
        <v>122</v>
      </c>
      <c r="G595" s="9">
        <v>46</v>
      </c>
      <c r="H595" s="26">
        <v>18200</v>
      </c>
      <c r="I595" s="9">
        <v>0</v>
      </c>
      <c r="J595" s="9">
        <f t="shared" si="18"/>
        <v>837200</v>
      </c>
      <c r="K595" s="9">
        <f t="shared" si="19"/>
        <v>837200</v>
      </c>
      <c r="L595" s="11" t="s">
        <v>107</v>
      </c>
      <c r="M595" s="31" t="s">
        <v>695</v>
      </c>
      <c r="N595">
        <v>2</v>
      </c>
      <c r="O595">
        <v>2024</v>
      </c>
      <c r="P595" s="29" t="s">
        <v>729</v>
      </c>
      <c r="Q595" t="s">
        <v>735</v>
      </c>
      <c r="R595" t="s">
        <v>737</v>
      </c>
    </row>
    <row r="596" spans="1:18" x14ac:dyDescent="0.25">
      <c r="A596" s="6">
        <v>595</v>
      </c>
      <c r="B596" s="7">
        <v>45183</v>
      </c>
      <c r="C596" s="8" t="s">
        <v>88</v>
      </c>
      <c r="D596" s="8" t="s">
        <v>109</v>
      </c>
      <c r="E596" s="8" t="s">
        <v>79</v>
      </c>
      <c r="F596" s="8" t="s">
        <v>131</v>
      </c>
      <c r="G596" s="6">
        <v>29</v>
      </c>
      <c r="H596" s="25">
        <v>111400</v>
      </c>
      <c r="I596" s="6">
        <v>10</v>
      </c>
      <c r="J596" s="6">
        <f t="shared" si="18"/>
        <v>3230600</v>
      </c>
      <c r="K596" s="6">
        <f t="shared" si="19"/>
        <v>2907540</v>
      </c>
      <c r="L596" s="8" t="s">
        <v>76</v>
      </c>
      <c r="M596" s="8" t="s">
        <v>77</v>
      </c>
      <c r="N596">
        <v>9</v>
      </c>
      <c r="O596">
        <v>2023</v>
      </c>
      <c r="P596" s="29" t="s">
        <v>715</v>
      </c>
      <c r="Q596" t="s">
        <v>734</v>
      </c>
      <c r="R596" t="s">
        <v>737</v>
      </c>
    </row>
    <row r="597" spans="1:18" x14ac:dyDescent="0.25">
      <c r="A597" s="9">
        <v>596</v>
      </c>
      <c r="B597" s="10">
        <v>45651</v>
      </c>
      <c r="C597" s="11" t="s">
        <v>114</v>
      </c>
      <c r="D597" s="11" t="s">
        <v>93</v>
      </c>
      <c r="E597" s="11" t="s">
        <v>102</v>
      </c>
      <c r="F597" s="11" t="s">
        <v>103</v>
      </c>
      <c r="G597" s="9">
        <v>25</v>
      </c>
      <c r="H597" s="26">
        <v>9700</v>
      </c>
      <c r="I597" s="9">
        <v>0</v>
      </c>
      <c r="J597" s="9">
        <f t="shared" si="18"/>
        <v>242500</v>
      </c>
      <c r="K597" s="9">
        <f t="shared" si="19"/>
        <v>242500</v>
      </c>
      <c r="L597" s="11" t="s">
        <v>76</v>
      </c>
      <c r="M597" s="11" t="s">
        <v>81</v>
      </c>
      <c r="N597">
        <v>12</v>
      </c>
      <c r="O597">
        <v>2024</v>
      </c>
      <c r="P597" s="29" t="s">
        <v>728</v>
      </c>
      <c r="Q597" t="s">
        <v>733</v>
      </c>
      <c r="R597" t="s">
        <v>737</v>
      </c>
    </row>
    <row r="598" spans="1:18" x14ac:dyDescent="0.25">
      <c r="A598" s="6">
        <v>597</v>
      </c>
      <c r="B598" s="7">
        <v>45330</v>
      </c>
      <c r="C598" s="8" t="s">
        <v>108</v>
      </c>
      <c r="D598" s="8" t="s">
        <v>109</v>
      </c>
      <c r="E598" s="8" t="s">
        <v>84</v>
      </c>
      <c r="F598" s="8" t="s">
        <v>128</v>
      </c>
      <c r="G598" s="6">
        <v>4</v>
      </c>
      <c r="H598" s="25">
        <v>4600</v>
      </c>
      <c r="I598" s="6">
        <v>15</v>
      </c>
      <c r="J598" s="6">
        <f t="shared" si="18"/>
        <v>18400</v>
      </c>
      <c r="K598" s="6">
        <f t="shared" si="19"/>
        <v>15640</v>
      </c>
      <c r="L598" s="8" t="s">
        <v>76</v>
      </c>
      <c r="M598" s="8" t="s">
        <v>96</v>
      </c>
      <c r="N598">
        <v>2</v>
      </c>
      <c r="O598">
        <v>2024</v>
      </c>
      <c r="P598" s="29" t="s">
        <v>729</v>
      </c>
      <c r="Q598" t="s">
        <v>735</v>
      </c>
      <c r="R598" t="s">
        <v>738</v>
      </c>
    </row>
    <row r="599" spans="1:18" x14ac:dyDescent="0.25">
      <c r="A599" s="9">
        <v>598</v>
      </c>
      <c r="B599" s="10">
        <v>45295</v>
      </c>
      <c r="C599" s="11" t="s">
        <v>101</v>
      </c>
      <c r="D599" s="11" t="s">
        <v>109</v>
      </c>
      <c r="E599" s="11" t="s">
        <v>79</v>
      </c>
      <c r="F599" s="11" t="s">
        <v>122</v>
      </c>
      <c r="G599" s="9">
        <v>1</v>
      </c>
      <c r="H599" s="26">
        <v>20500</v>
      </c>
      <c r="I599" s="9">
        <v>0</v>
      </c>
      <c r="J599" s="9">
        <f t="shared" si="18"/>
        <v>20500</v>
      </c>
      <c r="K599" s="9">
        <f t="shared" si="19"/>
        <v>20500</v>
      </c>
      <c r="L599" s="11" t="s">
        <v>76</v>
      </c>
      <c r="M599" s="11" t="s">
        <v>96</v>
      </c>
      <c r="N599">
        <v>1</v>
      </c>
      <c r="O599">
        <v>2024</v>
      </c>
      <c r="P599" s="29" t="s">
        <v>727</v>
      </c>
      <c r="Q599" t="s">
        <v>735</v>
      </c>
      <c r="R599" t="s">
        <v>738</v>
      </c>
    </row>
    <row r="600" spans="1:18" x14ac:dyDescent="0.25">
      <c r="A600" s="9">
        <v>599</v>
      </c>
      <c r="B600" s="10">
        <v>45396</v>
      </c>
      <c r="C600" s="11" t="s">
        <v>119</v>
      </c>
      <c r="D600" s="11" t="s">
        <v>83</v>
      </c>
      <c r="E600" s="11" t="s">
        <v>102</v>
      </c>
      <c r="F600" s="11" t="s">
        <v>138</v>
      </c>
      <c r="G600" s="9">
        <v>32</v>
      </c>
      <c r="H600" s="26">
        <v>6800</v>
      </c>
      <c r="I600" s="9">
        <v>5</v>
      </c>
      <c r="J600" s="9">
        <f t="shared" si="18"/>
        <v>217600</v>
      </c>
      <c r="K600" s="9">
        <f t="shared" si="19"/>
        <v>206720</v>
      </c>
      <c r="L600" s="11" t="s">
        <v>76</v>
      </c>
      <c r="M600" s="11" t="s">
        <v>91</v>
      </c>
      <c r="N600">
        <v>4</v>
      </c>
      <c r="O600">
        <v>2024</v>
      </c>
      <c r="P600" s="29" t="s">
        <v>722</v>
      </c>
      <c r="Q600" t="s">
        <v>736</v>
      </c>
      <c r="R600" t="s">
        <v>737</v>
      </c>
    </row>
    <row r="601" spans="1:18" x14ac:dyDescent="0.25">
      <c r="A601" s="6">
        <v>600</v>
      </c>
      <c r="B601" s="7">
        <v>45346</v>
      </c>
      <c r="C601" s="8" t="s">
        <v>119</v>
      </c>
      <c r="D601" s="8" t="s">
        <v>73</v>
      </c>
      <c r="E601" s="8" t="s">
        <v>102</v>
      </c>
      <c r="F601" s="8" t="s">
        <v>138</v>
      </c>
      <c r="G601" s="6">
        <v>36</v>
      </c>
      <c r="H601" s="25">
        <v>6200</v>
      </c>
      <c r="I601" s="6">
        <v>0</v>
      </c>
      <c r="J601" s="6">
        <f t="shared" si="18"/>
        <v>223200</v>
      </c>
      <c r="K601" s="6">
        <f t="shared" si="19"/>
        <v>223200</v>
      </c>
      <c r="L601" s="8" t="s">
        <v>76</v>
      </c>
      <c r="M601" s="8" t="s">
        <v>81</v>
      </c>
      <c r="N601">
        <v>2</v>
      </c>
      <c r="O601">
        <v>2024</v>
      </c>
      <c r="P601" s="29" t="s">
        <v>729</v>
      </c>
      <c r="Q601" t="s">
        <v>735</v>
      </c>
      <c r="R601" t="s">
        <v>737</v>
      </c>
    </row>
    <row r="602" spans="1:18" x14ac:dyDescent="0.25">
      <c r="A602" s="9">
        <v>601</v>
      </c>
      <c r="B602" s="10">
        <v>45176</v>
      </c>
      <c r="C602" s="11" t="s">
        <v>108</v>
      </c>
      <c r="D602" s="11" t="s">
        <v>73</v>
      </c>
      <c r="E602" s="11" t="s">
        <v>74</v>
      </c>
      <c r="F602" s="11" t="s">
        <v>94</v>
      </c>
      <c r="G602" s="9">
        <v>3</v>
      </c>
      <c r="H602" s="26">
        <v>32800</v>
      </c>
      <c r="I602" s="9">
        <v>0</v>
      </c>
      <c r="J602" s="9">
        <f t="shared" si="18"/>
        <v>98400</v>
      </c>
      <c r="K602" s="9">
        <f t="shared" si="19"/>
        <v>98400</v>
      </c>
      <c r="L602" s="11" t="s">
        <v>187</v>
      </c>
      <c r="M602" s="31" t="s">
        <v>695</v>
      </c>
      <c r="N602">
        <v>9</v>
      </c>
      <c r="O602">
        <v>2023</v>
      </c>
      <c r="P602" s="29" t="s">
        <v>715</v>
      </c>
      <c r="Q602" t="s">
        <v>734</v>
      </c>
      <c r="R602" t="s">
        <v>739</v>
      </c>
    </row>
    <row r="603" spans="1:18" x14ac:dyDescent="0.25">
      <c r="A603" s="6">
        <v>602</v>
      </c>
      <c r="B603" s="7">
        <v>45016</v>
      </c>
      <c r="C603" s="8" t="s">
        <v>78</v>
      </c>
      <c r="D603" s="8" t="s">
        <v>73</v>
      </c>
      <c r="E603" s="8" t="s">
        <v>111</v>
      </c>
      <c r="F603" s="8" t="s">
        <v>166</v>
      </c>
      <c r="G603" s="6">
        <v>19</v>
      </c>
      <c r="H603" s="25">
        <v>26300</v>
      </c>
      <c r="I603" s="6">
        <v>5</v>
      </c>
      <c r="J603" s="6">
        <f t="shared" si="18"/>
        <v>499700</v>
      </c>
      <c r="K603" s="6">
        <f t="shared" si="19"/>
        <v>474715</v>
      </c>
      <c r="L603" s="8" t="s">
        <v>76</v>
      </c>
      <c r="M603" s="8" t="s">
        <v>81</v>
      </c>
      <c r="N603">
        <v>3</v>
      </c>
      <c r="O603">
        <v>2023</v>
      </c>
      <c r="P603" s="29" t="s">
        <v>719</v>
      </c>
      <c r="Q603" t="s">
        <v>735</v>
      </c>
      <c r="R603" t="s">
        <v>737</v>
      </c>
    </row>
    <row r="604" spans="1:18" x14ac:dyDescent="0.25">
      <c r="A604" s="9">
        <v>603</v>
      </c>
      <c r="B604" s="10">
        <v>45519</v>
      </c>
      <c r="C604" s="11" t="s">
        <v>88</v>
      </c>
      <c r="D604" s="11" t="s">
        <v>73</v>
      </c>
      <c r="E604" s="11" t="s">
        <v>79</v>
      </c>
      <c r="F604" s="11" t="s">
        <v>179</v>
      </c>
      <c r="G604" s="9">
        <v>25</v>
      </c>
      <c r="H604" s="26">
        <v>2500</v>
      </c>
      <c r="I604" s="9">
        <v>20</v>
      </c>
      <c r="J604" s="9">
        <f t="shared" si="18"/>
        <v>62500</v>
      </c>
      <c r="K604" s="9">
        <f t="shared" si="19"/>
        <v>50000</v>
      </c>
      <c r="L604" s="11" t="s">
        <v>187</v>
      </c>
      <c r="M604" s="11" t="s">
        <v>91</v>
      </c>
      <c r="N604">
        <v>8</v>
      </c>
      <c r="O604">
        <v>2024</v>
      </c>
      <c r="P604" s="29" t="s">
        <v>710</v>
      </c>
      <c r="Q604" t="s">
        <v>734</v>
      </c>
      <c r="R604" t="s">
        <v>739</v>
      </c>
    </row>
    <row r="605" spans="1:18" x14ac:dyDescent="0.25">
      <c r="A605" s="6">
        <v>604</v>
      </c>
      <c r="B605" s="7">
        <v>45490</v>
      </c>
      <c r="C605" s="8" t="s">
        <v>97</v>
      </c>
      <c r="D605" s="8" t="s">
        <v>117</v>
      </c>
      <c r="E605" s="8" t="s">
        <v>111</v>
      </c>
      <c r="F605" s="8" t="s">
        <v>166</v>
      </c>
      <c r="G605" s="6">
        <v>18</v>
      </c>
      <c r="H605" s="25">
        <v>26100</v>
      </c>
      <c r="I605" s="6">
        <v>10</v>
      </c>
      <c r="J605" s="6">
        <f t="shared" si="18"/>
        <v>469800</v>
      </c>
      <c r="K605" s="6">
        <f t="shared" si="19"/>
        <v>422820</v>
      </c>
      <c r="L605" s="8" t="s">
        <v>76</v>
      </c>
      <c r="M605" s="8" t="s">
        <v>91</v>
      </c>
      <c r="N605">
        <v>7</v>
      </c>
      <c r="O605">
        <v>2024</v>
      </c>
      <c r="P605" s="29" t="s">
        <v>712</v>
      </c>
      <c r="Q605" t="s">
        <v>734</v>
      </c>
      <c r="R605" t="s">
        <v>737</v>
      </c>
    </row>
    <row r="606" spans="1:18" x14ac:dyDescent="0.25">
      <c r="A606" s="9">
        <v>605</v>
      </c>
      <c r="B606" s="10">
        <v>44993</v>
      </c>
      <c r="C606" s="11" t="s">
        <v>106</v>
      </c>
      <c r="D606" s="11" t="s">
        <v>93</v>
      </c>
      <c r="E606" s="11" t="s">
        <v>79</v>
      </c>
      <c r="F606" s="11" t="s">
        <v>131</v>
      </c>
      <c r="G606" s="9">
        <v>41</v>
      </c>
      <c r="H606" s="26">
        <v>125100</v>
      </c>
      <c r="I606" s="9">
        <v>5</v>
      </c>
      <c r="J606" s="9">
        <f t="shared" si="18"/>
        <v>5129100</v>
      </c>
      <c r="K606" s="9">
        <f t="shared" si="19"/>
        <v>4872645</v>
      </c>
      <c r="L606" s="11" t="s">
        <v>76</v>
      </c>
      <c r="M606" s="11" t="s">
        <v>77</v>
      </c>
      <c r="N606">
        <v>3</v>
      </c>
      <c r="O606">
        <v>2023</v>
      </c>
      <c r="P606" s="29" t="s">
        <v>719</v>
      </c>
      <c r="Q606" t="s">
        <v>735</v>
      </c>
      <c r="R606" t="s">
        <v>737</v>
      </c>
    </row>
    <row r="607" spans="1:18" x14ac:dyDescent="0.25">
      <c r="A607" s="9">
        <v>606</v>
      </c>
      <c r="B607" s="10">
        <v>45455</v>
      </c>
      <c r="C607" s="11" t="s">
        <v>124</v>
      </c>
      <c r="D607" s="11" t="s">
        <v>117</v>
      </c>
      <c r="E607" s="11" t="s">
        <v>111</v>
      </c>
      <c r="F607" s="11" t="s">
        <v>132</v>
      </c>
      <c r="G607" s="9">
        <v>37</v>
      </c>
      <c r="H607" s="26">
        <v>7200</v>
      </c>
      <c r="I607" s="9">
        <v>0</v>
      </c>
      <c r="J607" s="9">
        <f t="shared" si="18"/>
        <v>266400</v>
      </c>
      <c r="K607" s="9">
        <f t="shared" si="19"/>
        <v>266400</v>
      </c>
      <c r="L607" s="11" t="s">
        <v>123</v>
      </c>
      <c r="M607" s="11" t="s">
        <v>96</v>
      </c>
      <c r="N607">
        <v>6</v>
      </c>
      <c r="O607">
        <v>2024</v>
      </c>
      <c r="P607" s="29" t="s">
        <v>720</v>
      </c>
      <c r="Q607" t="s">
        <v>736</v>
      </c>
      <c r="R607" t="s">
        <v>737</v>
      </c>
    </row>
    <row r="608" spans="1:18" x14ac:dyDescent="0.25">
      <c r="A608" s="6">
        <v>607</v>
      </c>
      <c r="B608" s="7">
        <v>45556</v>
      </c>
      <c r="C608" s="8" t="s">
        <v>124</v>
      </c>
      <c r="D608" s="8" t="s">
        <v>83</v>
      </c>
      <c r="E608" s="8" t="s">
        <v>102</v>
      </c>
      <c r="F608" s="8" t="s">
        <v>197</v>
      </c>
      <c r="G608" s="6">
        <v>12</v>
      </c>
      <c r="H608" s="25">
        <v>3900</v>
      </c>
      <c r="I608" s="6">
        <v>15</v>
      </c>
      <c r="J608" s="6">
        <f t="shared" si="18"/>
        <v>46800</v>
      </c>
      <c r="K608" s="6">
        <f t="shared" si="19"/>
        <v>39780</v>
      </c>
      <c r="L608" s="8" t="s">
        <v>107</v>
      </c>
      <c r="M608" s="8" t="s">
        <v>81</v>
      </c>
      <c r="N608">
        <v>9</v>
      </c>
      <c r="O608">
        <v>2024</v>
      </c>
      <c r="P608" s="29" t="s">
        <v>731</v>
      </c>
      <c r="Q608" t="s">
        <v>734</v>
      </c>
      <c r="R608" t="s">
        <v>738</v>
      </c>
    </row>
    <row r="609" spans="1:18" x14ac:dyDescent="0.25">
      <c r="A609" s="9">
        <v>608</v>
      </c>
      <c r="B609" s="10">
        <v>45224</v>
      </c>
      <c r="C609" s="11" t="s">
        <v>106</v>
      </c>
      <c r="D609" s="11" t="s">
        <v>73</v>
      </c>
      <c r="E609" s="11" t="s">
        <v>79</v>
      </c>
      <c r="F609" s="11" t="s">
        <v>136</v>
      </c>
      <c r="G609" s="9">
        <v>8</v>
      </c>
      <c r="H609" s="26">
        <v>86400</v>
      </c>
      <c r="I609" s="6">
        <v>0</v>
      </c>
      <c r="J609" s="9">
        <f t="shared" si="18"/>
        <v>691200</v>
      </c>
      <c r="K609" s="9">
        <f t="shared" si="19"/>
        <v>691200</v>
      </c>
      <c r="L609" s="11" t="s">
        <v>187</v>
      </c>
      <c r="M609" s="11" t="s">
        <v>81</v>
      </c>
      <c r="N609">
        <v>10</v>
      </c>
      <c r="O609">
        <v>2023</v>
      </c>
      <c r="P609" s="29" t="s">
        <v>726</v>
      </c>
      <c r="Q609" t="s">
        <v>733</v>
      </c>
      <c r="R609" t="s">
        <v>737</v>
      </c>
    </row>
    <row r="610" spans="1:18" x14ac:dyDescent="0.25">
      <c r="A610" s="6">
        <v>609</v>
      </c>
      <c r="B610" s="7">
        <v>45557</v>
      </c>
      <c r="C610" s="8" t="s">
        <v>114</v>
      </c>
      <c r="D610" s="8" t="s">
        <v>83</v>
      </c>
      <c r="E610" s="8" t="s">
        <v>79</v>
      </c>
      <c r="F610" s="8" t="s">
        <v>120</v>
      </c>
      <c r="G610" s="6">
        <v>41</v>
      </c>
      <c r="H610" s="25">
        <v>5900</v>
      </c>
      <c r="I610" s="6">
        <v>15</v>
      </c>
      <c r="J610" s="6">
        <f t="shared" si="18"/>
        <v>241900</v>
      </c>
      <c r="K610" s="6">
        <f t="shared" si="19"/>
        <v>205615</v>
      </c>
      <c r="L610" s="8" t="s">
        <v>76</v>
      </c>
      <c r="M610" s="8" t="s">
        <v>81</v>
      </c>
      <c r="N610">
        <v>9</v>
      </c>
      <c r="O610">
        <v>2024</v>
      </c>
      <c r="P610" s="29" t="s">
        <v>731</v>
      </c>
      <c r="Q610" t="s">
        <v>734</v>
      </c>
      <c r="R610" t="s">
        <v>737</v>
      </c>
    </row>
    <row r="611" spans="1:18" x14ac:dyDescent="0.25">
      <c r="A611" s="9">
        <v>610</v>
      </c>
      <c r="B611" s="10">
        <v>45215</v>
      </c>
      <c r="C611" s="11" t="s">
        <v>101</v>
      </c>
      <c r="D611" s="11" t="s">
        <v>73</v>
      </c>
      <c r="E611" s="11" t="s">
        <v>74</v>
      </c>
      <c r="F611" s="11" t="s">
        <v>190</v>
      </c>
      <c r="G611" s="9">
        <v>21</v>
      </c>
      <c r="H611" s="26">
        <v>32900</v>
      </c>
      <c r="I611" s="9">
        <v>15</v>
      </c>
      <c r="J611" s="9">
        <f t="shared" si="18"/>
        <v>690900</v>
      </c>
      <c r="K611" s="9">
        <f t="shared" si="19"/>
        <v>587265</v>
      </c>
      <c r="L611" s="11" t="s">
        <v>187</v>
      </c>
      <c r="M611" s="11" t="s">
        <v>77</v>
      </c>
      <c r="N611">
        <v>10</v>
      </c>
      <c r="O611">
        <v>2023</v>
      </c>
      <c r="P611" s="29" t="s">
        <v>726</v>
      </c>
      <c r="Q611" t="s">
        <v>733</v>
      </c>
      <c r="R611" t="s">
        <v>737</v>
      </c>
    </row>
    <row r="612" spans="1:18" x14ac:dyDescent="0.25">
      <c r="A612" s="6">
        <v>611</v>
      </c>
      <c r="B612" s="7">
        <v>45150</v>
      </c>
      <c r="C612" s="8" t="s">
        <v>88</v>
      </c>
      <c r="D612" s="8" t="s">
        <v>83</v>
      </c>
      <c r="E612" s="8" t="s">
        <v>102</v>
      </c>
      <c r="F612" s="8" t="s">
        <v>138</v>
      </c>
      <c r="G612" s="6">
        <v>13</v>
      </c>
      <c r="H612" s="25">
        <v>7200</v>
      </c>
      <c r="I612" s="6">
        <v>15</v>
      </c>
      <c r="J612" s="6">
        <f t="shared" si="18"/>
        <v>93600</v>
      </c>
      <c r="K612" s="6">
        <f t="shared" si="19"/>
        <v>79560</v>
      </c>
      <c r="L612" s="8" t="s">
        <v>76</v>
      </c>
      <c r="M612" s="8" t="s">
        <v>96</v>
      </c>
      <c r="N612">
        <v>8</v>
      </c>
      <c r="O612">
        <v>2023</v>
      </c>
      <c r="P612" s="29" t="s">
        <v>713</v>
      </c>
      <c r="Q612" t="s">
        <v>734</v>
      </c>
      <c r="R612" t="s">
        <v>739</v>
      </c>
    </row>
    <row r="613" spans="1:18" x14ac:dyDescent="0.25">
      <c r="A613" s="9">
        <v>612</v>
      </c>
      <c r="B613" s="10">
        <v>45417</v>
      </c>
      <c r="C613" s="11" t="s">
        <v>119</v>
      </c>
      <c r="D613" s="11" t="s">
        <v>73</v>
      </c>
      <c r="E613" s="11" t="s">
        <v>84</v>
      </c>
      <c r="F613" s="11" t="s">
        <v>85</v>
      </c>
      <c r="G613" s="9">
        <v>30</v>
      </c>
      <c r="H613" s="26">
        <v>5100</v>
      </c>
      <c r="I613" s="9">
        <v>5</v>
      </c>
      <c r="J613" s="9">
        <f t="shared" si="18"/>
        <v>153000</v>
      </c>
      <c r="K613" s="9">
        <f t="shared" si="19"/>
        <v>145350</v>
      </c>
      <c r="L613" s="11" t="s">
        <v>107</v>
      </c>
      <c r="M613" s="11" t="s">
        <v>96</v>
      </c>
      <c r="N613">
        <v>5</v>
      </c>
      <c r="O613">
        <v>2024</v>
      </c>
      <c r="P613" s="29" t="s">
        <v>732</v>
      </c>
      <c r="Q613" t="s">
        <v>736</v>
      </c>
      <c r="R613" t="s">
        <v>739</v>
      </c>
    </row>
    <row r="614" spans="1:18" x14ac:dyDescent="0.25">
      <c r="A614" s="6">
        <v>613</v>
      </c>
      <c r="B614" s="7">
        <v>45350</v>
      </c>
      <c r="C614" s="8" t="s">
        <v>78</v>
      </c>
      <c r="D614" s="8" t="s">
        <v>93</v>
      </c>
      <c r="E614" s="8" t="s">
        <v>74</v>
      </c>
      <c r="F614" s="8" t="s">
        <v>212</v>
      </c>
      <c r="G614" s="6">
        <v>2</v>
      </c>
      <c r="H614" s="25">
        <v>8300</v>
      </c>
      <c r="I614" s="6">
        <v>20</v>
      </c>
      <c r="J614" s="6">
        <f t="shared" si="18"/>
        <v>16600</v>
      </c>
      <c r="K614" s="6">
        <f t="shared" si="19"/>
        <v>13280</v>
      </c>
      <c r="L614" s="8" t="s">
        <v>76</v>
      </c>
      <c r="M614" s="8" t="s">
        <v>96</v>
      </c>
      <c r="N614">
        <v>2</v>
      </c>
      <c r="O614">
        <v>2024</v>
      </c>
      <c r="P614" s="29" t="s">
        <v>729</v>
      </c>
      <c r="Q614" t="s">
        <v>735</v>
      </c>
      <c r="R614" t="s">
        <v>738</v>
      </c>
    </row>
    <row r="615" spans="1:18" x14ac:dyDescent="0.25">
      <c r="A615" s="9">
        <v>614</v>
      </c>
      <c r="B615" s="10">
        <v>45289</v>
      </c>
      <c r="C615" s="11" t="s">
        <v>97</v>
      </c>
      <c r="D615" s="11" t="s">
        <v>109</v>
      </c>
      <c r="E615" s="11" t="s">
        <v>74</v>
      </c>
      <c r="F615" s="11" t="s">
        <v>94</v>
      </c>
      <c r="G615" s="9">
        <v>25</v>
      </c>
      <c r="H615" s="26">
        <v>34500</v>
      </c>
      <c r="I615" s="9">
        <v>10</v>
      </c>
      <c r="J615" s="9">
        <f t="shared" si="18"/>
        <v>862500</v>
      </c>
      <c r="K615" s="9">
        <f t="shared" si="19"/>
        <v>776250</v>
      </c>
      <c r="L615" s="11" t="s">
        <v>76</v>
      </c>
      <c r="M615" s="11" t="s">
        <v>81</v>
      </c>
      <c r="N615">
        <v>12</v>
      </c>
      <c r="O615">
        <v>2023</v>
      </c>
      <c r="P615" s="29" t="s">
        <v>725</v>
      </c>
      <c r="Q615" t="s">
        <v>733</v>
      </c>
      <c r="R615" t="s">
        <v>737</v>
      </c>
    </row>
    <row r="616" spans="1:18" x14ac:dyDescent="0.25">
      <c r="A616" s="6">
        <v>615</v>
      </c>
      <c r="B616" s="7">
        <v>45635</v>
      </c>
      <c r="C616" s="8" t="s">
        <v>114</v>
      </c>
      <c r="D616" s="8" t="s">
        <v>109</v>
      </c>
      <c r="E616" s="8" t="s">
        <v>102</v>
      </c>
      <c r="F616" s="8" t="s">
        <v>137</v>
      </c>
      <c r="G616" s="6">
        <v>49</v>
      </c>
      <c r="H616" s="25">
        <v>2500</v>
      </c>
      <c r="I616" s="6">
        <v>15</v>
      </c>
      <c r="J616" s="6">
        <f t="shared" si="18"/>
        <v>122500</v>
      </c>
      <c r="K616" s="6">
        <f t="shared" si="19"/>
        <v>104125</v>
      </c>
      <c r="L616" s="8" t="s">
        <v>76</v>
      </c>
      <c r="M616" s="8" t="s">
        <v>96</v>
      </c>
      <c r="N616">
        <v>12</v>
      </c>
      <c r="O616">
        <v>2024</v>
      </c>
      <c r="P616" s="29" t="s">
        <v>728</v>
      </c>
      <c r="Q616" t="s">
        <v>733</v>
      </c>
      <c r="R616" t="s">
        <v>739</v>
      </c>
    </row>
    <row r="617" spans="1:18" x14ac:dyDescent="0.25">
      <c r="A617" s="9">
        <v>616</v>
      </c>
      <c r="B617" s="10">
        <v>44959</v>
      </c>
      <c r="C617" s="11" t="s">
        <v>101</v>
      </c>
      <c r="D617" s="11" t="s">
        <v>83</v>
      </c>
      <c r="E617" s="11" t="s">
        <v>79</v>
      </c>
      <c r="F617" s="11" t="s">
        <v>172</v>
      </c>
      <c r="G617" s="9">
        <v>24</v>
      </c>
      <c r="H617" s="26">
        <v>28000</v>
      </c>
      <c r="I617" s="9">
        <v>0</v>
      </c>
      <c r="J617" s="9">
        <f t="shared" si="18"/>
        <v>672000</v>
      </c>
      <c r="K617" s="9">
        <f t="shared" si="19"/>
        <v>672000</v>
      </c>
      <c r="L617" s="11" t="s">
        <v>76</v>
      </c>
      <c r="M617" s="31" t="s">
        <v>695</v>
      </c>
      <c r="N617">
        <v>2</v>
      </c>
      <c r="O617">
        <v>2023</v>
      </c>
      <c r="P617" s="29" t="s">
        <v>717</v>
      </c>
      <c r="Q617" t="s">
        <v>735</v>
      </c>
      <c r="R617" t="s">
        <v>737</v>
      </c>
    </row>
    <row r="618" spans="1:18" x14ac:dyDescent="0.25">
      <c r="A618" s="6">
        <v>617</v>
      </c>
      <c r="B618" s="7">
        <v>45464</v>
      </c>
      <c r="C618" s="8" t="s">
        <v>101</v>
      </c>
      <c r="D618" s="8" t="s">
        <v>109</v>
      </c>
      <c r="E618" s="8" t="s">
        <v>79</v>
      </c>
      <c r="F618" s="8" t="s">
        <v>120</v>
      </c>
      <c r="G618" s="6">
        <v>50</v>
      </c>
      <c r="H618" s="25">
        <v>6600</v>
      </c>
      <c r="I618" s="6">
        <v>5</v>
      </c>
      <c r="J618" s="6">
        <f t="shared" si="18"/>
        <v>330000</v>
      </c>
      <c r="K618" s="6">
        <f t="shared" si="19"/>
        <v>313500</v>
      </c>
      <c r="L618" s="8" t="s">
        <v>76</v>
      </c>
      <c r="M618" s="8" t="s">
        <v>77</v>
      </c>
      <c r="N618">
        <v>6</v>
      </c>
      <c r="O618">
        <v>2024</v>
      </c>
      <c r="P618" s="29" t="s">
        <v>720</v>
      </c>
      <c r="Q618" t="s">
        <v>736</v>
      </c>
      <c r="R618" t="s">
        <v>737</v>
      </c>
    </row>
    <row r="619" spans="1:18" x14ac:dyDescent="0.25">
      <c r="A619" s="9">
        <v>618</v>
      </c>
      <c r="B619" s="10">
        <v>45328</v>
      </c>
      <c r="C619" s="11" t="s">
        <v>78</v>
      </c>
      <c r="D619" s="11" t="s">
        <v>83</v>
      </c>
      <c r="E619" s="11" t="s">
        <v>102</v>
      </c>
      <c r="F619" s="11" t="s">
        <v>103</v>
      </c>
      <c r="G619" s="9">
        <v>31</v>
      </c>
      <c r="H619" s="26">
        <v>9300</v>
      </c>
      <c r="I619" s="9">
        <v>20</v>
      </c>
      <c r="J619" s="9">
        <f t="shared" si="18"/>
        <v>288300</v>
      </c>
      <c r="K619" s="9">
        <f t="shared" si="19"/>
        <v>230640</v>
      </c>
      <c r="L619" s="11" t="s">
        <v>187</v>
      </c>
      <c r="M619" s="11" t="s">
        <v>96</v>
      </c>
      <c r="N619">
        <v>2</v>
      </c>
      <c r="O619">
        <v>2024</v>
      </c>
      <c r="P619" s="29" t="s">
        <v>729</v>
      </c>
      <c r="Q619" t="s">
        <v>735</v>
      </c>
      <c r="R619" t="s">
        <v>737</v>
      </c>
    </row>
    <row r="620" spans="1:18" x14ac:dyDescent="0.25">
      <c r="A620" s="6">
        <v>619</v>
      </c>
      <c r="B620" s="7">
        <v>44969</v>
      </c>
      <c r="C620" s="8" t="s">
        <v>108</v>
      </c>
      <c r="D620" s="8" t="s">
        <v>73</v>
      </c>
      <c r="E620" s="8" t="s">
        <v>102</v>
      </c>
      <c r="F620" s="8" t="s">
        <v>103</v>
      </c>
      <c r="G620" s="6">
        <v>3</v>
      </c>
      <c r="H620" s="25">
        <v>9300</v>
      </c>
      <c r="I620" s="6">
        <v>0</v>
      </c>
      <c r="J620" s="6">
        <f t="shared" si="18"/>
        <v>27900</v>
      </c>
      <c r="K620" s="6">
        <f t="shared" si="19"/>
        <v>27900</v>
      </c>
      <c r="L620" s="8" t="s">
        <v>76</v>
      </c>
      <c r="M620" s="8" t="s">
        <v>77</v>
      </c>
      <c r="N620">
        <v>2</v>
      </c>
      <c r="O620">
        <v>2023</v>
      </c>
      <c r="P620" s="29" t="s">
        <v>717</v>
      </c>
      <c r="Q620" t="s">
        <v>735</v>
      </c>
      <c r="R620" t="s">
        <v>738</v>
      </c>
    </row>
    <row r="621" spans="1:18" x14ac:dyDescent="0.25">
      <c r="A621" s="9">
        <v>620</v>
      </c>
      <c r="B621" s="10">
        <v>45245</v>
      </c>
      <c r="C621" s="11" t="s">
        <v>78</v>
      </c>
      <c r="D621" s="11" t="s">
        <v>93</v>
      </c>
      <c r="E621" s="11" t="s">
        <v>79</v>
      </c>
      <c r="F621" s="11" t="s">
        <v>120</v>
      </c>
      <c r="G621" s="9">
        <v>3</v>
      </c>
      <c r="H621" s="26">
        <v>6100</v>
      </c>
      <c r="I621" s="9">
        <v>0</v>
      </c>
      <c r="J621" s="9">
        <f t="shared" si="18"/>
        <v>18300</v>
      </c>
      <c r="K621" s="9">
        <f t="shared" si="19"/>
        <v>18300</v>
      </c>
      <c r="L621" s="11" t="s">
        <v>76</v>
      </c>
      <c r="M621" s="11" t="s">
        <v>96</v>
      </c>
      <c r="N621">
        <v>11</v>
      </c>
      <c r="O621">
        <v>2023</v>
      </c>
      <c r="P621" s="29" t="s">
        <v>718</v>
      </c>
      <c r="Q621" t="s">
        <v>733</v>
      </c>
      <c r="R621" t="s">
        <v>738</v>
      </c>
    </row>
    <row r="622" spans="1:18" x14ac:dyDescent="0.25">
      <c r="A622" s="6">
        <v>621</v>
      </c>
      <c r="B622" s="7">
        <v>45518</v>
      </c>
      <c r="C622" s="8" t="s">
        <v>101</v>
      </c>
      <c r="D622" s="8" t="s">
        <v>109</v>
      </c>
      <c r="E622" s="8" t="s">
        <v>74</v>
      </c>
      <c r="F622" s="8" t="s">
        <v>75</v>
      </c>
      <c r="G622" s="6">
        <v>18</v>
      </c>
      <c r="H622" s="25">
        <v>20900</v>
      </c>
      <c r="I622" s="6">
        <v>15</v>
      </c>
      <c r="J622" s="6">
        <f t="shared" si="18"/>
        <v>376200</v>
      </c>
      <c r="K622" s="6">
        <f t="shared" si="19"/>
        <v>319770</v>
      </c>
      <c r="L622" s="8" t="s">
        <v>76</v>
      </c>
      <c r="M622" s="8" t="s">
        <v>91</v>
      </c>
      <c r="N622">
        <v>8</v>
      </c>
      <c r="O622">
        <v>2024</v>
      </c>
      <c r="P622" s="29" t="s">
        <v>710</v>
      </c>
      <c r="Q622" t="s">
        <v>734</v>
      </c>
      <c r="R622" t="s">
        <v>737</v>
      </c>
    </row>
    <row r="623" spans="1:18" x14ac:dyDescent="0.25">
      <c r="A623" s="9">
        <v>622</v>
      </c>
      <c r="B623" s="10">
        <v>44931</v>
      </c>
      <c r="C623" s="11" t="s">
        <v>101</v>
      </c>
      <c r="D623" s="11" t="s">
        <v>109</v>
      </c>
      <c r="E623" s="11" t="s">
        <v>84</v>
      </c>
      <c r="F623" s="11" t="s">
        <v>134</v>
      </c>
      <c r="G623" s="9">
        <v>40</v>
      </c>
      <c r="H623" s="26">
        <v>8900</v>
      </c>
      <c r="I623" s="9">
        <v>0</v>
      </c>
      <c r="J623" s="9">
        <f t="shared" si="18"/>
        <v>356000</v>
      </c>
      <c r="K623" s="9">
        <f t="shared" si="19"/>
        <v>356000</v>
      </c>
      <c r="L623" s="11" t="s">
        <v>76</v>
      </c>
      <c r="M623" s="11" t="s">
        <v>77</v>
      </c>
      <c r="N623">
        <v>1</v>
      </c>
      <c r="O623">
        <v>2023</v>
      </c>
      <c r="P623" s="29" t="s">
        <v>721</v>
      </c>
      <c r="Q623" t="s">
        <v>735</v>
      </c>
      <c r="R623" t="s">
        <v>737</v>
      </c>
    </row>
    <row r="624" spans="1:18" x14ac:dyDescent="0.25">
      <c r="A624" s="6">
        <v>623</v>
      </c>
      <c r="B624" s="7">
        <v>45542</v>
      </c>
      <c r="C624" s="8" t="s">
        <v>88</v>
      </c>
      <c r="D624" s="8" t="s">
        <v>93</v>
      </c>
      <c r="E624" s="8" t="s">
        <v>74</v>
      </c>
      <c r="F624" s="8" t="s">
        <v>190</v>
      </c>
      <c r="G624" s="6">
        <v>46</v>
      </c>
      <c r="H624" s="25">
        <v>29900</v>
      </c>
      <c r="I624" s="6">
        <v>0</v>
      </c>
      <c r="J624" s="6">
        <f t="shared" si="18"/>
        <v>1375400</v>
      </c>
      <c r="K624" s="6">
        <f t="shared" si="19"/>
        <v>1375400</v>
      </c>
      <c r="L624" s="8" t="s">
        <v>187</v>
      </c>
      <c r="M624" s="8" t="s">
        <v>81</v>
      </c>
      <c r="N624">
        <v>9</v>
      </c>
      <c r="O624">
        <v>2024</v>
      </c>
      <c r="P624" s="29" t="s">
        <v>731</v>
      </c>
      <c r="Q624" t="s">
        <v>734</v>
      </c>
      <c r="R624" t="s">
        <v>737</v>
      </c>
    </row>
    <row r="625" spans="1:18" x14ac:dyDescent="0.25">
      <c r="A625" s="9">
        <v>624</v>
      </c>
      <c r="B625" s="10">
        <v>44999</v>
      </c>
      <c r="C625" s="11" t="s">
        <v>101</v>
      </c>
      <c r="D625" s="30" t="s">
        <v>703</v>
      </c>
      <c r="E625" s="11" t="s">
        <v>74</v>
      </c>
      <c r="F625" s="11" t="s">
        <v>99</v>
      </c>
      <c r="G625" s="9">
        <v>2</v>
      </c>
      <c r="H625" s="26">
        <v>3200</v>
      </c>
      <c r="I625" s="9">
        <v>0</v>
      </c>
      <c r="J625" s="9">
        <f t="shared" si="18"/>
        <v>6400</v>
      </c>
      <c r="K625" s="9">
        <f t="shared" si="19"/>
        <v>6400</v>
      </c>
      <c r="L625" s="11" t="s">
        <v>76</v>
      </c>
      <c r="M625" s="11" t="s">
        <v>77</v>
      </c>
      <c r="N625">
        <v>3</v>
      </c>
      <c r="O625">
        <v>2023</v>
      </c>
      <c r="P625" s="29" t="s">
        <v>719</v>
      </c>
      <c r="Q625" t="s">
        <v>735</v>
      </c>
      <c r="R625" t="s">
        <v>738</v>
      </c>
    </row>
    <row r="626" spans="1:18" x14ac:dyDescent="0.25">
      <c r="A626" s="6">
        <v>625</v>
      </c>
      <c r="B626" s="7">
        <v>45319</v>
      </c>
      <c r="C626" s="8" t="s">
        <v>78</v>
      </c>
      <c r="D626" s="8" t="s">
        <v>73</v>
      </c>
      <c r="E626" s="8" t="s">
        <v>111</v>
      </c>
      <c r="F626" s="8" t="s">
        <v>165</v>
      </c>
      <c r="G626" s="6">
        <v>39</v>
      </c>
      <c r="H626" s="25">
        <v>17000</v>
      </c>
      <c r="I626" s="6">
        <v>10</v>
      </c>
      <c r="J626" s="6">
        <f t="shared" si="18"/>
        <v>663000</v>
      </c>
      <c r="K626" s="6">
        <f t="shared" si="19"/>
        <v>596700</v>
      </c>
      <c r="L626" s="8" t="s">
        <v>107</v>
      </c>
      <c r="M626" s="8" t="s">
        <v>91</v>
      </c>
      <c r="N626">
        <v>1</v>
      </c>
      <c r="O626">
        <v>2024</v>
      </c>
      <c r="P626" s="29" t="s">
        <v>727</v>
      </c>
      <c r="Q626" t="s">
        <v>735</v>
      </c>
      <c r="R626" t="s">
        <v>737</v>
      </c>
    </row>
    <row r="627" spans="1:18" x14ac:dyDescent="0.25">
      <c r="A627" s="9">
        <v>626</v>
      </c>
      <c r="B627" s="10">
        <v>45291</v>
      </c>
      <c r="C627" s="11" t="s">
        <v>101</v>
      </c>
      <c r="D627" s="11" t="s">
        <v>117</v>
      </c>
      <c r="E627" s="11" t="s">
        <v>84</v>
      </c>
      <c r="F627" s="11" t="s">
        <v>150</v>
      </c>
      <c r="G627" s="9">
        <v>49</v>
      </c>
      <c r="H627" s="26">
        <v>6300</v>
      </c>
      <c r="I627" s="9">
        <v>0</v>
      </c>
      <c r="J627" s="9">
        <f t="shared" si="18"/>
        <v>308700</v>
      </c>
      <c r="K627" s="9">
        <f t="shared" si="19"/>
        <v>308700</v>
      </c>
      <c r="L627" s="11" t="s">
        <v>187</v>
      </c>
      <c r="M627" s="11" t="s">
        <v>81</v>
      </c>
      <c r="N627">
        <v>12</v>
      </c>
      <c r="O627">
        <v>2023</v>
      </c>
      <c r="P627" s="29" t="s">
        <v>725</v>
      </c>
      <c r="Q627" t="s">
        <v>733</v>
      </c>
      <c r="R627" t="s">
        <v>737</v>
      </c>
    </row>
    <row r="628" spans="1:18" x14ac:dyDescent="0.25">
      <c r="A628" s="6">
        <v>627</v>
      </c>
      <c r="B628" s="7">
        <v>45642</v>
      </c>
      <c r="C628" s="8" t="s">
        <v>119</v>
      </c>
      <c r="D628" s="8" t="s">
        <v>73</v>
      </c>
      <c r="E628" s="8" t="s">
        <v>111</v>
      </c>
      <c r="F628" s="8" t="s">
        <v>135</v>
      </c>
      <c r="G628" s="6">
        <v>46</v>
      </c>
      <c r="H628" s="25">
        <v>123200</v>
      </c>
      <c r="I628" s="6">
        <v>0</v>
      </c>
      <c r="J628" s="6">
        <f t="shared" si="18"/>
        <v>5667200</v>
      </c>
      <c r="K628" s="6">
        <f t="shared" si="19"/>
        <v>5667200</v>
      </c>
      <c r="L628" s="8" t="s">
        <v>187</v>
      </c>
      <c r="M628" s="8" t="s">
        <v>91</v>
      </c>
      <c r="N628">
        <v>12</v>
      </c>
      <c r="O628">
        <v>2024</v>
      </c>
      <c r="P628" s="29" t="s">
        <v>728</v>
      </c>
      <c r="Q628" t="s">
        <v>733</v>
      </c>
      <c r="R628" t="s">
        <v>737</v>
      </c>
    </row>
    <row r="629" spans="1:18" x14ac:dyDescent="0.25">
      <c r="A629" s="9">
        <v>628</v>
      </c>
      <c r="B629" s="10">
        <v>45156</v>
      </c>
      <c r="C629" s="11" t="s">
        <v>108</v>
      </c>
      <c r="D629" s="11" t="s">
        <v>93</v>
      </c>
      <c r="E629" s="11" t="s">
        <v>74</v>
      </c>
      <c r="F629" s="11" t="s">
        <v>212</v>
      </c>
      <c r="G629" s="9">
        <v>45</v>
      </c>
      <c r="H629" s="26">
        <v>8000</v>
      </c>
      <c r="I629" s="9">
        <v>20</v>
      </c>
      <c r="J629" s="9">
        <f t="shared" si="18"/>
        <v>360000</v>
      </c>
      <c r="K629" s="9">
        <f t="shared" si="19"/>
        <v>288000</v>
      </c>
      <c r="L629" s="11" t="s">
        <v>107</v>
      </c>
      <c r="M629" s="11" t="s">
        <v>96</v>
      </c>
      <c r="N629">
        <v>8</v>
      </c>
      <c r="O629">
        <v>2023</v>
      </c>
      <c r="P629" s="29" t="s">
        <v>713</v>
      </c>
      <c r="Q629" t="s">
        <v>734</v>
      </c>
      <c r="R629" t="s">
        <v>737</v>
      </c>
    </row>
    <row r="630" spans="1:18" x14ac:dyDescent="0.25">
      <c r="A630" s="6">
        <v>629</v>
      </c>
      <c r="B630" s="7">
        <v>45259</v>
      </c>
      <c r="C630" s="8" t="s">
        <v>119</v>
      </c>
      <c r="D630" s="8" t="s">
        <v>83</v>
      </c>
      <c r="E630" s="8" t="s">
        <v>79</v>
      </c>
      <c r="F630" s="8" t="s">
        <v>131</v>
      </c>
      <c r="G630" s="6">
        <v>23</v>
      </c>
      <c r="H630" s="25">
        <v>122300</v>
      </c>
      <c r="I630" s="6">
        <v>0</v>
      </c>
      <c r="J630" s="6">
        <f t="shared" si="18"/>
        <v>2812900</v>
      </c>
      <c r="K630" s="6">
        <f t="shared" si="19"/>
        <v>2812900</v>
      </c>
      <c r="L630" s="8" t="s">
        <v>76</v>
      </c>
      <c r="M630" s="8" t="s">
        <v>81</v>
      </c>
      <c r="N630">
        <v>11</v>
      </c>
      <c r="O630">
        <v>2023</v>
      </c>
      <c r="P630" s="29" t="s">
        <v>718</v>
      </c>
      <c r="Q630" t="s">
        <v>733</v>
      </c>
      <c r="R630" t="s">
        <v>737</v>
      </c>
    </row>
    <row r="631" spans="1:18" x14ac:dyDescent="0.25">
      <c r="A631" s="9">
        <v>630</v>
      </c>
      <c r="B631" s="10">
        <v>45283</v>
      </c>
      <c r="C631" s="11" t="s">
        <v>124</v>
      </c>
      <c r="D631" s="11" t="s">
        <v>93</v>
      </c>
      <c r="E631" s="11" t="s">
        <v>84</v>
      </c>
      <c r="F631" s="11" t="s">
        <v>150</v>
      </c>
      <c r="G631" s="9">
        <v>46</v>
      </c>
      <c r="H631" s="26">
        <v>5500</v>
      </c>
      <c r="I631" s="9">
        <v>10</v>
      </c>
      <c r="J631" s="9">
        <f t="shared" si="18"/>
        <v>253000</v>
      </c>
      <c r="K631" s="9">
        <f t="shared" si="19"/>
        <v>227700</v>
      </c>
      <c r="L631" s="11" t="s">
        <v>187</v>
      </c>
      <c r="M631" s="11" t="s">
        <v>96</v>
      </c>
      <c r="N631">
        <v>12</v>
      </c>
      <c r="O631">
        <v>2023</v>
      </c>
      <c r="P631" s="29" t="s">
        <v>725</v>
      </c>
      <c r="Q631" t="s">
        <v>733</v>
      </c>
      <c r="R631" t="s">
        <v>737</v>
      </c>
    </row>
    <row r="632" spans="1:18" x14ac:dyDescent="0.25">
      <c r="A632" s="6">
        <v>631</v>
      </c>
      <c r="B632" s="7">
        <v>45592</v>
      </c>
      <c r="C632" s="8" t="s">
        <v>97</v>
      </c>
      <c r="D632" s="8" t="s">
        <v>117</v>
      </c>
      <c r="E632" s="8" t="s">
        <v>102</v>
      </c>
      <c r="F632" s="8" t="s">
        <v>197</v>
      </c>
      <c r="G632" s="6">
        <v>27</v>
      </c>
      <c r="H632" s="25">
        <v>3800</v>
      </c>
      <c r="I632" s="6">
        <v>10</v>
      </c>
      <c r="J632" s="6">
        <f t="shared" si="18"/>
        <v>102600</v>
      </c>
      <c r="K632" s="6">
        <f t="shared" si="19"/>
        <v>92340</v>
      </c>
      <c r="L632" s="8" t="s">
        <v>76</v>
      </c>
      <c r="M632" s="8" t="s">
        <v>81</v>
      </c>
      <c r="N632">
        <v>10</v>
      </c>
      <c r="O632">
        <v>2024</v>
      </c>
      <c r="P632" s="29" t="s">
        <v>709</v>
      </c>
      <c r="Q632" t="s">
        <v>733</v>
      </c>
      <c r="R632" t="s">
        <v>739</v>
      </c>
    </row>
    <row r="633" spans="1:18" x14ac:dyDescent="0.25">
      <c r="A633" s="9">
        <v>632</v>
      </c>
      <c r="B633" s="10">
        <v>45266</v>
      </c>
      <c r="C633" s="11" t="s">
        <v>119</v>
      </c>
      <c r="D633" s="11" t="s">
        <v>83</v>
      </c>
      <c r="E633" s="11" t="s">
        <v>79</v>
      </c>
      <c r="F633" s="11" t="s">
        <v>120</v>
      </c>
      <c r="G633" s="9">
        <v>45</v>
      </c>
      <c r="H633" s="26">
        <v>5700</v>
      </c>
      <c r="I633" s="9">
        <v>10</v>
      </c>
      <c r="J633" s="9">
        <f t="shared" si="18"/>
        <v>256500</v>
      </c>
      <c r="K633" s="9">
        <f t="shared" si="19"/>
        <v>230850</v>
      </c>
      <c r="L633" s="11" t="s">
        <v>76</v>
      </c>
      <c r="M633" s="11" t="s">
        <v>91</v>
      </c>
      <c r="N633">
        <v>12</v>
      </c>
      <c r="O633">
        <v>2023</v>
      </c>
      <c r="P633" s="29" t="s">
        <v>725</v>
      </c>
      <c r="Q633" t="s">
        <v>733</v>
      </c>
      <c r="R633" t="s">
        <v>737</v>
      </c>
    </row>
    <row r="634" spans="1:18" x14ac:dyDescent="0.25">
      <c r="A634" s="6">
        <v>633</v>
      </c>
      <c r="B634" s="7">
        <v>45277</v>
      </c>
      <c r="C634" s="8" t="s">
        <v>82</v>
      </c>
      <c r="D634" s="8" t="s">
        <v>109</v>
      </c>
      <c r="E634" s="8" t="s">
        <v>84</v>
      </c>
      <c r="F634" s="8" t="s">
        <v>150</v>
      </c>
      <c r="G634" s="6">
        <v>46</v>
      </c>
      <c r="H634" s="25">
        <v>6000</v>
      </c>
      <c r="I634" s="6">
        <v>0</v>
      </c>
      <c r="J634" s="6">
        <f t="shared" si="18"/>
        <v>276000</v>
      </c>
      <c r="K634" s="6">
        <f t="shared" si="19"/>
        <v>276000</v>
      </c>
      <c r="L634" s="8" t="s">
        <v>76</v>
      </c>
      <c r="M634" s="8" t="s">
        <v>91</v>
      </c>
      <c r="N634">
        <v>12</v>
      </c>
      <c r="O634">
        <v>2023</v>
      </c>
      <c r="P634" s="29" t="s">
        <v>725</v>
      </c>
      <c r="Q634" t="s">
        <v>733</v>
      </c>
      <c r="R634" t="s">
        <v>737</v>
      </c>
    </row>
    <row r="635" spans="1:18" x14ac:dyDescent="0.25">
      <c r="A635" s="9">
        <v>634</v>
      </c>
      <c r="B635" s="10">
        <v>45533</v>
      </c>
      <c r="C635" s="11" t="s">
        <v>124</v>
      </c>
      <c r="D635" s="11" t="s">
        <v>83</v>
      </c>
      <c r="E635" s="11" t="s">
        <v>74</v>
      </c>
      <c r="F635" s="11" t="s">
        <v>118</v>
      </c>
      <c r="G635" s="9">
        <v>12</v>
      </c>
      <c r="H635" s="26">
        <v>31000</v>
      </c>
      <c r="I635" s="6">
        <v>0</v>
      </c>
      <c r="J635" s="9">
        <f t="shared" si="18"/>
        <v>372000</v>
      </c>
      <c r="K635" s="9">
        <f t="shared" si="19"/>
        <v>372000</v>
      </c>
      <c r="L635" s="11" t="s">
        <v>76</v>
      </c>
      <c r="M635" s="11" t="s">
        <v>91</v>
      </c>
      <c r="N635">
        <v>8</v>
      </c>
      <c r="O635">
        <v>2024</v>
      </c>
      <c r="P635" s="29" t="s">
        <v>710</v>
      </c>
      <c r="Q635" t="s">
        <v>734</v>
      </c>
      <c r="R635" t="s">
        <v>737</v>
      </c>
    </row>
    <row r="636" spans="1:18" x14ac:dyDescent="0.25">
      <c r="A636" s="6">
        <v>635</v>
      </c>
      <c r="B636" s="7">
        <v>45391</v>
      </c>
      <c r="C636" s="8" t="s">
        <v>97</v>
      </c>
      <c r="D636" s="8" t="s">
        <v>93</v>
      </c>
      <c r="E636" s="8" t="s">
        <v>111</v>
      </c>
      <c r="F636" s="8" t="s">
        <v>132</v>
      </c>
      <c r="G636" s="6">
        <v>43</v>
      </c>
      <c r="H636" s="25">
        <v>7700</v>
      </c>
      <c r="I636" s="6">
        <v>0</v>
      </c>
      <c r="J636" s="6">
        <f t="shared" si="18"/>
        <v>331100</v>
      </c>
      <c r="K636" s="6">
        <f t="shared" si="19"/>
        <v>331100</v>
      </c>
      <c r="L636" s="8" t="s">
        <v>76</v>
      </c>
      <c r="M636" s="8" t="s">
        <v>81</v>
      </c>
      <c r="N636">
        <v>4</v>
      </c>
      <c r="O636">
        <v>2024</v>
      </c>
      <c r="P636" s="29" t="s">
        <v>722</v>
      </c>
      <c r="Q636" t="s">
        <v>736</v>
      </c>
      <c r="R636" t="s">
        <v>737</v>
      </c>
    </row>
    <row r="637" spans="1:18" x14ac:dyDescent="0.25">
      <c r="A637" s="9">
        <v>636</v>
      </c>
      <c r="B637" s="10">
        <v>45069</v>
      </c>
      <c r="C637" s="11" t="s">
        <v>124</v>
      </c>
      <c r="D637" s="11" t="s">
        <v>73</v>
      </c>
      <c r="E637" s="11" t="s">
        <v>84</v>
      </c>
      <c r="F637" s="11" t="s">
        <v>128</v>
      </c>
      <c r="G637" s="9">
        <v>19</v>
      </c>
      <c r="H637" s="26">
        <v>4300</v>
      </c>
      <c r="I637" s="9">
        <v>0</v>
      </c>
      <c r="J637" s="9">
        <f t="shared" si="18"/>
        <v>81700</v>
      </c>
      <c r="K637" s="9">
        <f t="shared" si="19"/>
        <v>81700</v>
      </c>
      <c r="L637" s="11" t="s">
        <v>76</v>
      </c>
      <c r="M637" s="11" t="s">
        <v>91</v>
      </c>
      <c r="N637">
        <v>5</v>
      </c>
      <c r="O637">
        <v>2023</v>
      </c>
      <c r="P637" s="29" t="s">
        <v>730</v>
      </c>
      <c r="Q637" t="s">
        <v>736</v>
      </c>
      <c r="R637" t="s">
        <v>739</v>
      </c>
    </row>
    <row r="638" spans="1:18" x14ac:dyDescent="0.25">
      <c r="A638" s="6">
        <v>637</v>
      </c>
      <c r="B638" s="7">
        <v>45137</v>
      </c>
      <c r="C638" s="8" t="s">
        <v>88</v>
      </c>
      <c r="D638" s="8" t="s">
        <v>117</v>
      </c>
      <c r="E638" s="8" t="s">
        <v>102</v>
      </c>
      <c r="F638" s="8" t="s">
        <v>110</v>
      </c>
      <c r="G638" s="6">
        <v>28</v>
      </c>
      <c r="H638" s="25">
        <v>24900</v>
      </c>
      <c r="I638" s="6">
        <v>0</v>
      </c>
      <c r="J638" s="6">
        <f t="shared" si="18"/>
        <v>697200</v>
      </c>
      <c r="K638" s="6">
        <f t="shared" si="19"/>
        <v>697200</v>
      </c>
      <c r="L638" s="8" t="s">
        <v>187</v>
      </c>
      <c r="M638" s="8" t="s">
        <v>96</v>
      </c>
      <c r="N638">
        <v>7</v>
      </c>
      <c r="O638">
        <v>2023</v>
      </c>
      <c r="P638" s="29" t="s">
        <v>724</v>
      </c>
      <c r="Q638" t="s">
        <v>734</v>
      </c>
      <c r="R638" t="s">
        <v>737</v>
      </c>
    </row>
    <row r="639" spans="1:18" x14ac:dyDescent="0.25">
      <c r="A639" s="9">
        <v>638</v>
      </c>
      <c r="B639" s="10">
        <v>45523</v>
      </c>
      <c r="C639" s="11" t="s">
        <v>78</v>
      </c>
      <c r="D639" s="11" t="s">
        <v>93</v>
      </c>
      <c r="E639" s="11" t="s">
        <v>102</v>
      </c>
      <c r="F639" s="11" t="s">
        <v>151</v>
      </c>
      <c r="G639" s="9">
        <v>19</v>
      </c>
      <c r="H639" s="26">
        <v>8300</v>
      </c>
      <c r="I639" s="9">
        <v>0</v>
      </c>
      <c r="J639" s="9">
        <f t="shared" si="18"/>
        <v>157700</v>
      </c>
      <c r="K639" s="9">
        <f t="shared" si="19"/>
        <v>157700</v>
      </c>
      <c r="L639" s="11" t="s">
        <v>76</v>
      </c>
      <c r="M639" s="11" t="s">
        <v>77</v>
      </c>
      <c r="N639">
        <v>8</v>
      </c>
      <c r="O639">
        <v>2024</v>
      </c>
      <c r="P639" s="29" t="s">
        <v>710</v>
      </c>
      <c r="Q639" t="s">
        <v>734</v>
      </c>
      <c r="R639" t="s">
        <v>739</v>
      </c>
    </row>
    <row r="640" spans="1:18" x14ac:dyDescent="0.25">
      <c r="A640" s="6">
        <v>639</v>
      </c>
      <c r="B640" s="7">
        <v>45647</v>
      </c>
      <c r="C640" s="8" t="s">
        <v>82</v>
      </c>
      <c r="D640" s="8" t="s">
        <v>117</v>
      </c>
      <c r="E640" s="8" t="s">
        <v>79</v>
      </c>
      <c r="F640" s="8" t="s">
        <v>179</v>
      </c>
      <c r="G640" s="6">
        <v>16</v>
      </c>
      <c r="H640" s="25">
        <v>2800</v>
      </c>
      <c r="I640" s="6">
        <v>15</v>
      </c>
      <c r="J640" s="6">
        <f t="shared" si="18"/>
        <v>44800</v>
      </c>
      <c r="K640" s="6">
        <f t="shared" si="19"/>
        <v>38080</v>
      </c>
      <c r="L640" s="8" t="s">
        <v>76</v>
      </c>
      <c r="M640" s="8" t="s">
        <v>91</v>
      </c>
      <c r="N640">
        <v>12</v>
      </c>
      <c r="O640">
        <v>2024</v>
      </c>
      <c r="P640" s="29" t="s">
        <v>728</v>
      </c>
      <c r="Q640" t="s">
        <v>733</v>
      </c>
      <c r="R640" t="s">
        <v>738</v>
      </c>
    </row>
    <row r="641" spans="1:18" x14ac:dyDescent="0.25">
      <c r="A641" s="9">
        <v>640</v>
      </c>
      <c r="B641" s="10">
        <v>45252</v>
      </c>
      <c r="C641" s="11" t="s">
        <v>114</v>
      </c>
      <c r="D641" s="11" t="s">
        <v>83</v>
      </c>
      <c r="E641" s="11" t="s">
        <v>111</v>
      </c>
      <c r="F641" s="11" t="s">
        <v>165</v>
      </c>
      <c r="G641" s="9">
        <v>43</v>
      </c>
      <c r="H641" s="26">
        <v>18700</v>
      </c>
      <c r="I641" s="9">
        <v>0</v>
      </c>
      <c r="J641" s="9">
        <f t="shared" si="18"/>
        <v>804100</v>
      </c>
      <c r="K641" s="9">
        <f t="shared" si="19"/>
        <v>804100</v>
      </c>
      <c r="L641" s="11" t="s">
        <v>76</v>
      </c>
      <c r="M641" s="11" t="s">
        <v>81</v>
      </c>
      <c r="N641">
        <v>11</v>
      </c>
      <c r="O641">
        <v>2023</v>
      </c>
      <c r="P641" s="29" t="s">
        <v>718</v>
      </c>
      <c r="Q641" t="s">
        <v>733</v>
      </c>
      <c r="R641" t="s">
        <v>737</v>
      </c>
    </row>
    <row r="642" spans="1:18" x14ac:dyDescent="0.25">
      <c r="A642" s="6">
        <v>641</v>
      </c>
      <c r="B642" s="7">
        <v>45495</v>
      </c>
      <c r="C642" s="8" t="s">
        <v>114</v>
      </c>
      <c r="D642" s="8" t="s">
        <v>117</v>
      </c>
      <c r="E642" s="8" t="s">
        <v>111</v>
      </c>
      <c r="F642" s="8" t="s">
        <v>166</v>
      </c>
      <c r="G642" s="6">
        <v>43</v>
      </c>
      <c r="H642" s="25">
        <v>27200</v>
      </c>
      <c r="I642" s="6">
        <v>0</v>
      </c>
      <c r="J642" s="6">
        <f t="shared" ref="J642:J705" si="20">G642*H642</f>
        <v>1169600</v>
      </c>
      <c r="K642" s="6">
        <f t="shared" ref="K642:K705" si="21">J642*(1-I642/100)</f>
        <v>1169600</v>
      </c>
      <c r="L642" s="8" t="s">
        <v>76</v>
      </c>
      <c r="M642" s="8" t="s">
        <v>77</v>
      </c>
      <c r="N642">
        <v>7</v>
      </c>
      <c r="O642">
        <v>2024</v>
      </c>
      <c r="P642" s="29" t="s">
        <v>712</v>
      </c>
      <c r="Q642" t="s">
        <v>734</v>
      </c>
      <c r="R642" t="s">
        <v>737</v>
      </c>
    </row>
    <row r="643" spans="1:18" x14ac:dyDescent="0.25">
      <c r="A643" s="9">
        <v>642</v>
      </c>
      <c r="B643" s="10">
        <v>45590</v>
      </c>
      <c r="C643" s="11" t="s">
        <v>78</v>
      </c>
      <c r="D643" s="11" t="s">
        <v>109</v>
      </c>
      <c r="E643" s="11" t="s">
        <v>111</v>
      </c>
      <c r="F643" s="11" t="s">
        <v>165</v>
      </c>
      <c r="G643" s="9">
        <v>9</v>
      </c>
      <c r="H643" s="26">
        <v>20600</v>
      </c>
      <c r="I643" s="9">
        <v>20</v>
      </c>
      <c r="J643" s="9">
        <f t="shared" si="20"/>
        <v>185400</v>
      </c>
      <c r="K643" s="9">
        <f t="shared" si="21"/>
        <v>148320</v>
      </c>
      <c r="L643" s="11" t="s">
        <v>76</v>
      </c>
      <c r="M643" s="11" t="s">
        <v>91</v>
      </c>
      <c r="N643">
        <v>10</v>
      </c>
      <c r="O643">
        <v>2024</v>
      </c>
      <c r="P643" s="29" t="s">
        <v>709</v>
      </c>
      <c r="Q643" t="s">
        <v>733</v>
      </c>
      <c r="R643" t="s">
        <v>739</v>
      </c>
    </row>
    <row r="644" spans="1:18" x14ac:dyDescent="0.25">
      <c r="A644" s="6">
        <v>643</v>
      </c>
      <c r="B644" s="7">
        <v>45393</v>
      </c>
      <c r="C644" s="8" t="s">
        <v>124</v>
      </c>
      <c r="D644" s="8" t="s">
        <v>83</v>
      </c>
      <c r="E644" s="8" t="s">
        <v>102</v>
      </c>
      <c r="F644" s="8" t="s">
        <v>103</v>
      </c>
      <c r="G644" s="6">
        <v>28</v>
      </c>
      <c r="H644" s="25">
        <v>9900</v>
      </c>
      <c r="I644" s="6">
        <v>5</v>
      </c>
      <c r="J644" s="6">
        <f t="shared" si="20"/>
        <v>277200</v>
      </c>
      <c r="K644" s="6">
        <f t="shared" si="21"/>
        <v>263340</v>
      </c>
      <c r="L644" s="8" t="s">
        <v>76</v>
      </c>
      <c r="M644" s="8" t="s">
        <v>91</v>
      </c>
      <c r="N644">
        <v>4</v>
      </c>
      <c r="O644">
        <v>2024</v>
      </c>
      <c r="P644" s="29" t="s">
        <v>722</v>
      </c>
      <c r="Q644" t="s">
        <v>736</v>
      </c>
      <c r="R644" t="s">
        <v>737</v>
      </c>
    </row>
    <row r="645" spans="1:18" x14ac:dyDescent="0.25">
      <c r="A645" s="9">
        <v>644</v>
      </c>
      <c r="B645" s="10">
        <v>45290</v>
      </c>
      <c r="C645" s="11" t="s">
        <v>106</v>
      </c>
      <c r="D645" s="11" t="s">
        <v>109</v>
      </c>
      <c r="E645" s="11" t="s">
        <v>111</v>
      </c>
      <c r="F645" s="11" t="s">
        <v>192</v>
      </c>
      <c r="G645" s="9">
        <v>47</v>
      </c>
      <c r="H645" s="26">
        <v>99200</v>
      </c>
      <c r="I645" s="9">
        <v>5</v>
      </c>
      <c r="J645" s="9">
        <f t="shared" si="20"/>
        <v>4662400</v>
      </c>
      <c r="K645" s="9">
        <f t="shared" si="21"/>
        <v>4429280</v>
      </c>
      <c r="L645" s="11" t="s">
        <v>76</v>
      </c>
      <c r="M645" s="11" t="s">
        <v>96</v>
      </c>
      <c r="N645">
        <v>12</v>
      </c>
      <c r="O645">
        <v>2023</v>
      </c>
      <c r="P645" s="29" t="s">
        <v>725</v>
      </c>
      <c r="Q645" t="s">
        <v>733</v>
      </c>
      <c r="R645" t="s">
        <v>737</v>
      </c>
    </row>
    <row r="646" spans="1:18" x14ac:dyDescent="0.25">
      <c r="A646" s="6">
        <v>645</v>
      </c>
      <c r="B646" s="7">
        <v>45486</v>
      </c>
      <c r="C646" s="8" t="s">
        <v>124</v>
      </c>
      <c r="D646" s="8" t="s">
        <v>117</v>
      </c>
      <c r="E646" s="8" t="s">
        <v>79</v>
      </c>
      <c r="F646" s="8" t="s">
        <v>136</v>
      </c>
      <c r="G646" s="6">
        <v>46</v>
      </c>
      <c r="H646" s="25">
        <v>88600</v>
      </c>
      <c r="I646" s="6">
        <v>15</v>
      </c>
      <c r="J646" s="6">
        <f t="shared" si="20"/>
        <v>4075600</v>
      </c>
      <c r="K646" s="6">
        <f t="shared" si="21"/>
        <v>3464260</v>
      </c>
      <c r="L646" s="8" t="s">
        <v>76</v>
      </c>
      <c r="M646" s="8" t="s">
        <v>91</v>
      </c>
      <c r="N646">
        <v>7</v>
      </c>
      <c r="O646">
        <v>2024</v>
      </c>
      <c r="P646" s="29" t="s">
        <v>712</v>
      </c>
      <c r="Q646" t="s">
        <v>734</v>
      </c>
      <c r="R646" t="s">
        <v>737</v>
      </c>
    </row>
    <row r="647" spans="1:18" x14ac:dyDescent="0.25">
      <c r="A647" s="9">
        <v>646</v>
      </c>
      <c r="B647" s="10">
        <v>45008</v>
      </c>
      <c r="C647" s="11" t="s">
        <v>108</v>
      </c>
      <c r="D647" s="11" t="s">
        <v>93</v>
      </c>
      <c r="E647" s="11" t="s">
        <v>74</v>
      </c>
      <c r="F647" s="11" t="s">
        <v>99</v>
      </c>
      <c r="G647" s="9">
        <v>34</v>
      </c>
      <c r="H647" s="26">
        <v>3600</v>
      </c>
      <c r="I647" s="9">
        <v>0</v>
      </c>
      <c r="J647" s="9">
        <f t="shared" si="20"/>
        <v>122400</v>
      </c>
      <c r="K647" s="9">
        <f t="shared" si="21"/>
        <v>122400</v>
      </c>
      <c r="L647" s="11" t="s">
        <v>107</v>
      </c>
      <c r="M647" s="11" t="s">
        <v>77</v>
      </c>
      <c r="N647">
        <v>3</v>
      </c>
      <c r="O647">
        <v>2023</v>
      </c>
      <c r="P647" s="29" t="s">
        <v>719</v>
      </c>
      <c r="Q647" t="s">
        <v>735</v>
      </c>
      <c r="R647" t="s">
        <v>739</v>
      </c>
    </row>
    <row r="648" spans="1:18" x14ac:dyDescent="0.25">
      <c r="A648" s="6">
        <v>647</v>
      </c>
      <c r="B648" s="7">
        <v>45410</v>
      </c>
      <c r="C648" s="8" t="s">
        <v>97</v>
      </c>
      <c r="D648" s="8" t="s">
        <v>93</v>
      </c>
      <c r="E648" s="8" t="s">
        <v>102</v>
      </c>
      <c r="F648" s="8" t="s">
        <v>110</v>
      </c>
      <c r="G648" s="6">
        <v>22</v>
      </c>
      <c r="H648" s="25">
        <v>23200</v>
      </c>
      <c r="I648" s="6">
        <v>5</v>
      </c>
      <c r="J648" s="6">
        <f t="shared" si="20"/>
        <v>510400</v>
      </c>
      <c r="K648" s="6">
        <f t="shared" si="21"/>
        <v>484880</v>
      </c>
      <c r="L648" s="8" t="s">
        <v>76</v>
      </c>
      <c r="M648" s="8" t="s">
        <v>77</v>
      </c>
      <c r="N648">
        <v>4</v>
      </c>
      <c r="O648">
        <v>2024</v>
      </c>
      <c r="P648" s="29" t="s">
        <v>722</v>
      </c>
      <c r="Q648" t="s">
        <v>736</v>
      </c>
      <c r="R648" t="s">
        <v>737</v>
      </c>
    </row>
    <row r="649" spans="1:18" x14ac:dyDescent="0.25">
      <c r="A649" s="9">
        <v>648</v>
      </c>
      <c r="B649" s="10">
        <v>45539</v>
      </c>
      <c r="C649" s="11" t="s">
        <v>82</v>
      </c>
      <c r="D649" s="11" t="s">
        <v>83</v>
      </c>
      <c r="E649" s="11" t="s">
        <v>102</v>
      </c>
      <c r="F649" s="11" t="s">
        <v>157</v>
      </c>
      <c r="G649" s="9">
        <v>19</v>
      </c>
      <c r="H649" s="26">
        <v>12100</v>
      </c>
      <c r="I649" s="9">
        <v>15</v>
      </c>
      <c r="J649" s="9">
        <f t="shared" si="20"/>
        <v>229900</v>
      </c>
      <c r="K649" s="9">
        <f t="shared" si="21"/>
        <v>195415</v>
      </c>
      <c r="L649" s="11" t="s">
        <v>76</v>
      </c>
      <c r="M649" s="11" t="s">
        <v>77</v>
      </c>
      <c r="N649">
        <v>9</v>
      </c>
      <c r="O649">
        <v>2024</v>
      </c>
      <c r="P649" s="29" t="s">
        <v>731</v>
      </c>
      <c r="Q649" t="s">
        <v>734</v>
      </c>
      <c r="R649" t="s">
        <v>739</v>
      </c>
    </row>
    <row r="650" spans="1:18" x14ac:dyDescent="0.25">
      <c r="A650" s="6">
        <v>649</v>
      </c>
      <c r="B650" s="7">
        <v>45360</v>
      </c>
      <c r="C650" s="8" t="s">
        <v>101</v>
      </c>
      <c r="D650" s="8" t="s">
        <v>93</v>
      </c>
      <c r="E650" s="8" t="s">
        <v>74</v>
      </c>
      <c r="F650" s="8" t="s">
        <v>94</v>
      </c>
      <c r="G650" s="6">
        <v>38</v>
      </c>
      <c r="H650" s="25">
        <v>37000</v>
      </c>
      <c r="I650" s="6">
        <v>15</v>
      </c>
      <c r="J650" s="6">
        <f t="shared" si="20"/>
        <v>1406000</v>
      </c>
      <c r="K650" s="6">
        <f t="shared" si="21"/>
        <v>1195100</v>
      </c>
      <c r="L650" s="8" t="s">
        <v>76</v>
      </c>
      <c r="M650" s="8" t="s">
        <v>77</v>
      </c>
      <c r="N650">
        <v>3</v>
      </c>
      <c r="O650">
        <v>2024</v>
      </c>
      <c r="P650" s="29" t="s">
        <v>711</v>
      </c>
      <c r="Q650" t="s">
        <v>735</v>
      </c>
      <c r="R650" t="s">
        <v>737</v>
      </c>
    </row>
    <row r="651" spans="1:18" x14ac:dyDescent="0.25">
      <c r="A651" s="9">
        <v>650</v>
      </c>
      <c r="B651" s="10">
        <v>45225</v>
      </c>
      <c r="C651" s="11" t="s">
        <v>124</v>
      </c>
      <c r="D651" s="11" t="s">
        <v>73</v>
      </c>
      <c r="E651" s="11" t="s">
        <v>74</v>
      </c>
      <c r="F651" s="11" t="s">
        <v>99</v>
      </c>
      <c r="G651" s="9">
        <v>33</v>
      </c>
      <c r="H651" s="26">
        <v>3200</v>
      </c>
      <c r="I651" s="9">
        <v>0</v>
      </c>
      <c r="J651" s="9">
        <f t="shared" si="20"/>
        <v>105600</v>
      </c>
      <c r="K651" s="9">
        <f t="shared" si="21"/>
        <v>105600</v>
      </c>
      <c r="L651" s="11" t="s">
        <v>76</v>
      </c>
      <c r="M651" s="11" t="s">
        <v>96</v>
      </c>
      <c r="N651">
        <v>10</v>
      </c>
      <c r="O651">
        <v>2023</v>
      </c>
      <c r="P651" s="29" t="s">
        <v>726</v>
      </c>
      <c r="Q651" t="s">
        <v>733</v>
      </c>
      <c r="R651" t="s">
        <v>739</v>
      </c>
    </row>
    <row r="652" spans="1:18" x14ac:dyDescent="0.25">
      <c r="A652" s="6">
        <v>651</v>
      </c>
      <c r="B652" s="7">
        <v>45062</v>
      </c>
      <c r="C652" s="8" t="s">
        <v>124</v>
      </c>
      <c r="D652" s="8" t="s">
        <v>117</v>
      </c>
      <c r="E652" s="8" t="s">
        <v>74</v>
      </c>
      <c r="F652" s="8" t="s">
        <v>190</v>
      </c>
      <c r="G652" s="6">
        <v>8</v>
      </c>
      <c r="H652" s="25">
        <v>28900</v>
      </c>
      <c r="I652" s="6">
        <v>15</v>
      </c>
      <c r="J652" s="6">
        <f t="shared" si="20"/>
        <v>231200</v>
      </c>
      <c r="K652" s="6">
        <f t="shared" si="21"/>
        <v>196520</v>
      </c>
      <c r="L652" s="8" t="s">
        <v>76</v>
      </c>
      <c r="M652" s="8" t="s">
        <v>81</v>
      </c>
      <c r="N652">
        <v>5</v>
      </c>
      <c r="O652">
        <v>2023</v>
      </c>
      <c r="P652" s="29" t="s">
        <v>730</v>
      </c>
      <c r="Q652" t="s">
        <v>736</v>
      </c>
      <c r="R652" t="s">
        <v>739</v>
      </c>
    </row>
    <row r="653" spans="1:18" x14ac:dyDescent="0.25">
      <c r="A653" s="9">
        <v>652</v>
      </c>
      <c r="B653" s="10">
        <v>45326</v>
      </c>
      <c r="C653" s="11" t="s">
        <v>88</v>
      </c>
      <c r="D653" s="11" t="s">
        <v>109</v>
      </c>
      <c r="E653" s="11" t="s">
        <v>74</v>
      </c>
      <c r="F653" s="11" t="s">
        <v>75</v>
      </c>
      <c r="G653" s="9">
        <v>34</v>
      </c>
      <c r="H653" s="26">
        <v>22500</v>
      </c>
      <c r="I653" s="9">
        <v>0</v>
      </c>
      <c r="J653" s="9">
        <f t="shared" si="20"/>
        <v>765000</v>
      </c>
      <c r="K653" s="9">
        <f t="shared" si="21"/>
        <v>765000</v>
      </c>
      <c r="L653" s="11" t="s">
        <v>107</v>
      </c>
      <c r="M653" s="11" t="s">
        <v>96</v>
      </c>
      <c r="N653">
        <v>2</v>
      </c>
      <c r="O653">
        <v>2024</v>
      </c>
      <c r="P653" s="29" t="s">
        <v>729</v>
      </c>
      <c r="Q653" t="s">
        <v>735</v>
      </c>
      <c r="R653" t="s">
        <v>737</v>
      </c>
    </row>
    <row r="654" spans="1:18" x14ac:dyDescent="0.25">
      <c r="A654" s="6">
        <v>653</v>
      </c>
      <c r="B654" s="7">
        <v>45075</v>
      </c>
      <c r="C654" s="8" t="s">
        <v>124</v>
      </c>
      <c r="D654" s="8" t="s">
        <v>109</v>
      </c>
      <c r="E654" s="8" t="s">
        <v>111</v>
      </c>
      <c r="F654" s="8" t="s">
        <v>165</v>
      </c>
      <c r="G654" s="6">
        <v>16</v>
      </c>
      <c r="H654" s="25">
        <v>19700</v>
      </c>
      <c r="I654" s="6">
        <v>0</v>
      </c>
      <c r="J654" s="6">
        <f t="shared" si="20"/>
        <v>315200</v>
      </c>
      <c r="K654" s="6">
        <f t="shared" si="21"/>
        <v>315200</v>
      </c>
      <c r="L654" s="8" t="s">
        <v>187</v>
      </c>
      <c r="M654" s="8" t="s">
        <v>81</v>
      </c>
      <c r="N654">
        <v>5</v>
      </c>
      <c r="O654">
        <v>2023</v>
      </c>
      <c r="P654" s="29" t="s">
        <v>730</v>
      </c>
      <c r="Q654" t="s">
        <v>736</v>
      </c>
      <c r="R654" t="s">
        <v>737</v>
      </c>
    </row>
    <row r="655" spans="1:18" x14ac:dyDescent="0.25">
      <c r="A655" s="9">
        <v>654</v>
      </c>
      <c r="B655" s="10">
        <v>45518</v>
      </c>
      <c r="C655" s="11" t="s">
        <v>88</v>
      </c>
      <c r="D655" s="11" t="s">
        <v>73</v>
      </c>
      <c r="E655" s="11" t="s">
        <v>74</v>
      </c>
      <c r="F655" s="11" t="s">
        <v>118</v>
      </c>
      <c r="G655" s="9">
        <v>30</v>
      </c>
      <c r="H655" s="26">
        <v>25600</v>
      </c>
      <c r="I655" s="9">
        <v>5</v>
      </c>
      <c r="J655" s="9">
        <f t="shared" si="20"/>
        <v>768000</v>
      </c>
      <c r="K655" s="9">
        <f t="shared" si="21"/>
        <v>729600</v>
      </c>
      <c r="L655" s="11" t="s">
        <v>76</v>
      </c>
      <c r="M655" s="11" t="s">
        <v>96</v>
      </c>
      <c r="N655">
        <v>8</v>
      </c>
      <c r="O655">
        <v>2024</v>
      </c>
      <c r="P655" s="29" t="s">
        <v>710</v>
      </c>
      <c r="Q655" t="s">
        <v>734</v>
      </c>
      <c r="R655" t="s">
        <v>737</v>
      </c>
    </row>
    <row r="656" spans="1:18" x14ac:dyDescent="0.25">
      <c r="A656" s="6">
        <v>655</v>
      </c>
      <c r="B656" s="7">
        <v>45472</v>
      </c>
      <c r="C656" s="8" t="s">
        <v>106</v>
      </c>
      <c r="D656" s="8" t="s">
        <v>83</v>
      </c>
      <c r="E656" s="8" t="s">
        <v>111</v>
      </c>
      <c r="F656" s="8" t="s">
        <v>159</v>
      </c>
      <c r="G656" s="6">
        <v>34</v>
      </c>
      <c r="H656" s="25">
        <v>11600</v>
      </c>
      <c r="I656" s="6">
        <v>0</v>
      </c>
      <c r="J656" s="6">
        <f t="shared" si="20"/>
        <v>394400</v>
      </c>
      <c r="K656" s="6">
        <f t="shared" si="21"/>
        <v>394400</v>
      </c>
      <c r="L656" s="8" t="s">
        <v>107</v>
      </c>
      <c r="M656" s="8" t="s">
        <v>77</v>
      </c>
      <c r="N656">
        <v>6</v>
      </c>
      <c r="O656">
        <v>2024</v>
      </c>
      <c r="P656" s="29" t="s">
        <v>720</v>
      </c>
      <c r="Q656" t="s">
        <v>736</v>
      </c>
      <c r="R656" t="s">
        <v>737</v>
      </c>
    </row>
    <row r="657" spans="1:18" x14ac:dyDescent="0.25">
      <c r="A657" s="9">
        <v>656</v>
      </c>
      <c r="B657" s="10">
        <v>45386</v>
      </c>
      <c r="C657" s="11" t="s">
        <v>114</v>
      </c>
      <c r="D657" s="11" t="s">
        <v>117</v>
      </c>
      <c r="E657" s="11" t="s">
        <v>102</v>
      </c>
      <c r="F657" s="11" t="s">
        <v>138</v>
      </c>
      <c r="G657" s="9">
        <v>35</v>
      </c>
      <c r="H657" s="26">
        <v>6000</v>
      </c>
      <c r="I657" s="9">
        <v>10</v>
      </c>
      <c r="J657" s="9">
        <f t="shared" si="20"/>
        <v>210000</v>
      </c>
      <c r="K657" s="9">
        <f t="shared" si="21"/>
        <v>189000</v>
      </c>
      <c r="L657" s="11" t="s">
        <v>76</v>
      </c>
      <c r="M657" s="11" t="s">
        <v>91</v>
      </c>
      <c r="N657">
        <v>4</v>
      </c>
      <c r="O657">
        <v>2024</v>
      </c>
      <c r="P657" s="29" t="s">
        <v>722</v>
      </c>
      <c r="Q657" t="s">
        <v>736</v>
      </c>
      <c r="R657" t="s">
        <v>739</v>
      </c>
    </row>
    <row r="658" spans="1:18" x14ac:dyDescent="0.25">
      <c r="A658" s="6">
        <v>657</v>
      </c>
      <c r="B658" s="7">
        <v>45594</v>
      </c>
      <c r="C658" s="8" t="s">
        <v>101</v>
      </c>
      <c r="D658" s="8" t="s">
        <v>117</v>
      </c>
      <c r="E658" s="8" t="s">
        <v>74</v>
      </c>
      <c r="F658" s="8" t="s">
        <v>190</v>
      </c>
      <c r="G658" s="6">
        <v>17</v>
      </c>
      <c r="H658" s="25">
        <v>35200</v>
      </c>
      <c r="I658" s="6">
        <v>5</v>
      </c>
      <c r="J658" s="6">
        <f t="shared" si="20"/>
        <v>598400</v>
      </c>
      <c r="K658" s="6">
        <f t="shared" si="21"/>
        <v>568480</v>
      </c>
      <c r="L658" s="8" t="s">
        <v>187</v>
      </c>
      <c r="M658" s="8" t="s">
        <v>91</v>
      </c>
      <c r="N658">
        <v>10</v>
      </c>
      <c r="O658">
        <v>2024</v>
      </c>
      <c r="P658" s="29" t="s">
        <v>709</v>
      </c>
      <c r="Q658" t="s">
        <v>733</v>
      </c>
      <c r="R658" t="s">
        <v>737</v>
      </c>
    </row>
    <row r="659" spans="1:18" x14ac:dyDescent="0.25">
      <c r="A659" s="9">
        <v>658</v>
      </c>
      <c r="B659" s="10">
        <v>45618</v>
      </c>
      <c r="C659" s="11" t="s">
        <v>106</v>
      </c>
      <c r="D659" s="11" t="s">
        <v>93</v>
      </c>
      <c r="E659" s="11" t="s">
        <v>84</v>
      </c>
      <c r="F659" s="11" t="s">
        <v>200</v>
      </c>
      <c r="G659" s="9">
        <v>12</v>
      </c>
      <c r="H659" s="26">
        <v>3400</v>
      </c>
      <c r="I659" s="9">
        <v>15</v>
      </c>
      <c r="J659" s="9">
        <f t="shared" si="20"/>
        <v>40800</v>
      </c>
      <c r="K659" s="9">
        <f t="shared" si="21"/>
        <v>34680</v>
      </c>
      <c r="L659" s="11" t="s">
        <v>76</v>
      </c>
      <c r="M659" s="11" t="s">
        <v>77</v>
      </c>
      <c r="N659">
        <v>11</v>
      </c>
      <c r="O659">
        <v>2024</v>
      </c>
      <c r="P659" s="29" t="s">
        <v>714</v>
      </c>
      <c r="Q659" t="s">
        <v>733</v>
      </c>
      <c r="R659" t="s">
        <v>738</v>
      </c>
    </row>
    <row r="660" spans="1:18" x14ac:dyDescent="0.25">
      <c r="A660" s="6">
        <v>659</v>
      </c>
      <c r="B660" s="7">
        <v>45170</v>
      </c>
      <c r="C660" s="8" t="s">
        <v>97</v>
      </c>
      <c r="D660" s="8" t="s">
        <v>73</v>
      </c>
      <c r="E660" s="8" t="s">
        <v>111</v>
      </c>
      <c r="F660" s="8" t="s">
        <v>112</v>
      </c>
      <c r="G660" s="6">
        <v>44</v>
      </c>
      <c r="H660" s="25">
        <v>67000</v>
      </c>
      <c r="I660" s="6">
        <v>15</v>
      </c>
      <c r="J660" s="6">
        <f t="shared" si="20"/>
        <v>2948000</v>
      </c>
      <c r="K660" s="6">
        <f t="shared" si="21"/>
        <v>2505800</v>
      </c>
      <c r="L660" s="8" t="s">
        <v>76</v>
      </c>
      <c r="M660" s="8" t="s">
        <v>81</v>
      </c>
      <c r="N660">
        <v>9</v>
      </c>
      <c r="O660">
        <v>2023</v>
      </c>
      <c r="P660" s="29" t="s">
        <v>715</v>
      </c>
      <c r="Q660" t="s">
        <v>734</v>
      </c>
      <c r="R660" t="s">
        <v>737</v>
      </c>
    </row>
    <row r="661" spans="1:18" x14ac:dyDescent="0.25">
      <c r="A661" s="9">
        <v>660</v>
      </c>
      <c r="B661" s="10">
        <v>45217</v>
      </c>
      <c r="C661" s="11" t="s">
        <v>101</v>
      </c>
      <c r="D661" s="30" t="s">
        <v>703</v>
      </c>
      <c r="E661" s="11" t="s">
        <v>79</v>
      </c>
      <c r="F661" s="11" t="s">
        <v>136</v>
      </c>
      <c r="G661" s="9">
        <v>4</v>
      </c>
      <c r="H661" s="26">
        <v>89700</v>
      </c>
      <c r="I661" s="9">
        <v>10</v>
      </c>
      <c r="J661" s="9">
        <f t="shared" si="20"/>
        <v>358800</v>
      </c>
      <c r="K661" s="9">
        <f t="shared" si="21"/>
        <v>322920</v>
      </c>
      <c r="L661" s="11" t="s">
        <v>123</v>
      </c>
      <c r="M661" s="11" t="s">
        <v>81</v>
      </c>
      <c r="N661">
        <v>10</v>
      </c>
      <c r="O661">
        <v>2023</v>
      </c>
      <c r="P661" s="29" t="s">
        <v>726</v>
      </c>
      <c r="Q661" t="s">
        <v>733</v>
      </c>
      <c r="R661" t="s">
        <v>737</v>
      </c>
    </row>
    <row r="662" spans="1:18" x14ac:dyDescent="0.25">
      <c r="A662" s="6">
        <v>661</v>
      </c>
      <c r="B662" s="7">
        <v>45580</v>
      </c>
      <c r="C662" s="8" t="s">
        <v>97</v>
      </c>
      <c r="D662" s="8" t="s">
        <v>73</v>
      </c>
      <c r="E662" s="8" t="s">
        <v>79</v>
      </c>
      <c r="F662" s="8" t="s">
        <v>122</v>
      </c>
      <c r="G662" s="6">
        <v>49</v>
      </c>
      <c r="H662" s="25">
        <v>17900</v>
      </c>
      <c r="I662" s="6">
        <v>0</v>
      </c>
      <c r="J662" s="6">
        <f t="shared" si="20"/>
        <v>877100</v>
      </c>
      <c r="K662" s="6">
        <f t="shared" si="21"/>
        <v>877100</v>
      </c>
      <c r="L662" s="8" t="s">
        <v>107</v>
      </c>
      <c r="M662" s="8" t="s">
        <v>81</v>
      </c>
      <c r="N662">
        <v>10</v>
      </c>
      <c r="O662">
        <v>2024</v>
      </c>
      <c r="P662" s="29" t="s">
        <v>709</v>
      </c>
      <c r="Q662" t="s">
        <v>733</v>
      </c>
      <c r="R662" t="s">
        <v>737</v>
      </c>
    </row>
    <row r="663" spans="1:18" x14ac:dyDescent="0.25">
      <c r="A663" s="9">
        <v>662</v>
      </c>
      <c r="B663" s="10">
        <v>45639</v>
      </c>
      <c r="C663" s="11" t="s">
        <v>108</v>
      </c>
      <c r="D663" s="11" t="s">
        <v>117</v>
      </c>
      <c r="E663" s="11" t="s">
        <v>74</v>
      </c>
      <c r="F663" s="11" t="s">
        <v>99</v>
      </c>
      <c r="G663" s="9">
        <v>5</v>
      </c>
      <c r="H663" s="26">
        <v>3700</v>
      </c>
      <c r="I663" s="9">
        <v>20</v>
      </c>
      <c r="J663" s="9">
        <f t="shared" si="20"/>
        <v>18500</v>
      </c>
      <c r="K663" s="9">
        <f t="shared" si="21"/>
        <v>14800</v>
      </c>
      <c r="L663" s="11" t="s">
        <v>76</v>
      </c>
      <c r="M663" s="11" t="s">
        <v>96</v>
      </c>
      <c r="N663">
        <v>12</v>
      </c>
      <c r="O663">
        <v>2024</v>
      </c>
      <c r="P663" s="29" t="s">
        <v>728</v>
      </c>
      <c r="Q663" t="s">
        <v>733</v>
      </c>
      <c r="R663" t="s">
        <v>738</v>
      </c>
    </row>
    <row r="664" spans="1:18" x14ac:dyDescent="0.25">
      <c r="A664" s="9">
        <v>663</v>
      </c>
      <c r="B664" s="10">
        <v>45364</v>
      </c>
      <c r="C664" s="11" t="s">
        <v>88</v>
      </c>
      <c r="D664" s="30" t="s">
        <v>703</v>
      </c>
      <c r="E664" s="11" t="s">
        <v>84</v>
      </c>
      <c r="F664" s="11" t="s">
        <v>150</v>
      </c>
      <c r="G664" s="9">
        <v>4</v>
      </c>
      <c r="H664" s="26">
        <v>5300</v>
      </c>
      <c r="I664" s="9">
        <v>0</v>
      </c>
      <c r="J664" s="9">
        <f t="shared" si="20"/>
        <v>21200</v>
      </c>
      <c r="K664" s="9">
        <f t="shared" si="21"/>
        <v>21200</v>
      </c>
      <c r="L664" s="11" t="s">
        <v>76</v>
      </c>
      <c r="M664" s="11" t="s">
        <v>96</v>
      </c>
      <c r="N664">
        <v>3</v>
      </c>
      <c r="O664">
        <v>2024</v>
      </c>
      <c r="P664" s="29" t="s">
        <v>711</v>
      </c>
      <c r="Q664" t="s">
        <v>735</v>
      </c>
      <c r="R664" t="s">
        <v>738</v>
      </c>
    </row>
    <row r="665" spans="1:18" x14ac:dyDescent="0.25">
      <c r="A665" s="6">
        <v>664</v>
      </c>
      <c r="B665" s="7">
        <v>45191</v>
      </c>
      <c r="C665" s="8" t="s">
        <v>101</v>
      </c>
      <c r="D665" s="8" t="s">
        <v>109</v>
      </c>
      <c r="E665" s="8" t="s">
        <v>111</v>
      </c>
      <c r="F665" s="8" t="s">
        <v>112</v>
      </c>
      <c r="G665" s="6">
        <v>13</v>
      </c>
      <c r="H665" s="25">
        <v>66500</v>
      </c>
      <c r="I665" s="6">
        <v>15</v>
      </c>
      <c r="J665" s="6">
        <f t="shared" si="20"/>
        <v>864500</v>
      </c>
      <c r="K665" s="6">
        <f t="shared" si="21"/>
        <v>734825</v>
      </c>
      <c r="L665" s="8" t="s">
        <v>76</v>
      </c>
      <c r="M665" s="8" t="s">
        <v>81</v>
      </c>
      <c r="N665">
        <v>9</v>
      </c>
      <c r="O665">
        <v>2023</v>
      </c>
      <c r="P665" s="29" t="s">
        <v>715</v>
      </c>
      <c r="Q665" t="s">
        <v>734</v>
      </c>
      <c r="R665" t="s">
        <v>737</v>
      </c>
    </row>
    <row r="666" spans="1:18" x14ac:dyDescent="0.25">
      <c r="A666" s="9">
        <v>665</v>
      </c>
      <c r="B666" s="10">
        <v>45430</v>
      </c>
      <c r="C666" s="11" t="s">
        <v>97</v>
      </c>
      <c r="D666" s="11" t="s">
        <v>109</v>
      </c>
      <c r="E666" s="11" t="s">
        <v>102</v>
      </c>
      <c r="F666" s="11" t="s">
        <v>151</v>
      </c>
      <c r="G666" s="9">
        <v>42</v>
      </c>
      <c r="H666" s="26">
        <v>7200</v>
      </c>
      <c r="I666" s="9">
        <v>15</v>
      </c>
      <c r="J666" s="9">
        <f t="shared" si="20"/>
        <v>302400</v>
      </c>
      <c r="K666" s="9">
        <f t="shared" si="21"/>
        <v>257040</v>
      </c>
      <c r="L666" s="11" t="s">
        <v>76</v>
      </c>
      <c r="M666" s="11" t="s">
        <v>91</v>
      </c>
      <c r="N666">
        <v>5</v>
      </c>
      <c r="O666">
        <v>2024</v>
      </c>
      <c r="P666" s="29" t="s">
        <v>732</v>
      </c>
      <c r="Q666" t="s">
        <v>736</v>
      </c>
      <c r="R666" t="s">
        <v>737</v>
      </c>
    </row>
    <row r="667" spans="1:18" x14ac:dyDescent="0.25">
      <c r="A667" s="6">
        <v>666</v>
      </c>
      <c r="B667" s="7">
        <v>45192</v>
      </c>
      <c r="C667" s="8" t="s">
        <v>97</v>
      </c>
      <c r="D667" s="8" t="s">
        <v>73</v>
      </c>
      <c r="E667" s="8" t="s">
        <v>79</v>
      </c>
      <c r="F667" s="8" t="s">
        <v>131</v>
      </c>
      <c r="G667" s="12">
        <v>17</v>
      </c>
      <c r="H667" s="25">
        <v>125100</v>
      </c>
      <c r="I667" s="6">
        <v>5</v>
      </c>
      <c r="J667" s="6">
        <f t="shared" si="20"/>
        <v>2126700</v>
      </c>
      <c r="K667" s="6">
        <f t="shared" si="21"/>
        <v>2020365</v>
      </c>
      <c r="L667" s="8" t="s">
        <v>187</v>
      </c>
      <c r="M667" s="8" t="s">
        <v>77</v>
      </c>
      <c r="N667">
        <v>9</v>
      </c>
      <c r="O667">
        <v>2023</v>
      </c>
      <c r="P667" s="29" t="s">
        <v>715</v>
      </c>
      <c r="Q667" t="s">
        <v>734</v>
      </c>
      <c r="R667" t="s">
        <v>737</v>
      </c>
    </row>
    <row r="668" spans="1:18" x14ac:dyDescent="0.25">
      <c r="A668" s="9">
        <v>667</v>
      </c>
      <c r="B668" s="10">
        <v>44963</v>
      </c>
      <c r="C668" s="11" t="s">
        <v>78</v>
      </c>
      <c r="D668" s="11" t="s">
        <v>73</v>
      </c>
      <c r="E668" s="11" t="s">
        <v>111</v>
      </c>
      <c r="F668" s="11" t="s">
        <v>135</v>
      </c>
      <c r="G668" s="9">
        <v>22</v>
      </c>
      <c r="H668" s="26">
        <v>107900</v>
      </c>
      <c r="I668" s="9">
        <v>10</v>
      </c>
      <c r="J668" s="9">
        <f t="shared" si="20"/>
        <v>2373800</v>
      </c>
      <c r="K668" s="9">
        <f t="shared" si="21"/>
        <v>2136420</v>
      </c>
      <c r="L668" s="11" t="s">
        <v>107</v>
      </c>
      <c r="M668" s="11" t="s">
        <v>77</v>
      </c>
      <c r="N668">
        <v>2</v>
      </c>
      <c r="O668">
        <v>2023</v>
      </c>
      <c r="P668" s="29" t="s">
        <v>717</v>
      </c>
      <c r="Q668" t="s">
        <v>735</v>
      </c>
      <c r="R668" t="s">
        <v>737</v>
      </c>
    </row>
    <row r="669" spans="1:18" x14ac:dyDescent="0.25">
      <c r="A669" s="6">
        <v>668</v>
      </c>
      <c r="B669" s="7">
        <v>45651</v>
      </c>
      <c r="C669" s="8" t="s">
        <v>119</v>
      </c>
      <c r="D669" s="8" t="s">
        <v>83</v>
      </c>
      <c r="E669" s="8" t="s">
        <v>111</v>
      </c>
      <c r="F669" s="8" t="s">
        <v>165</v>
      </c>
      <c r="G669" s="6">
        <v>50</v>
      </c>
      <c r="H669" s="25">
        <v>20000</v>
      </c>
      <c r="I669" s="6">
        <v>10</v>
      </c>
      <c r="J669" s="6">
        <f t="shared" si="20"/>
        <v>1000000</v>
      </c>
      <c r="K669" s="6">
        <f t="shared" si="21"/>
        <v>900000</v>
      </c>
      <c r="L669" s="8" t="s">
        <v>187</v>
      </c>
      <c r="M669" s="8" t="s">
        <v>77</v>
      </c>
      <c r="N669">
        <v>12</v>
      </c>
      <c r="O669">
        <v>2024</v>
      </c>
      <c r="P669" s="29" t="s">
        <v>728</v>
      </c>
      <c r="Q669" t="s">
        <v>733</v>
      </c>
      <c r="R669" t="s">
        <v>737</v>
      </c>
    </row>
    <row r="670" spans="1:18" x14ac:dyDescent="0.25">
      <c r="A670" s="9">
        <v>669</v>
      </c>
      <c r="B670" s="10">
        <v>45158</v>
      </c>
      <c r="C670" s="11" t="s">
        <v>78</v>
      </c>
      <c r="D670" s="11" t="s">
        <v>83</v>
      </c>
      <c r="E670" s="11" t="s">
        <v>111</v>
      </c>
      <c r="F670" s="11" t="s">
        <v>112</v>
      </c>
      <c r="G670" s="9">
        <v>23</v>
      </c>
      <c r="H670" s="26">
        <v>67700</v>
      </c>
      <c r="I670" s="9">
        <v>5</v>
      </c>
      <c r="J670" s="9">
        <f t="shared" si="20"/>
        <v>1557100</v>
      </c>
      <c r="K670" s="9">
        <f t="shared" si="21"/>
        <v>1479245</v>
      </c>
      <c r="L670" s="11" t="s">
        <v>76</v>
      </c>
      <c r="M670" s="11" t="s">
        <v>96</v>
      </c>
      <c r="N670">
        <v>8</v>
      </c>
      <c r="O670">
        <v>2023</v>
      </c>
      <c r="P670" s="29" t="s">
        <v>713</v>
      </c>
      <c r="Q670" t="s">
        <v>734</v>
      </c>
      <c r="R670" t="s">
        <v>737</v>
      </c>
    </row>
    <row r="671" spans="1:18" x14ac:dyDescent="0.25">
      <c r="A671" s="6">
        <v>670</v>
      </c>
      <c r="B671" s="7">
        <v>44983</v>
      </c>
      <c r="C671" s="8" t="s">
        <v>97</v>
      </c>
      <c r="D671" s="8" t="s">
        <v>117</v>
      </c>
      <c r="E671" s="8" t="s">
        <v>102</v>
      </c>
      <c r="F671" s="8" t="s">
        <v>157</v>
      </c>
      <c r="G671" s="6">
        <v>30</v>
      </c>
      <c r="H671" s="25">
        <v>11000</v>
      </c>
      <c r="I671" s="6">
        <v>15</v>
      </c>
      <c r="J671" s="6">
        <f t="shared" si="20"/>
        <v>330000</v>
      </c>
      <c r="K671" s="6">
        <f t="shared" si="21"/>
        <v>280500</v>
      </c>
      <c r="L671" s="8" t="s">
        <v>187</v>
      </c>
      <c r="M671" s="8" t="s">
        <v>96</v>
      </c>
      <c r="N671">
        <v>2</v>
      </c>
      <c r="O671">
        <v>2023</v>
      </c>
      <c r="P671" s="29" t="s">
        <v>717</v>
      </c>
      <c r="Q671" t="s">
        <v>735</v>
      </c>
      <c r="R671" t="s">
        <v>737</v>
      </c>
    </row>
    <row r="672" spans="1:18" x14ac:dyDescent="0.25">
      <c r="A672" s="9">
        <v>671</v>
      </c>
      <c r="B672" s="10">
        <v>45134</v>
      </c>
      <c r="C672" s="11" t="s">
        <v>108</v>
      </c>
      <c r="D672" s="11" t="s">
        <v>93</v>
      </c>
      <c r="E672" s="11" t="s">
        <v>79</v>
      </c>
      <c r="F672" s="11" t="s">
        <v>115</v>
      </c>
      <c r="G672" s="9">
        <v>20</v>
      </c>
      <c r="H672" s="26">
        <v>9600</v>
      </c>
      <c r="I672" s="9">
        <v>15</v>
      </c>
      <c r="J672" s="9">
        <f t="shared" si="20"/>
        <v>192000</v>
      </c>
      <c r="K672" s="9">
        <f t="shared" si="21"/>
        <v>163200</v>
      </c>
      <c r="L672" s="11" t="s">
        <v>187</v>
      </c>
      <c r="M672" s="11" t="s">
        <v>77</v>
      </c>
      <c r="N672">
        <v>7</v>
      </c>
      <c r="O672">
        <v>2023</v>
      </c>
      <c r="P672" s="29" t="s">
        <v>724</v>
      </c>
      <c r="Q672" t="s">
        <v>734</v>
      </c>
      <c r="R672" t="s">
        <v>739</v>
      </c>
    </row>
    <row r="673" spans="1:18" x14ac:dyDescent="0.25">
      <c r="A673" s="6">
        <v>672</v>
      </c>
      <c r="B673" s="7">
        <v>45455</v>
      </c>
      <c r="C673" s="8" t="s">
        <v>88</v>
      </c>
      <c r="D673" s="8" t="s">
        <v>83</v>
      </c>
      <c r="E673" s="8" t="s">
        <v>79</v>
      </c>
      <c r="F673" s="8" t="s">
        <v>172</v>
      </c>
      <c r="G673" s="6">
        <v>9</v>
      </c>
      <c r="H673" s="25">
        <v>27100</v>
      </c>
      <c r="I673" s="6">
        <v>15</v>
      </c>
      <c r="J673" s="6">
        <f t="shared" si="20"/>
        <v>243900</v>
      </c>
      <c r="K673" s="6">
        <f t="shared" si="21"/>
        <v>207315</v>
      </c>
      <c r="L673" s="8" t="s">
        <v>76</v>
      </c>
      <c r="M673" s="8" t="s">
        <v>77</v>
      </c>
      <c r="N673">
        <v>6</v>
      </c>
      <c r="O673">
        <v>2024</v>
      </c>
      <c r="P673" s="29" t="s">
        <v>720</v>
      </c>
      <c r="Q673" t="s">
        <v>736</v>
      </c>
      <c r="R673" t="s">
        <v>737</v>
      </c>
    </row>
    <row r="674" spans="1:18" x14ac:dyDescent="0.25">
      <c r="A674" s="9">
        <v>673</v>
      </c>
      <c r="B674" s="10">
        <v>45534</v>
      </c>
      <c r="C674" s="11" t="s">
        <v>106</v>
      </c>
      <c r="D674" s="11" t="s">
        <v>83</v>
      </c>
      <c r="E674" s="11" t="s">
        <v>111</v>
      </c>
      <c r="F674" s="11" t="s">
        <v>112</v>
      </c>
      <c r="G674" s="9">
        <v>42</v>
      </c>
      <c r="H674" s="26">
        <v>71400</v>
      </c>
      <c r="I674" s="9">
        <v>0</v>
      </c>
      <c r="J674" s="9">
        <f t="shared" si="20"/>
        <v>2998800</v>
      </c>
      <c r="K674" s="9">
        <f t="shared" si="21"/>
        <v>2998800</v>
      </c>
      <c r="L674" s="11" t="s">
        <v>76</v>
      </c>
      <c r="M674" s="11" t="s">
        <v>91</v>
      </c>
      <c r="N674">
        <v>8</v>
      </c>
      <c r="O674">
        <v>2024</v>
      </c>
      <c r="P674" s="29" t="s">
        <v>710</v>
      </c>
      <c r="Q674" t="s">
        <v>734</v>
      </c>
      <c r="R674" t="s">
        <v>737</v>
      </c>
    </row>
    <row r="675" spans="1:18" x14ac:dyDescent="0.25">
      <c r="A675" s="6">
        <v>674</v>
      </c>
      <c r="B675" s="7">
        <v>45109</v>
      </c>
      <c r="C675" s="8" t="s">
        <v>88</v>
      </c>
      <c r="D675" s="30" t="s">
        <v>703</v>
      </c>
      <c r="E675" s="8" t="s">
        <v>74</v>
      </c>
      <c r="F675" s="8" t="s">
        <v>94</v>
      </c>
      <c r="G675" s="6">
        <v>14</v>
      </c>
      <c r="H675" s="25">
        <v>35000</v>
      </c>
      <c r="I675" s="6">
        <v>15</v>
      </c>
      <c r="J675" s="6">
        <f t="shared" si="20"/>
        <v>490000</v>
      </c>
      <c r="K675" s="6">
        <f t="shared" si="21"/>
        <v>416500</v>
      </c>
      <c r="L675" s="8" t="s">
        <v>187</v>
      </c>
      <c r="M675" s="8" t="s">
        <v>91</v>
      </c>
      <c r="N675">
        <v>7</v>
      </c>
      <c r="O675">
        <v>2023</v>
      </c>
      <c r="P675" s="29" t="s">
        <v>724</v>
      </c>
      <c r="Q675" t="s">
        <v>734</v>
      </c>
      <c r="R675" t="s">
        <v>737</v>
      </c>
    </row>
    <row r="676" spans="1:18" x14ac:dyDescent="0.25">
      <c r="A676" s="9">
        <v>675</v>
      </c>
      <c r="B676" s="10">
        <v>45358</v>
      </c>
      <c r="C676" s="11" t="s">
        <v>108</v>
      </c>
      <c r="D676" s="11" t="s">
        <v>93</v>
      </c>
      <c r="E676" s="11" t="s">
        <v>84</v>
      </c>
      <c r="F676" s="11" t="s">
        <v>150</v>
      </c>
      <c r="G676" s="9">
        <v>10</v>
      </c>
      <c r="H676" s="26">
        <v>5000</v>
      </c>
      <c r="I676" s="9">
        <v>5</v>
      </c>
      <c r="J676" s="9">
        <f t="shared" si="20"/>
        <v>50000</v>
      </c>
      <c r="K676" s="9">
        <f t="shared" si="21"/>
        <v>47500</v>
      </c>
      <c r="L676" s="11" t="s">
        <v>76</v>
      </c>
      <c r="M676" s="11" t="s">
        <v>77</v>
      </c>
      <c r="N676">
        <v>3</v>
      </c>
      <c r="O676">
        <v>2024</v>
      </c>
      <c r="P676" s="29" t="s">
        <v>711</v>
      </c>
      <c r="Q676" t="s">
        <v>735</v>
      </c>
      <c r="R676" t="s">
        <v>738</v>
      </c>
    </row>
    <row r="677" spans="1:18" x14ac:dyDescent="0.25">
      <c r="A677" s="6">
        <v>676</v>
      </c>
      <c r="B677" s="7">
        <v>45560</v>
      </c>
      <c r="C677" s="8" t="s">
        <v>78</v>
      </c>
      <c r="D677" s="8" t="s">
        <v>109</v>
      </c>
      <c r="E677" s="8" t="s">
        <v>84</v>
      </c>
      <c r="F677" s="8" t="s">
        <v>206</v>
      </c>
      <c r="G677" s="6">
        <v>4</v>
      </c>
      <c r="H677" s="25">
        <v>13200</v>
      </c>
      <c r="I677" s="6">
        <v>5</v>
      </c>
      <c r="J677" s="6">
        <f t="shared" si="20"/>
        <v>52800</v>
      </c>
      <c r="K677" s="6">
        <f t="shared" si="21"/>
        <v>50160</v>
      </c>
      <c r="L677" s="8" t="s">
        <v>107</v>
      </c>
      <c r="M677" s="8" t="s">
        <v>77</v>
      </c>
      <c r="N677">
        <v>9</v>
      </c>
      <c r="O677">
        <v>2024</v>
      </c>
      <c r="P677" s="29" t="s">
        <v>731</v>
      </c>
      <c r="Q677" t="s">
        <v>734</v>
      </c>
      <c r="R677" t="s">
        <v>739</v>
      </c>
    </row>
    <row r="678" spans="1:18" x14ac:dyDescent="0.25">
      <c r="A678" s="9">
        <v>677</v>
      </c>
      <c r="B678" s="10">
        <v>45552</v>
      </c>
      <c r="C678" s="11" t="s">
        <v>108</v>
      </c>
      <c r="D678" s="11" t="s">
        <v>93</v>
      </c>
      <c r="E678" s="11" t="s">
        <v>79</v>
      </c>
      <c r="F678" s="11" t="s">
        <v>131</v>
      </c>
      <c r="G678" s="9">
        <v>39</v>
      </c>
      <c r="H678" s="26">
        <v>111400</v>
      </c>
      <c r="I678" s="9">
        <v>0</v>
      </c>
      <c r="J678" s="9">
        <f t="shared" si="20"/>
        <v>4344600</v>
      </c>
      <c r="K678" s="9">
        <f t="shared" si="21"/>
        <v>4344600</v>
      </c>
      <c r="L678" s="11" t="s">
        <v>187</v>
      </c>
      <c r="M678" s="11" t="s">
        <v>81</v>
      </c>
      <c r="N678">
        <v>9</v>
      </c>
      <c r="O678">
        <v>2024</v>
      </c>
      <c r="P678" s="29" t="s">
        <v>731</v>
      </c>
      <c r="Q678" t="s">
        <v>734</v>
      </c>
      <c r="R678" t="s">
        <v>737</v>
      </c>
    </row>
    <row r="679" spans="1:18" x14ac:dyDescent="0.25">
      <c r="A679" s="6">
        <v>678</v>
      </c>
      <c r="B679" s="7">
        <v>45134</v>
      </c>
      <c r="C679" s="8" t="s">
        <v>114</v>
      </c>
      <c r="D679" s="30" t="s">
        <v>703</v>
      </c>
      <c r="E679" s="8" t="s">
        <v>111</v>
      </c>
      <c r="F679" s="8" t="s">
        <v>132</v>
      </c>
      <c r="G679" s="6">
        <v>44</v>
      </c>
      <c r="H679" s="25">
        <v>7000</v>
      </c>
      <c r="I679" s="6">
        <v>0</v>
      </c>
      <c r="J679" s="6">
        <f t="shared" si="20"/>
        <v>308000</v>
      </c>
      <c r="K679" s="6">
        <f t="shared" si="21"/>
        <v>308000</v>
      </c>
      <c r="L679" s="8" t="s">
        <v>76</v>
      </c>
      <c r="M679" s="8" t="s">
        <v>81</v>
      </c>
      <c r="N679">
        <v>7</v>
      </c>
      <c r="O679">
        <v>2023</v>
      </c>
      <c r="P679" s="29" t="s">
        <v>724</v>
      </c>
      <c r="Q679" t="s">
        <v>734</v>
      </c>
      <c r="R679" t="s">
        <v>737</v>
      </c>
    </row>
    <row r="680" spans="1:18" x14ac:dyDescent="0.25">
      <c r="A680" s="9">
        <v>679</v>
      </c>
      <c r="B680" s="10">
        <v>45115</v>
      </c>
      <c r="C680" s="11" t="s">
        <v>78</v>
      </c>
      <c r="D680" s="11" t="s">
        <v>93</v>
      </c>
      <c r="E680" s="11" t="s">
        <v>84</v>
      </c>
      <c r="F680" s="11" t="s">
        <v>200</v>
      </c>
      <c r="G680" s="9">
        <v>18</v>
      </c>
      <c r="H680" s="26">
        <v>2900</v>
      </c>
      <c r="I680" s="9">
        <v>0</v>
      </c>
      <c r="J680" s="9">
        <f t="shared" si="20"/>
        <v>52200</v>
      </c>
      <c r="K680" s="9">
        <f t="shared" si="21"/>
        <v>52200</v>
      </c>
      <c r="L680" s="11" t="s">
        <v>76</v>
      </c>
      <c r="M680" s="11" t="s">
        <v>91</v>
      </c>
      <c r="N680">
        <v>7</v>
      </c>
      <c r="O680">
        <v>2023</v>
      </c>
      <c r="P680" s="29" t="s">
        <v>724</v>
      </c>
      <c r="Q680" t="s">
        <v>734</v>
      </c>
      <c r="R680" t="s">
        <v>739</v>
      </c>
    </row>
    <row r="681" spans="1:18" x14ac:dyDescent="0.25">
      <c r="A681" s="6">
        <v>680</v>
      </c>
      <c r="B681" s="7">
        <v>45640</v>
      </c>
      <c r="C681" s="8" t="s">
        <v>88</v>
      </c>
      <c r="D681" s="8" t="s">
        <v>93</v>
      </c>
      <c r="E681" s="8" t="s">
        <v>84</v>
      </c>
      <c r="F681" s="8" t="s">
        <v>85</v>
      </c>
      <c r="G681" s="6">
        <v>38</v>
      </c>
      <c r="H681" s="25">
        <v>5200</v>
      </c>
      <c r="I681" s="6">
        <v>20</v>
      </c>
      <c r="J681" s="6">
        <f t="shared" si="20"/>
        <v>197600</v>
      </c>
      <c r="K681" s="6">
        <f t="shared" si="21"/>
        <v>158080</v>
      </c>
      <c r="L681" s="8" t="s">
        <v>76</v>
      </c>
      <c r="M681" s="8" t="s">
        <v>77</v>
      </c>
      <c r="N681">
        <v>12</v>
      </c>
      <c r="O681">
        <v>2024</v>
      </c>
      <c r="P681" s="29" t="s">
        <v>728</v>
      </c>
      <c r="Q681" t="s">
        <v>733</v>
      </c>
      <c r="R681" t="s">
        <v>739</v>
      </c>
    </row>
    <row r="682" spans="1:18" x14ac:dyDescent="0.25">
      <c r="A682" s="9">
        <v>681</v>
      </c>
      <c r="B682" s="10">
        <v>45545</v>
      </c>
      <c r="C682" s="11" t="s">
        <v>124</v>
      </c>
      <c r="D682" s="11" t="s">
        <v>83</v>
      </c>
      <c r="E682" s="11" t="s">
        <v>84</v>
      </c>
      <c r="F682" s="11" t="s">
        <v>206</v>
      </c>
      <c r="G682" s="9">
        <v>6</v>
      </c>
      <c r="H682" s="26">
        <v>15700</v>
      </c>
      <c r="I682" s="9">
        <v>0</v>
      </c>
      <c r="J682" s="9">
        <f t="shared" si="20"/>
        <v>94200</v>
      </c>
      <c r="K682" s="9">
        <f t="shared" si="21"/>
        <v>94200</v>
      </c>
      <c r="L682" s="11" t="s">
        <v>76</v>
      </c>
      <c r="M682" s="11" t="s">
        <v>81</v>
      </c>
      <c r="N682">
        <v>9</v>
      </c>
      <c r="O682">
        <v>2024</v>
      </c>
      <c r="P682" s="29" t="s">
        <v>731</v>
      </c>
      <c r="Q682" t="s">
        <v>734</v>
      </c>
      <c r="R682" t="s">
        <v>739</v>
      </c>
    </row>
    <row r="683" spans="1:18" x14ac:dyDescent="0.25">
      <c r="A683" s="6">
        <v>682</v>
      </c>
      <c r="B683" s="7">
        <v>45650</v>
      </c>
      <c r="C683" s="8" t="s">
        <v>124</v>
      </c>
      <c r="D683" s="8" t="s">
        <v>117</v>
      </c>
      <c r="E683" s="8" t="s">
        <v>111</v>
      </c>
      <c r="F683" s="8" t="s">
        <v>159</v>
      </c>
      <c r="G683" s="6">
        <v>14</v>
      </c>
      <c r="H683" s="25">
        <v>12900</v>
      </c>
      <c r="I683" s="6">
        <v>10</v>
      </c>
      <c r="J683" s="6">
        <f t="shared" si="20"/>
        <v>180600</v>
      </c>
      <c r="K683" s="6">
        <f t="shared" si="21"/>
        <v>162540</v>
      </c>
      <c r="L683" s="8" t="s">
        <v>76</v>
      </c>
      <c r="M683" s="8" t="s">
        <v>96</v>
      </c>
      <c r="N683">
        <v>12</v>
      </c>
      <c r="O683">
        <v>2024</v>
      </c>
      <c r="P683" s="29" t="s">
        <v>728</v>
      </c>
      <c r="Q683" t="s">
        <v>733</v>
      </c>
      <c r="R683" t="s">
        <v>739</v>
      </c>
    </row>
    <row r="684" spans="1:18" x14ac:dyDescent="0.25">
      <c r="A684" s="9">
        <v>683</v>
      </c>
      <c r="B684" s="10">
        <v>45447</v>
      </c>
      <c r="C684" s="11" t="s">
        <v>114</v>
      </c>
      <c r="D684" s="11" t="s">
        <v>109</v>
      </c>
      <c r="E684" s="11" t="s">
        <v>84</v>
      </c>
      <c r="F684" s="11" t="s">
        <v>206</v>
      </c>
      <c r="G684" s="9">
        <v>46</v>
      </c>
      <c r="H684" s="26">
        <v>14700</v>
      </c>
      <c r="I684" s="9">
        <v>15</v>
      </c>
      <c r="J684" s="9">
        <f t="shared" si="20"/>
        <v>676200</v>
      </c>
      <c r="K684" s="9">
        <f t="shared" si="21"/>
        <v>574770</v>
      </c>
      <c r="L684" s="11" t="s">
        <v>76</v>
      </c>
      <c r="M684" s="11" t="s">
        <v>77</v>
      </c>
      <c r="N684">
        <v>6</v>
      </c>
      <c r="O684">
        <v>2024</v>
      </c>
      <c r="P684" s="29" t="s">
        <v>720</v>
      </c>
      <c r="Q684" t="s">
        <v>736</v>
      </c>
      <c r="R684" t="s">
        <v>737</v>
      </c>
    </row>
    <row r="685" spans="1:18" x14ac:dyDescent="0.25">
      <c r="A685" s="6">
        <v>684</v>
      </c>
      <c r="B685" s="7">
        <v>45235</v>
      </c>
      <c r="C685" s="8" t="s">
        <v>88</v>
      </c>
      <c r="D685" s="8" t="s">
        <v>83</v>
      </c>
      <c r="E685" s="8" t="s">
        <v>79</v>
      </c>
      <c r="F685" s="8" t="s">
        <v>80</v>
      </c>
      <c r="G685" s="6">
        <v>34</v>
      </c>
      <c r="H685" s="25">
        <v>8100</v>
      </c>
      <c r="I685" s="6">
        <v>20</v>
      </c>
      <c r="J685" s="6">
        <f t="shared" si="20"/>
        <v>275400</v>
      </c>
      <c r="K685" s="6">
        <f t="shared" si="21"/>
        <v>220320</v>
      </c>
      <c r="L685" s="8" t="s">
        <v>123</v>
      </c>
      <c r="M685" s="8" t="s">
        <v>96</v>
      </c>
      <c r="N685">
        <v>11</v>
      </c>
      <c r="O685">
        <v>2023</v>
      </c>
      <c r="P685" s="29" t="s">
        <v>718</v>
      </c>
      <c r="Q685" t="s">
        <v>733</v>
      </c>
      <c r="R685" t="s">
        <v>737</v>
      </c>
    </row>
    <row r="686" spans="1:18" x14ac:dyDescent="0.25">
      <c r="A686" s="9">
        <v>685</v>
      </c>
      <c r="B686" s="10">
        <v>45450</v>
      </c>
      <c r="C686" s="11" t="s">
        <v>82</v>
      </c>
      <c r="D686" s="11" t="s">
        <v>109</v>
      </c>
      <c r="E686" s="11" t="s">
        <v>111</v>
      </c>
      <c r="F686" s="11" t="s">
        <v>156</v>
      </c>
      <c r="G686" s="9">
        <v>13</v>
      </c>
      <c r="H686" s="26">
        <v>40700</v>
      </c>
      <c r="I686" s="9">
        <v>15</v>
      </c>
      <c r="J686" s="9">
        <f t="shared" si="20"/>
        <v>529100</v>
      </c>
      <c r="K686" s="9">
        <f t="shared" si="21"/>
        <v>449735</v>
      </c>
      <c r="L686" s="11" t="s">
        <v>76</v>
      </c>
      <c r="M686" s="11" t="s">
        <v>81</v>
      </c>
      <c r="N686">
        <v>6</v>
      </c>
      <c r="O686">
        <v>2024</v>
      </c>
      <c r="P686" s="29" t="s">
        <v>720</v>
      </c>
      <c r="Q686" t="s">
        <v>736</v>
      </c>
      <c r="R686" t="s">
        <v>737</v>
      </c>
    </row>
    <row r="687" spans="1:18" x14ac:dyDescent="0.25">
      <c r="A687" s="6">
        <v>686</v>
      </c>
      <c r="B687" s="7">
        <v>45412</v>
      </c>
      <c r="C687" s="8" t="s">
        <v>119</v>
      </c>
      <c r="D687" s="8" t="s">
        <v>109</v>
      </c>
      <c r="E687" s="8" t="s">
        <v>84</v>
      </c>
      <c r="F687" s="8" t="s">
        <v>206</v>
      </c>
      <c r="G687" s="6">
        <v>24</v>
      </c>
      <c r="H687" s="25">
        <v>12800</v>
      </c>
      <c r="I687" s="6">
        <v>0</v>
      </c>
      <c r="J687" s="6">
        <f t="shared" si="20"/>
        <v>307200</v>
      </c>
      <c r="K687" s="6">
        <f t="shared" si="21"/>
        <v>307200</v>
      </c>
      <c r="L687" s="8" t="s">
        <v>76</v>
      </c>
      <c r="M687" s="8" t="s">
        <v>91</v>
      </c>
      <c r="N687">
        <v>4</v>
      </c>
      <c r="O687">
        <v>2024</v>
      </c>
      <c r="P687" s="29" t="s">
        <v>722</v>
      </c>
      <c r="Q687" t="s">
        <v>736</v>
      </c>
      <c r="R687" t="s">
        <v>737</v>
      </c>
    </row>
    <row r="688" spans="1:18" x14ac:dyDescent="0.25">
      <c r="A688" s="9">
        <v>687</v>
      </c>
      <c r="B688" s="10">
        <v>45181</v>
      </c>
      <c r="C688" s="11" t="s">
        <v>124</v>
      </c>
      <c r="D688" s="11" t="s">
        <v>83</v>
      </c>
      <c r="E688" s="11" t="s">
        <v>79</v>
      </c>
      <c r="F688" s="11" t="s">
        <v>131</v>
      </c>
      <c r="G688" s="9">
        <v>35</v>
      </c>
      <c r="H688" s="26">
        <v>130200</v>
      </c>
      <c r="I688" s="9">
        <v>5</v>
      </c>
      <c r="J688" s="9">
        <f t="shared" si="20"/>
        <v>4557000</v>
      </c>
      <c r="K688" s="9">
        <f t="shared" si="21"/>
        <v>4329150</v>
      </c>
      <c r="L688" s="11" t="s">
        <v>76</v>
      </c>
      <c r="M688" s="11" t="s">
        <v>77</v>
      </c>
      <c r="N688">
        <v>9</v>
      </c>
      <c r="O688">
        <v>2023</v>
      </c>
      <c r="P688" s="29" t="s">
        <v>715</v>
      </c>
      <c r="Q688" t="s">
        <v>734</v>
      </c>
      <c r="R688" t="s">
        <v>737</v>
      </c>
    </row>
    <row r="689" spans="1:18" x14ac:dyDescent="0.25">
      <c r="A689" s="6">
        <v>688</v>
      </c>
      <c r="B689" s="7">
        <v>45602</v>
      </c>
      <c r="C689" s="8" t="s">
        <v>97</v>
      </c>
      <c r="D689" s="8" t="s">
        <v>73</v>
      </c>
      <c r="E689" s="8" t="s">
        <v>84</v>
      </c>
      <c r="F689" s="8" t="s">
        <v>85</v>
      </c>
      <c r="G689" s="6">
        <v>21</v>
      </c>
      <c r="H689" s="25">
        <v>5700</v>
      </c>
      <c r="I689" s="6">
        <v>0</v>
      </c>
      <c r="J689" s="6">
        <f t="shared" si="20"/>
        <v>119700</v>
      </c>
      <c r="K689" s="6">
        <f t="shared" si="21"/>
        <v>119700</v>
      </c>
      <c r="L689" s="8" t="s">
        <v>76</v>
      </c>
      <c r="M689" s="8" t="s">
        <v>96</v>
      </c>
      <c r="N689">
        <v>11</v>
      </c>
      <c r="O689">
        <v>2024</v>
      </c>
      <c r="P689" s="29" t="s">
        <v>714</v>
      </c>
      <c r="Q689" t="s">
        <v>733</v>
      </c>
      <c r="R689" t="s">
        <v>739</v>
      </c>
    </row>
    <row r="690" spans="1:18" x14ac:dyDescent="0.25">
      <c r="A690" s="9">
        <v>689</v>
      </c>
      <c r="B690" s="10">
        <v>45039</v>
      </c>
      <c r="C690" s="11" t="s">
        <v>88</v>
      </c>
      <c r="D690" s="11" t="s">
        <v>109</v>
      </c>
      <c r="E690" s="11" t="s">
        <v>79</v>
      </c>
      <c r="F690" s="11" t="s">
        <v>80</v>
      </c>
      <c r="G690" s="9">
        <v>13</v>
      </c>
      <c r="H690" s="26">
        <v>9200</v>
      </c>
      <c r="I690" s="9">
        <v>0</v>
      </c>
      <c r="J690" s="9">
        <f t="shared" si="20"/>
        <v>119600</v>
      </c>
      <c r="K690" s="9">
        <f t="shared" si="21"/>
        <v>119600</v>
      </c>
      <c r="L690" s="11" t="s">
        <v>76</v>
      </c>
      <c r="M690" s="11" t="s">
        <v>81</v>
      </c>
      <c r="N690">
        <v>4</v>
      </c>
      <c r="O690">
        <v>2023</v>
      </c>
      <c r="P690" s="29" t="s">
        <v>716</v>
      </c>
      <c r="Q690" t="s">
        <v>736</v>
      </c>
      <c r="R690" t="s">
        <v>739</v>
      </c>
    </row>
    <row r="691" spans="1:18" x14ac:dyDescent="0.25">
      <c r="A691" s="6">
        <v>690</v>
      </c>
      <c r="B691" s="7">
        <v>45409</v>
      </c>
      <c r="C691" s="8" t="s">
        <v>124</v>
      </c>
      <c r="D691" s="30" t="s">
        <v>703</v>
      </c>
      <c r="E691" s="8" t="s">
        <v>79</v>
      </c>
      <c r="F691" s="8" t="s">
        <v>115</v>
      </c>
      <c r="G691" s="6">
        <v>40</v>
      </c>
      <c r="H691" s="25">
        <v>8400</v>
      </c>
      <c r="I691" s="6">
        <v>0</v>
      </c>
      <c r="J691" s="6">
        <f t="shared" si="20"/>
        <v>336000</v>
      </c>
      <c r="K691" s="6">
        <f t="shared" si="21"/>
        <v>336000</v>
      </c>
      <c r="L691" s="8" t="s">
        <v>76</v>
      </c>
      <c r="M691" s="8" t="s">
        <v>91</v>
      </c>
      <c r="N691">
        <v>4</v>
      </c>
      <c r="O691">
        <v>2024</v>
      </c>
      <c r="P691" s="29" t="s">
        <v>722</v>
      </c>
      <c r="Q691" t="s">
        <v>736</v>
      </c>
      <c r="R691" t="s">
        <v>737</v>
      </c>
    </row>
    <row r="692" spans="1:18" x14ac:dyDescent="0.25">
      <c r="A692" s="9">
        <v>691</v>
      </c>
      <c r="B692" s="10">
        <v>45066</v>
      </c>
      <c r="C692" s="11" t="s">
        <v>119</v>
      </c>
      <c r="D692" s="11" t="s">
        <v>109</v>
      </c>
      <c r="E692" s="11" t="s">
        <v>74</v>
      </c>
      <c r="F692" s="11" t="s">
        <v>190</v>
      </c>
      <c r="G692" s="9">
        <v>9</v>
      </c>
      <c r="H692" s="26">
        <v>30400</v>
      </c>
      <c r="I692" s="9">
        <v>0</v>
      </c>
      <c r="J692" s="9">
        <f t="shared" si="20"/>
        <v>273600</v>
      </c>
      <c r="K692" s="9">
        <f t="shared" si="21"/>
        <v>273600</v>
      </c>
      <c r="L692" s="11" t="s">
        <v>76</v>
      </c>
      <c r="M692" s="11" t="s">
        <v>77</v>
      </c>
      <c r="N692">
        <v>5</v>
      </c>
      <c r="O692">
        <v>2023</v>
      </c>
      <c r="P692" s="29" t="s">
        <v>730</v>
      </c>
      <c r="Q692" t="s">
        <v>736</v>
      </c>
      <c r="R692" t="s">
        <v>737</v>
      </c>
    </row>
    <row r="693" spans="1:18" x14ac:dyDescent="0.25">
      <c r="A693" s="6">
        <v>692</v>
      </c>
      <c r="B693" s="7">
        <v>45066</v>
      </c>
      <c r="C693" s="8" t="s">
        <v>97</v>
      </c>
      <c r="D693" s="8" t="s">
        <v>83</v>
      </c>
      <c r="E693" s="8" t="s">
        <v>111</v>
      </c>
      <c r="F693" s="8" t="s">
        <v>165</v>
      </c>
      <c r="G693" s="6">
        <v>22</v>
      </c>
      <c r="H693" s="25">
        <v>17000</v>
      </c>
      <c r="I693" s="6">
        <v>10</v>
      </c>
      <c r="J693" s="6">
        <f t="shared" si="20"/>
        <v>374000</v>
      </c>
      <c r="K693" s="6">
        <f t="shared" si="21"/>
        <v>336600</v>
      </c>
      <c r="L693" s="8" t="s">
        <v>76</v>
      </c>
      <c r="M693" s="8" t="s">
        <v>96</v>
      </c>
      <c r="N693">
        <v>5</v>
      </c>
      <c r="O693">
        <v>2023</v>
      </c>
      <c r="P693" s="29" t="s">
        <v>730</v>
      </c>
      <c r="Q693" t="s">
        <v>736</v>
      </c>
      <c r="R693" t="s">
        <v>737</v>
      </c>
    </row>
    <row r="694" spans="1:18" x14ac:dyDescent="0.25">
      <c r="A694" s="9">
        <v>693</v>
      </c>
      <c r="B694" s="10">
        <v>45205</v>
      </c>
      <c r="C694" s="11" t="s">
        <v>124</v>
      </c>
      <c r="D694" s="11" t="s">
        <v>109</v>
      </c>
      <c r="E694" s="11" t="s">
        <v>102</v>
      </c>
      <c r="F694" s="11" t="s">
        <v>181</v>
      </c>
      <c r="G694" s="9">
        <v>34</v>
      </c>
      <c r="H694" s="26">
        <v>4100</v>
      </c>
      <c r="I694" s="9">
        <v>10</v>
      </c>
      <c r="J694" s="9">
        <f t="shared" si="20"/>
        <v>139400</v>
      </c>
      <c r="K694" s="9">
        <f t="shared" si="21"/>
        <v>125460</v>
      </c>
      <c r="L694" s="11" t="s">
        <v>76</v>
      </c>
      <c r="M694" s="11" t="s">
        <v>81</v>
      </c>
      <c r="N694">
        <v>10</v>
      </c>
      <c r="O694">
        <v>2023</v>
      </c>
      <c r="P694" s="29" t="s">
        <v>726</v>
      </c>
      <c r="Q694" t="s">
        <v>733</v>
      </c>
      <c r="R694" t="s">
        <v>739</v>
      </c>
    </row>
    <row r="695" spans="1:18" x14ac:dyDescent="0.25">
      <c r="A695" s="6">
        <v>694</v>
      </c>
      <c r="B695" s="7">
        <v>45411</v>
      </c>
      <c r="C695" s="8" t="s">
        <v>119</v>
      </c>
      <c r="D695" s="8" t="s">
        <v>117</v>
      </c>
      <c r="E695" s="8" t="s">
        <v>79</v>
      </c>
      <c r="F695" s="8" t="s">
        <v>115</v>
      </c>
      <c r="G695" s="6">
        <v>16</v>
      </c>
      <c r="H695" s="25">
        <v>9800</v>
      </c>
      <c r="I695" s="6">
        <v>10</v>
      </c>
      <c r="J695" s="6">
        <f t="shared" si="20"/>
        <v>156800</v>
      </c>
      <c r="K695" s="6">
        <f t="shared" si="21"/>
        <v>141120</v>
      </c>
      <c r="L695" s="8" t="s">
        <v>76</v>
      </c>
      <c r="M695" s="8" t="s">
        <v>91</v>
      </c>
      <c r="N695">
        <v>4</v>
      </c>
      <c r="O695">
        <v>2024</v>
      </c>
      <c r="P695" s="29" t="s">
        <v>722</v>
      </c>
      <c r="Q695" t="s">
        <v>736</v>
      </c>
      <c r="R695" t="s">
        <v>739</v>
      </c>
    </row>
    <row r="696" spans="1:18" x14ac:dyDescent="0.25">
      <c r="A696" s="9">
        <v>695</v>
      </c>
      <c r="B696" s="10">
        <v>45154</v>
      </c>
      <c r="C696" s="11" t="s">
        <v>124</v>
      </c>
      <c r="D696" s="11" t="s">
        <v>109</v>
      </c>
      <c r="E696" s="11" t="s">
        <v>102</v>
      </c>
      <c r="F696" s="11" t="s">
        <v>138</v>
      </c>
      <c r="G696" s="9">
        <v>3</v>
      </c>
      <c r="H696" s="26">
        <v>6500</v>
      </c>
      <c r="I696" s="9">
        <v>15</v>
      </c>
      <c r="J696" s="9">
        <f t="shared" si="20"/>
        <v>19500</v>
      </c>
      <c r="K696" s="9">
        <f t="shared" si="21"/>
        <v>16575</v>
      </c>
      <c r="L696" s="11" t="s">
        <v>76</v>
      </c>
      <c r="M696" s="11" t="s">
        <v>91</v>
      </c>
      <c r="N696">
        <v>8</v>
      </c>
      <c r="O696">
        <v>2023</v>
      </c>
      <c r="P696" s="29" t="s">
        <v>713</v>
      </c>
      <c r="Q696" t="s">
        <v>734</v>
      </c>
      <c r="R696" t="s">
        <v>738</v>
      </c>
    </row>
    <row r="697" spans="1:18" x14ac:dyDescent="0.25">
      <c r="A697" s="6">
        <v>696</v>
      </c>
      <c r="B697" s="7">
        <v>45443</v>
      </c>
      <c r="C697" s="8" t="s">
        <v>78</v>
      </c>
      <c r="D697" s="8" t="s">
        <v>83</v>
      </c>
      <c r="E697" s="8" t="s">
        <v>102</v>
      </c>
      <c r="F697" s="8" t="s">
        <v>151</v>
      </c>
      <c r="G697" s="6">
        <v>45</v>
      </c>
      <c r="H697" s="25">
        <v>7600</v>
      </c>
      <c r="I697" s="6">
        <v>5</v>
      </c>
      <c r="J697" s="6">
        <f t="shared" si="20"/>
        <v>342000</v>
      </c>
      <c r="K697" s="6">
        <f t="shared" si="21"/>
        <v>324900</v>
      </c>
      <c r="L697" s="8" t="s">
        <v>187</v>
      </c>
      <c r="M697" s="8" t="s">
        <v>91</v>
      </c>
      <c r="N697">
        <v>5</v>
      </c>
      <c r="O697">
        <v>2024</v>
      </c>
      <c r="P697" s="29" t="s">
        <v>732</v>
      </c>
      <c r="Q697" t="s">
        <v>736</v>
      </c>
      <c r="R697" t="s">
        <v>737</v>
      </c>
    </row>
    <row r="698" spans="1:18" x14ac:dyDescent="0.25">
      <c r="A698" s="6">
        <v>697</v>
      </c>
      <c r="B698" s="7">
        <v>45025</v>
      </c>
      <c r="C698" s="8" t="s">
        <v>97</v>
      </c>
      <c r="D698" s="8" t="s">
        <v>93</v>
      </c>
      <c r="E698" s="8" t="s">
        <v>79</v>
      </c>
      <c r="F698" s="8" t="s">
        <v>115</v>
      </c>
      <c r="G698" s="6">
        <v>9</v>
      </c>
      <c r="H698" s="25">
        <v>10200</v>
      </c>
      <c r="I698" s="6">
        <v>15</v>
      </c>
      <c r="J698" s="6">
        <f t="shared" si="20"/>
        <v>91800</v>
      </c>
      <c r="K698" s="6">
        <f t="shared" si="21"/>
        <v>78030</v>
      </c>
      <c r="L698" s="8" t="s">
        <v>76</v>
      </c>
      <c r="M698" s="8" t="s">
        <v>81</v>
      </c>
      <c r="N698">
        <v>4</v>
      </c>
      <c r="O698">
        <v>2023</v>
      </c>
      <c r="P698" s="29" t="s">
        <v>716</v>
      </c>
      <c r="Q698" t="s">
        <v>736</v>
      </c>
      <c r="R698" t="s">
        <v>739</v>
      </c>
    </row>
    <row r="699" spans="1:18" x14ac:dyDescent="0.25">
      <c r="A699" s="9">
        <v>698</v>
      </c>
      <c r="B699" s="10">
        <v>44989</v>
      </c>
      <c r="C699" s="11" t="s">
        <v>78</v>
      </c>
      <c r="D699" s="11" t="s">
        <v>83</v>
      </c>
      <c r="E699" s="11" t="s">
        <v>74</v>
      </c>
      <c r="F699" s="11" t="s">
        <v>142</v>
      </c>
      <c r="G699" s="9">
        <v>37</v>
      </c>
      <c r="H699" s="26">
        <v>12900</v>
      </c>
      <c r="I699" s="9">
        <v>5</v>
      </c>
      <c r="J699" s="9">
        <f t="shared" si="20"/>
        <v>477300</v>
      </c>
      <c r="K699" s="9">
        <f t="shared" si="21"/>
        <v>453435</v>
      </c>
      <c r="L699" s="11" t="s">
        <v>187</v>
      </c>
      <c r="M699" s="11" t="s">
        <v>77</v>
      </c>
      <c r="N699">
        <v>3</v>
      </c>
      <c r="O699">
        <v>2023</v>
      </c>
      <c r="P699" s="29" t="s">
        <v>719</v>
      </c>
      <c r="Q699" t="s">
        <v>735</v>
      </c>
      <c r="R699" t="s">
        <v>737</v>
      </c>
    </row>
    <row r="700" spans="1:18" x14ac:dyDescent="0.25">
      <c r="A700" s="6">
        <v>699</v>
      </c>
      <c r="B700" s="7">
        <v>45401</v>
      </c>
      <c r="C700" s="8" t="s">
        <v>108</v>
      </c>
      <c r="D700" s="8" t="s">
        <v>83</v>
      </c>
      <c r="E700" s="8" t="s">
        <v>84</v>
      </c>
      <c r="F700" s="8" t="s">
        <v>200</v>
      </c>
      <c r="G700" s="6">
        <v>46</v>
      </c>
      <c r="H700" s="25">
        <v>3400</v>
      </c>
      <c r="I700" s="6">
        <v>5</v>
      </c>
      <c r="J700" s="6">
        <f t="shared" si="20"/>
        <v>156400</v>
      </c>
      <c r="K700" s="6">
        <f t="shared" si="21"/>
        <v>148580</v>
      </c>
      <c r="L700" s="8" t="s">
        <v>76</v>
      </c>
      <c r="M700" s="8" t="s">
        <v>77</v>
      </c>
      <c r="N700">
        <v>4</v>
      </c>
      <c r="O700">
        <v>2024</v>
      </c>
      <c r="P700" s="29" t="s">
        <v>722</v>
      </c>
      <c r="Q700" t="s">
        <v>736</v>
      </c>
      <c r="R700" t="s">
        <v>739</v>
      </c>
    </row>
    <row r="701" spans="1:18" x14ac:dyDescent="0.25">
      <c r="A701" s="9">
        <v>700</v>
      </c>
      <c r="B701" s="10">
        <v>45516</v>
      </c>
      <c r="C701" s="11" t="s">
        <v>88</v>
      </c>
      <c r="D701" s="11" t="s">
        <v>93</v>
      </c>
      <c r="E701" s="11" t="s">
        <v>79</v>
      </c>
      <c r="F701" s="11" t="s">
        <v>179</v>
      </c>
      <c r="G701" s="9">
        <v>18</v>
      </c>
      <c r="H701" s="26">
        <v>2500</v>
      </c>
      <c r="I701" s="9">
        <v>20</v>
      </c>
      <c r="J701" s="9">
        <f t="shared" si="20"/>
        <v>45000</v>
      </c>
      <c r="K701" s="9">
        <f t="shared" si="21"/>
        <v>36000</v>
      </c>
      <c r="L701" s="11" t="s">
        <v>187</v>
      </c>
      <c r="M701" s="11" t="s">
        <v>81</v>
      </c>
      <c r="N701">
        <v>8</v>
      </c>
      <c r="O701">
        <v>2024</v>
      </c>
      <c r="P701" s="29" t="s">
        <v>710</v>
      </c>
      <c r="Q701" t="s">
        <v>734</v>
      </c>
      <c r="R701" t="s">
        <v>738</v>
      </c>
    </row>
    <row r="702" spans="1:18" x14ac:dyDescent="0.25">
      <c r="A702" s="6">
        <v>701</v>
      </c>
      <c r="B702" s="7">
        <v>45334</v>
      </c>
      <c r="C702" s="8" t="s">
        <v>97</v>
      </c>
      <c r="D702" s="8" t="s">
        <v>93</v>
      </c>
      <c r="E702" s="8" t="s">
        <v>74</v>
      </c>
      <c r="F702" s="8" t="s">
        <v>94</v>
      </c>
      <c r="G702" s="6">
        <v>44</v>
      </c>
      <c r="H702" s="25">
        <v>36000</v>
      </c>
      <c r="I702" s="6">
        <v>0</v>
      </c>
      <c r="J702" s="6">
        <f t="shared" si="20"/>
        <v>1584000</v>
      </c>
      <c r="K702" s="6">
        <f t="shared" si="21"/>
        <v>1584000</v>
      </c>
      <c r="L702" s="8" t="s">
        <v>76</v>
      </c>
      <c r="M702" s="8" t="s">
        <v>77</v>
      </c>
      <c r="N702">
        <v>2</v>
      </c>
      <c r="O702">
        <v>2024</v>
      </c>
      <c r="P702" s="29" t="s">
        <v>729</v>
      </c>
      <c r="Q702" t="s">
        <v>735</v>
      </c>
      <c r="R702" t="s">
        <v>737</v>
      </c>
    </row>
    <row r="703" spans="1:18" x14ac:dyDescent="0.25">
      <c r="A703" s="9">
        <v>702</v>
      </c>
      <c r="B703" s="10">
        <v>45319</v>
      </c>
      <c r="C703" s="11" t="s">
        <v>88</v>
      </c>
      <c r="D703" s="11" t="s">
        <v>83</v>
      </c>
      <c r="E703" s="11" t="s">
        <v>102</v>
      </c>
      <c r="F703" s="11" t="s">
        <v>138</v>
      </c>
      <c r="G703" s="9">
        <v>12</v>
      </c>
      <c r="H703" s="26">
        <v>6400</v>
      </c>
      <c r="I703" s="9">
        <v>10</v>
      </c>
      <c r="J703" s="9">
        <f t="shared" si="20"/>
        <v>76800</v>
      </c>
      <c r="K703" s="9">
        <f t="shared" si="21"/>
        <v>69120</v>
      </c>
      <c r="L703" s="11" t="s">
        <v>76</v>
      </c>
      <c r="M703" s="11" t="s">
        <v>77</v>
      </c>
      <c r="N703">
        <v>1</v>
      </c>
      <c r="O703">
        <v>2024</v>
      </c>
      <c r="P703" s="29" t="s">
        <v>727</v>
      </c>
      <c r="Q703" t="s">
        <v>735</v>
      </c>
      <c r="R703" t="s">
        <v>739</v>
      </c>
    </row>
    <row r="704" spans="1:18" x14ac:dyDescent="0.25">
      <c r="A704" s="6">
        <v>703</v>
      </c>
      <c r="B704" s="7">
        <v>45653</v>
      </c>
      <c r="C704" s="8" t="s">
        <v>106</v>
      </c>
      <c r="D704" s="8" t="s">
        <v>109</v>
      </c>
      <c r="E704" s="8" t="s">
        <v>74</v>
      </c>
      <c r="F704" s="8" t="s">
        <v>75</v>
      </c>
      <c r="G704" s="6">
        <v>42</v>
      </c>
      <c r="H704" s="25">
        <v>22800</v>
      </c>
      <c r="I704" s="6">
        <v>20</v>
      </c>
      <c r="J704" s="6">
        <f t="shared" si="20"/>
        <v>957600</v>
      </c>
      <c r="K704" s="6">
        <f t="shared" si="21"/>
        <v>766080</v>
      </c>
      <c r="L704" s="8" t="s">
        <v>76</v>
      </c>
      <c r="M704" s="8" t="s">
        <v>81</v>
      </c>
      <c r="N704">
        <v>12</v>
      </c>
      <c r="O704">
        <v>2024</v>
      </c>
      <c r="P704" s="29" t="s">
        <v>728</v>
      </c>
      <c r="Q704" t="s">
        <v>733</v>
      </c>
      <c r="R704" t="s">
        <v>737</v>
      </c>
    </row>
    <row r="705" spans="1:18" x14ac:dyDescent="0.25">
      <c r="A705" s="9">
        <v>704</v>
      </c>
      <c r="B705" s="10">
        <v>45157</v>
      </c>
      <c r="C705" s="11" t="s">
        <v>88</v>
      </c>
      <c r="D705" s="30" t="s">
        <v>703</v>
      </c>
      <c r="E705" s="11" t="s">
        <v>74</v>
      </c>
      <c r="F705" s="11" t="s">
        <v>140</v>
      </c>
      <c r="G705" s="9">
        <v>5</v>
      </c>
      <c r="H705" s="26">
        <v>4400</v>
      </c>
      <c r="I705" s="9">
        <v>5</v>
      </c>
      <c r="J705" s="9">
        <f t="shared" si="20"/>
        <v>22000</v>
      </c>
      <c r="K705" s="9">
        <f t="shared" si="21"/>
        <v>20900</v>
      </c>
      <c r="L705" s="11" t="s">
        <v>76</v>
      </c>
      <c r="M705" s="11" t="s">
        <v>91</v>
      </c>
      <c r="N705">
        <v>8</v>
      </c>
      <c r="O705">
        <v>2023</v>
      </c>
      <c r="P705" s="29" t="s">
        <v>713</v>
      </c>
      <c r="Q705" t="s">
        <v>734</v>
      </c>
      <c r="R705" t="s">
        <v>738</v>
      </c>
    </row>
    <row r="706" spans="1:18" x14ac:dyDescent="0.25">
      <c r="A706" s="6">
        <v>705</v>
      </c>
      <c r="B706" s="7">
        <v>45440</v>
      </c>
      <c r="C706" s="8" t="s">
        <v>82</v>
      </c>
      <c r="D706" s="8" t="s">
        <v>73</v>
      </c>
      <c r="E706" s="8" t="s">
        <v>111</v>
      </c>
      <c r="F706" s="8" t="s">
        <v>135</v>
      </c>
      <c r="G706" s="6">
        <v>24</v>
      </c>
      <c r="H706" s="25">
        <v>116500</v>
      </c>
      <c r="I706" s="6">
        <v>0</v>
      </c>
      <c r="J706" s="6">
        <f t="shared" ref="J706:J769" si="22">G706*H706</f>
        <v>2796000</v>
      </c>
      <c r="K706" s="6">
        <f t="shared" ref="K706:K769" si="23">J706*(1-I706/100)</f>
        <v>2796000</v>
      </c>
      <c r="L706" s="8" t="s">
        <v>187</v>
      </c>
      <c r="M706" s="8" t="s">
        <v>77</v>
      </c>
      <c r="N706">
        <v>5</v>
      </c>
      <c r="O706">
        <v>2024</v>
      </c>
      <c r="P706" s="29" t="s">
        <v>732</v>
      </c>
      <c r="Q706" t="s">
        <v>736</v>
      </c>
      <c r="R706" t="s">
        <v>737</v>
      </c>
    </row>
    <row r="707" spans="1:18" x14ac:dyDescent="0.25">
      <c r="A707" s="9">
        <v>706</v>
      </c>
      <c r="B707" s="10">
        <v>45395</v>
      </c>
      <c r="C707" s="11" t="s">
        <v>97</v>
      </c>
      <c r="D707" s="11" t="s">
        <v>73</v>
      </c>
      <c r="E707" s="11" t="s">
        <v>111</v>
      </c>
      <c r="F707" s="11" t="s">
        <v>166</v>
      </c>
      <c r="G707" s="9">
        <v>5</v>
      </c>
      <c r="H707" s="26">
        <v>27200</v>
      </c>
      <c r="I707" s="9">
        <v>0</v>
      </c>
      <c r="J707" s="9">
        <f t="shared" si="22"/>
        <v>136000</v>
      </c>
      <c r="K707" s="9">
        <f t="shared" si="23"/>
        <v>136000</v>
      </c>
      <c r="L707" s="11" t="s">
        <v>76</v>
      </c>
      <c r="M707" s="11" t="s">
        <v>96</v>
      </c>
      <c r="N707">
        <v>4</v>
      </c>
      <c r="O707">
        <v>2024</v>
      </c>
      <c r="P707" s="29" t="s">
        <v>722</v>
      </c>
      <c r="Q707" t="s">
        <v>736</v>
      </c>
      <c r="R707" t="s">
        <v>739</v>
      </c>
    </row>
    <row r="708" spans="1:18" x14ac:dyDescent="0.25">
      <c r="A708" s="6">
        <v>707</v>
      </c>
      <c r="B708" s="7">
        <v>45640</v>
      </c>
      <c r="C708" s="8" t="s">
        <v>108</v>
      </c>
      <c r="D708" s="8" t="s">
        <v>83</v>
      </c>
      <c r="E708" s="8" t="s">
        <v>84</v>
      </c>
      <c r="F708" s="8" t="s">
        <v>90</v>
      </c>
      <c r="G708" s="6">
        <v>41</v>
      </c>
      <c r="H708" s="25">
        <v>1900</v>
      </c>
      <c r="I708" s="6">
        <v>15</v>
      </c>
      <c r="J708" s="6">
        <f t="shared" si="22"/>
        <v>77900</v>
      </c>
      <c r="K708" s="6">
        <f t="shared" si="23"/>
        <v>66215</v>
      </c>
      <c r="L708" s="8" t="s">
        <v>76</v>
      </c>
      <c r="M708" s="8" t="s">
        <v>91</v>
      </c>
      <c r="N708">
        <v>12</v>
      </c>
      <c r="O708">
        <v>2024</v>
      </c>
      <c r="P708" s="29" t="s">
        <v>728</v>
      </c>
      <c r="Q708" t="s">
        <v>733</v>
      </c>
      <c r="R708" t="s">
        <v>739</v>
      </c>
    </row>
    <row r="709" spans="1:18" x14ac:dyDescent="0.25">
      <c r="A709" s="9">
        <v>708</v>
      </c>
      <c r="B709" s="10">
        <v>45511</v>
      </c>
      <c r="C709" s="11" t="s">
        <v>108</v>
      </c>
      <c r="D709" s="11" t="s">
        <v>83</v>
      </c>
      <c r="E709" s="11" t="s">
        <v>74</v>
      </c>
      <c r="F709" s="11" t="s">
        <v>140</v>
      </c>
      <c r="G709" s="9">
        <v>42</v>
      </c>
      <c r="H709" s="26">
        <v>4500</v>
      </c>
      <c r="I709" s="9">
        <v>0</v>
      </c>
      <c r="J709" s="9">
        <f t="shared" si="22"/>
        <v>189000</v>
      </c>
      <c r="K709" s="9">
        <f t="shared" si="23"/>
        <v>189000</v>
      </c>
      <c r="L709" s="11" t="s">
        <v>76</v>
      </c>
      <c r="M709" s="11" t="s">
        <v>81</v>
      </c>
      <c r="N709">
        <v>8</v>
      </c>
      <c r="O709">
        <v>2024</v>
      </c>
      <c r="P709" s="29" t="s">
        <v>710</v>
      </c>
      <c r="Q709" t="s">
        <v>734</v>
      </c>
      <c r="R709" t="s">
        <v>739</v>
      </c>
    </row>
    <row r="710" spans="1:18" x14ac:dyDescent="0.25">
      <c r="A710" s="6">
        <v>709</v>
      </c>
      <c r="B710" s="7">
        <v>44949</v>
      </c>
      <c r="C710" s="8" t="s">
        <v>106</v>
      </c>
      <c r="D710" s="8" t="s">
        <v>93</v>
      </c>
      <c r="E710" s="8" t="s">
        <v>74</v>
      </c>
      <c r="F710" s="8" t="s">
        <v>140</v>
      </c>
      <c r="G710" s="6">
        <v>42</v>
      </c>
      <c r="H710" s="25">
        <v>4700</v>
      </c>
      <c r="I710" s="6">
        <v>5</v>
      </c>
      <c r="J710" s="6">
        <f t="shared" si="22"/>
        <v>197400</v>
      </c>
      <c r="K710" s="6">
        <f t="shared" si="23"/>
        <v>187530</v>
      </c>
      <c r="L710" s="8" t="s">
        <v>76</v>
      </c>
      <c r="M710" s="8" t="s">
        <v>96</v>
      </c>
      <c r="N710">
        <v>1</v>
      </c>
      <c r="O710">
        <v>2023</v>
      </c>
      <c r="P710" s="29" t="s">
        <v>721</v>
      </c>
      <c r="Q710" t="s">
        <v>735</v>
      </c>
      <c r="R710" t="s">
        <v>739</v>
      </c>
    </row>
    <row r="711" spans="1:18" x14ac:dyDescent="0.25">
      <c r="A711" s="9">
        <v>710</v>
      </c>
      <c r="B711" s="10">
        <v>45534</v>
      </c>
      <c r="C711" s="11" t="s">
        <v>82</v>
      </c>
      <c r="D711" s="11" t="s">
        <v>93</v>
      </c>
      <c r="E711" s="11" t="s">
        <v>111</v>
      </c>
      <c r="F711" s="11" t="s">
        <v>159</v>
      </c>
      <c r="G711" s="9">
        <v>9</v>
      </c>
      <c r="H711" s="26">
        <v>11700</v>
      </c>
      <c r="I711" s="9">
        <v>0</v>
      </c>
      <c r="J711" s="9">
        <f t="shared" si="22"/>
        <v>105300</v>
      </c>
      <c r="K711" s="9">
        <f t="shared" si="23"/>
        <v>105300</v>
      </c>
      <c r="L711" s="11" t="s">
        <v>107</v>
      </c>
      <c r="M711" s="11" t="s">
        <v>96</v>
      </c>
      <c r="N711">
        <v>8</v>
      </c>
      <c r="O711">
        <v>2024</v>
      </c>
      <c r="P711" s="29" t="s">
        <v>710</v>
      </c>
      <c r="Q711" t="s">
        <v>734</v>
      </c>
      <c r="R711" t="s">
        <v>739</v>
      </c>
    </row>
    <row r="712" spans="1:18" x14ac:dyDescent="0.25">
      <c r="A712" s="6">
        <v>711</v>
      </c>
      <c r="B712" s="7">
        <v>45193</v>
      </c>
      <c r="C712" s="8" t="s">
        <v>106</v>
      </c>
      <c r="D712" s="8" t="s">
        <v>83</v>
      </c>
      <c r="E712" s="8" t="s">
        <v>74</v>
      </c>
      <c r="F712" s="8" t="s">
        <v>190</v>
      </c>
      <c r="G712" s="6">
        <v>4</v>
      </c>
      <c r="H712" s="25">
        <v>35000</v>
      </c>
      <c r="I712" s="6">
        <v>5</v>
      </c>
      <c r="J712" s="6">
        <f t="shared" si="22"/>
        <v>140000</v>
      </c>
      <c r="K712" s="6">
        <f t="shared" si="23"/>
        <v>133000</v>
      </c>
      <c r="L712" s="8" t="s">
        <v>76</v>
      </c>
      <c r="M712" s="8" t="s">
        <v>96</v>
      </c>
      <c r="N712">
        <v>9</v>
      </c>
      <c r="O712">
        <v>2023</v>
      </c>
      <c r="P712" s="29" t="s">
        <v>715</v>
      </c>
      <c r="Q712" t="s">
        <v>734</v>
      </c>
      <c r="R712" t="s">
        <v>739</v>
      </c>
    </row>
    <row r="713" spans="1:18" x14ac:dyDescent="0.25">
      <c r="A713" s="9">
        <v>712</v>
      </c>
      <c r="B713" s="10">
        <v>45097</v>
      </c>
      <c r="C713" s="11" t="s">
        <v>124</v>
      </c>
      <c r="D713" s="11" t="s">
        <v>109</v>
      </c>
      <c r="E713" s="11" t="s">
        <v>102</v>
      </c>
      <c r="F713" s="11" t="s">
        <v>110</v>
      </c>
      <c r="G713" s="9">
        <v>12</v>
      </c>
      <c r="H713" s="26">
        <v>20800</v>
      </c>
      <c r="I713" s="9">
        <v>0</v>
      </c>
      <c r="J713" s="9">
        <f t="shared" si="22"/>
        <v>249600</v>
      </c>
      <c r="K713" s="9">
        <f t="shared" si="23"/>
        <v>249600</v>
      </c>
      <c r="L713" s="11" t="s">
        <v>187</v>
      </c>
      <c r="M713" s="11" t="s">
        <v>81</v>
      </c>
      <c r="N713">
        <v>6</v>
      </c>
      <c r="O713">
        <v>2023</v>
      </c>
      <c r="P713" s="29" t="s">
        <v>723</v>
      </c>
      <c r="Q713" t="s">
        <v>736</v>
      </c>
      <c r="R713" t="s">
        <v>737</v>
      </c>
    </row>
    <row r="714" spans="1:18" x14ac:dyDescent="0.25">
      <c r="A714" s="6">
        <v>713</v>
      </c>
      <c r="B714" s="7">
        <v>44935</v>
      </c>
      <c r="C714" s="8" t="s">
        <v>97</v>
      </c>
      <c r="D714" s="8" t="s">
        <v>73</v>
      </c>
      <c r="E714" s="8" t="s">
        <v>74</v>
      </c>
      <c r="F714" s="8" t="s">
        <v>142</v>
      </c>
      <c r="G714" s="6">
        <v>24</v>
      </c>
      <c r="H714" s="25">
        <v>12100</v>
      </c>
      <c r="I714" s="6">
        <v>15</v>
      </c>
      <c r="J714" s="6">
        <f t="shared" si="22"/>
        <v>290400</v>
      </c>
      <c r="K714" s="6">
        <f t="shared" si="23"/>
        <v>246840</v>
      </c>
      <c r="L714" s="8" t="s">
        <v>76</v>
      </c>
      <c r="M714" s="8" t="s">
        <v>77</v>
      </c>
      <c r="N714">
        <v>1</v>
      </c>
      <c r="O714">
        <v>2023</v>
      </c>
      <c r="P714" s="29" t="s">
        <v>721</v>
      </c>
      <c r="Q714" t="s">
        <v>735</v>
      </c>
      <c r="R714" t="s">
        <v>737</v>
      </c>
    </row>
    <row r="715" spans="1:18" x14ac:dyDescent="0.25">
      <c r="A715" s="9">
        <v>714</v>
      </c>
      <c r="B715" s="10">
        <v>45251</v>
      </c>
      <c r="C715" s="11" t="s">
        <v>88</v>
      </c>
      <c r="D715" s="11" t="s">
        <v>109</v>
      </c>
      <c r="E715" s="11" t="s">
        <v>74</v>
      </c>
      <c r="F715" s="11" t="s">
        <v>99</v>
      </c>
      <c r="G715" s="9">
        <v>11</v>
      </c>
      <c r="H715" s="26">
        <v>3600</v>
      </c>
      <c r="I715" s="9">
        <v>0</v>
      </c>
      <c r="J715" s="9">
        <f t="shared" si="22"/>
        <v>39600</v>
      </c>
      <c r="K715" s="9">
        <f t="shared" si="23"/>
        <v>39600</v>
      </c>
      <c r="L715" s="11" t="s">
        <v>76</v>
      </c>
      <c r="M715" s="11" t="s">
        <v>77</v>
      </c>
      <c r="N715">
        <v>11</v>
      </c>
      <c r="O715">
        <v>2023</v>
      </c>
      <c r="P715" s="29" t="s">
        <v>718</v>
      </c>
      <c r="Q715" t="s">
        <v>733</v>
      </c>
      <c r="R715" t="s">
        <v>738</v>
      </c>
    </row>
    <row r="716" spans="1:18" x14ac:dyDescent="0.25">
      <c r="A716" s="6">
        <v>715</v>
      </c>
      <c r="B716" s="7">
        <v>45341</v>
      </c>
      <c r="C716" s="8" t="s">
        <v>119</v>
      </c>
      <c r="D716" s="8" t="s">
        <v>109</v>
      </c>
      <c r="E716" s="8" t="s">
        <v>111</v>
      </c>
      <c r="F716" s="8" t="s">
        <v>132</v>
      </c>
      <c r="G716" s="6">
        <v>48</v>
      </c>
      <c r="H716" s="25">
        <v>7000</v>
      </c>
      <c r="I716" s="6">
        <v>15</v>
      </c>
      <c r="J716" s="6">
        <f t="shared" si="22"/>
        <v>336000</v>
      </c>
      <c r="K716" s="6">
        <f t="shared" si="23"/>
        <v>285600</v>
      </c>
      <c r="L716" s="8" t="s">
        <v>76</v>
      </c>
      <c r="M716" s="8" t="s">
        <v>96</v>
      </c>
      <c r="N716">
        <v>2</v>
      </c>
      <c r="O716">
        <v>2024</v>
      </c>
      <c r="P716" s="29" t="s">
        <v>729</v>
      </c>
      <c r="Q716" t="s">
        <v>735</v>
      </c>
      <c r="R716" t="s">
        <v>737</v>
      </c>
    </row>
    <row r="717" spans="1:18" x14ac:dyDescent="0.25">
      <c r="A717" s="9">
        <v>716</v>
      </c>
      <c r="B717" s="10">
        <v>45649</v>
      </c>
      <c r="C717" s="11" t="s">
        <v>101</v>
      </c>
      <c r="D717" s="11" t="s">
        <v>83</v>
      </c>
      <c r="E717" s="11" t="s">
        <v>74</v>
      </c>
      <c r="F717" s="11" t="s">
        <v>142</v>
      </c>
      <c r="G717" s="9">
        <v>47</v>
      </c>
      <c r="H717" s="26">
        <v>13200</v>
      </c>
      <c r="I717" s="9">
        <v>0</v>
      </c>
      <c r="J717" s="9">
        <f t="shared" si="22"/>
        <v>620400</v>
      </c>
      <c r="K717" s="9">
        <f t="shared" si="23"/>
        <v>620400</v>
      </c>
      <c r="L717" s="11" t="s">
        <v>107</v>
      </c>
      <c r="M717" s="11" t="s">
        <v>91</v>
      </c>
      <c r="N717">
        <v>12</v>
      </c>
      <c r="O717">
        <v>2024</v>
      </c>
      <c r="P717" s="29" t="s">
        <v>728</v>
      </c>
      <c r="Q717" t="s">
        <v>733</v>
      </c>
      <c r="R717" t="s">
        <v>737</v>
      </c>
    </row>
    <row r="718" spans="1:18" x14ac:dyDescent="0.25">
      <c r="A718" s="6">
        <v>717</v>
      </c>
      <c r="B718" s="7">
        <v>45455</v>
      </c>
      <c r="C718" s="8" t="s">
        <v>97</v>
      </c>
      <c r="D718" s="8" t="s">
        <v>83</v>
      </c>
      <c r="E718" s="8" t="s">
        <v>79</v>
      </c>
      <c r="F718" s="8" t="s">
        <v>122</v>
      </c>
      <c r="G718" s="6">
        <v>8</v>
      </c>
      <c r="H718" s="25">
        <v>19300</v>
      </c>
      <c r="I718" s="6">
        <v>10</v>
      </c>
      <c r="J718" s="6">
        <f t="shared" si="22"/>
        <v>154400</v>
      </c>
      <c r="K718" s="6">
        <f t="shared" si="23"/>
        <v>138960</v>
      </c>
      <c r="L718" s="8" t="s">
        <v>76</v>
      </c>
      <c r="M718" s="8" t="s">
        <v>91</v>
      </c>
      <c r="N718">
        <v>6</v>
      </c>
      <c r="O718">
        <v>2024</v>
      </c>
      <c r="P718" s="29" t="s">
        <v>720</v>
      </c>
      <c r="Q718" t="s">
        <v>736</v>
      </c>
      <c r="R718" t="s">
        <v>739</v>
      </c>
    </row>
    <row r="719" spans="1:18" x14ac:dyDescent="0.25">
      <c r="A719" s="9">
        <v>718</v>
      </c>
      <c r="B719" s="10">
        <v>45152</v>
      </c>
      <c r="C719" s="11" t="s">
        <v>119</v>
      </c>
      <c r="D719" s="11" t="s">
        <v>117</v>
      </c>
      <c r="E719" s="11" t="s">
        <v>79</v>
      </c>
      <c r="F719" s="11" t="s">
        <v>120</v>
      </c>
      <c r="G719" s="9">
        <v>42</v>
      </c>
      <c r="H719" s="26">
        <v>5500</v>
      </c>
      <c r="I719" s="9">
        <v>20</v>
      </c>
      <c r="J719" s="9">
        <f t="shared" si="22"/>
        <v>231000</v>
      </c>
      <c r="K719" s="9">
        <f t="shared" si="23"/>
        <v>184800</v>
      </c>
      <c r="L719" s="11" t="s">
        <v>76</v>
      </c>
      <c r="M719" s="11" t="s">
        <v>81</v>
      </c>
      <c r="N719">
        <v>8</v>
      </c>
      <c r="O719">
        <v>2023</v>
      </c>
      <c r="P719" s="29" t="s">
        <v>713</v>
      </c>
      <c r="Q719" t="s">
        <v>734</v>
      </c>
      <c r="R719" t="s">
        <v>739</v>
      </c>
    </row>
    <row r="720" spans="1:18" x14ac:dyDescent="0.25">
      <c r="A720" s="6">
        <v>719</v>
      </c>
      <c r="B720" s="7">
        <v>45270</v>
      </c>
      <c r="C720" s="8" t="s">
        <v>106</v>
      </c>
      <c r="D720" s="8" t="s">
        <v>73</v>
      </c>
      <c r="E720" s="8" t="s">
        <v>79</v>
      </c>
      <c r="F720" s="8" t="s">
        <v>172</v>
      </c>
      <c r="G720" s="6">
        <v>6</v>
      </c>
      <c r="H720" s="25">
        <v>26700</v>
      </c>
      <c r="I720" s="6">
        <v>0</v>
      </c>
      <c r="J720" s="6">
        <f t="shared" si="22"/>
        <v>160200</v>
      </c>
      <c r="K720" s="6">
        <f t="shared" si="23"/>
        <v>160200</v>
      </c>
      <c r="L720" s="8" t="s">
        <v>123</v>
      </c>
      <c r="M720" s="8" t="s">
        <v>91</v>
      </c>
      <c r="N720">
        <v>12</v>
      </c>
      <c r="O720">
        <v>2023</v>
      </c>
      <c r="P720" s="29" t="s">
        <v>725</v>
      </c>
      <c r="Q720" t="s">
        <v>733</v>
      </c>
      <c r="R720" t="s">
        <v>739</v>
      </c>
    </row>
    <row r="721" spans="1:18" x14ac:dyDescent="0.25">
      <c r="A721" s="9">
        <v>720</v>
      </c>
      <c r="B721" s="10">
        <v>45429</v>
      </c>
      <c r="C721" s="11" t="s">
        <v>88</v>
      </c>
      <c r="D721" s="11" t="s">
        <v>93</v>
      </c>
      <c r="E721" s="11" t="s">
        <v>102</v>
      </c>
      <c r="F721" s="11" t="s">
        <v>138</v>
      </c>
      <c r="G721" s="9">
        <v>24</v>
      </c>
      <c r="H721" s="26">
        <v>7300</v>
      </c>
      <c r="I721" s="9">
        <v>0</v>
      </c>
      <c r="J721" s="9">
        <f t="shared" si="22"/>
        <v>175200</v>
      </c>
      <c r="K721" s="9">
        <f t="shared" si="23"/>
        <v>175200</v>
      </c>
      <c r="L721" s="11" t="s">
        <v>76</v>
      </c>
      <c r="M721" s="11" t="s">
        <v>91</v>
      </c>
      <c r="N721">
        <v>5</v>
      </c>
      <c r="O721">
        <v>2024</v>
      </c>
      <c r="P721" s="29" t="s">
        <v>732</v>
      </c>
      <c r="Q721" t="s">
        <v>736</v>
      </c>
      <c r="R721" t="s">
        <v>739</v>
      </c>
    </row>
    <row r="722" spans="1:18" x14ac:dyDescent="0.25">
      <c r="A722" s="6">
        <v>721</v>
      </c>
      <c r="B722" s="7">
        <v>45322</v>
      </c>
      <c r="C722" s="8" t="s">
        <v>88</v>
      </c>
      <c r="D722" s="8" t="s">
        <v>73</v>
      </c>
      <c r="E722" s="8" t="s">
        <v>74</v>
      </c>
      <c r="F722" s="8" t="s">
        <v>212</v>
      </c>
      <c r="G722" s="6">
        <v>29</v>
      </c>
      <c r="H722" s="25">
        <v>7900</v>
      </c>
      <c r="I722" s="6">
        <v>0</v>
      </c>
      <c r="J722" s="6">
        <f t="shared" si="22"/>
        <v>229100</v>
      </c>
      <c r="K722" s="6">
        <f t="shared" si="23"/>
        <v>229100</v>
      </c>
      <c r="L722" s="8" t="s">
        <v>107</v>
      </c>
      <c r="M722" s="8" t="s">
        <v>77</v>
      </c>
      <c r="N722">
        <v>1</v>
      </c>
      <c r="O722">
        <v>2024</v>
      </c>
      <c r="P722" s="29" t="s">
        <v>727</v>
      </c>
      <c r="Q722" t="s">
        <v>735</v>
      </c>
      <c r="R722" t="s">
        <v>737</v>
      </c>
    </row>
    <row r="723" spans="1:18" x14ac:dyDescent="0.25">
      <c r="A723" s="6">
        <v>722</v>
      </c>
      <c r="B723" s="7">
        <v>45381</v>
      </c>
      <c r="C723" s="8" t="s">
        <v>114</v>
      </c>
      <c r="D723" s="8" t="s">
        <v>83</v>
      </c>
      <c r="E723" s="8" t="s">
        <v>74</v>
      </c>
      <c r="F723" s="8" t="s">
        <v>142</v>
      </c>
      <c r="G723" s="6">
        <v>28</v>
      </c>
      <c r="H723" s="25">
        <v>13200</v>
      </c>
      <c r="I723" s="6">
        <v>0</v>
      </c>
      <c r="J723" s="6">
        <f t="shared" si="22"/>
        <v>369600</v>
      </c>
      <c r="K723" s="6">
        <f t="shared" si="23"/>
        <v>369600</v>
      </c>
      <c r="L723" s="8" t="s">
        <v>187</v>
      </c>
      <c r="M723" s="8" t="s">
        <v>91</v>
      </c>
      <c r="N723">
        <v>3</v>
      </c>
      <c r="O723">
        <v>2024</v>
      </c>
      <c r="P723" s="29" t="s">
        <v>711</v>
      </c>
      <c r="Q723" t="s">
        <v>735</v>
      </c>
      <c r="R723" t="s">
        <v>737</v>
      </c>
    </row>
    <row r="724" spans="1:18" x14ac:dyDescent="0.25">
      <c r="A724" s="9">
        <v>723</v>
      </c>
      <c r="B724" s="10">
        <v>45528</v>
      </c>
      <c r="C724" s="11" t="s">
        <v>124</v>
      </c>
      <c r="D724" s="11" t="s">
        <v>73</v>
      </c>
      <c r="E724" s="11" t="s">
        <v>84</v>
      </c>
      <c r="F724" s="11" t="s">
        <v>90</v>
      </c>
      <c r="G724" s="9">
        <v>34</v>
      </c>
      <c r="H724" s="26">
        <v>1800</v>
      </c>
      <c r="I724" s="9">
        <v>10</v>
      </c>
      <c r="J724" s="9">
        <f t="shared" si="22"/>
        <v>61200</v>
      </c>
      <c r="K724" s="9">
        <f t="shared" si="23"/>
        <v>55080</v>
      </c>
      <c r="L724" s="11" t="s">
        <v>123</v>
      </c>
      <c r="M724" s="11" t="s">
        <v>77</v>
      </c>
      <c r="N724">
        <v>8</v>
      </c>
      <c r="O724">
        <v>2024</v>
      </c>
      <c r="P724" s="29" t="s">
        <v>710</v>
      </c>
      <c r="Q724" t="s">
        <v>734</v>
      </c>
      <c r="R724" t="s">
        <v>739</v>
      </c>
    </row>
    <row r="725" spans="1:18" x14ac:dyDescent="0.25">
      <c r="A725" s="6">
        <v>724</v>
      </c>
      <c r="B725" s="7">
        <v>45311</v>
      </c>
      <c r="C725" s="8" t="s">
        <v>97</v>
      </c>
      <c r="D725" s="8" t="s">
        <v>73</v>
      </c>
      <c r="E725" s="8" t="s">
        <v>111</v>
      </c>
      <c r="F725" s="8" t="s">
        <v>135</v>
      </c>
      <c r="G725" s="6">
        <v>36</v>
      </c>
      <c r="H725" s="25">
        <v>115400</v>
      </c>
      <c r="I725" s="6">
        <v>0</v>
      </c>
      <c r="J725" s="6">
        <f t="shared" si="22"/>
        <v>4154400</v>
      </c>
      <c r="K725" s="6">
        <f t="shared" si="23"/>
        <v>4154400</v>
      </c>
      <c r="L725" s="8" t="s">
        <v>76</v>
      </c>
      <c r="M725" s="8" t="s">
        <v>81</v>
      </c>
      <c r="N725">
        <v>1</v>
      </c>
      <c r="O725">
        <v>2024</v>
      </c>
      <c r="P725" s="29" t="s">
        <v>727</v>
      </c>
      <c r="Q725" t="s">
        <v>735</v>
      </c>
      <c r="R725" t="s">
        <v>737</v>
      </c>
    </row>
    <row r="726" spans="1:18" x14ac:dyDescent="0.25">
      <c r="A726" s="9">
        <v>725</v>
      </c>
      <c r="B726" s="10">
        <v>45206</v>
      </c>
      <c r="C726" s="11" t="s">
        <v>114</v>
      </c>
      <c r="D726" s="11" t="s">
        <v>117</v>
      </c>
      <c r="E726" s="11" t="s">
        <v>102</v>
      </c>
      <c r="F726" s="11" t="s">
        <v>197</v>
      </c>
      <c r="G726" s="9">
        <v>20</v>
      </c>
      <c r="H726" s="26">
        <v>3500</v>
      </c>
      <c r="I726" s="9">
        <v>5</v>
      </c>
      <c r="J726" s="9">
        <f t="shared" si="22"/>
        <v>70000</v>
      </c>
      <c r="K726" s="9">
        <f t="shared" si="23"/>
        <v>66500</v>
      </c>
      <c r="L726" s="11" t="s">
        <v>187</v>
      </c>
      <c r="M726" s="11" t="s">
        <v>96</v>
      </c>
      <c r="N726">
        <v>10</v>
      </c>
      <c r="O726">
        <v>2023</v>
      </c>
      <c r="P726" s="29" t="s">
        <v>726</v>
      </c>
      <c r="Q726" t="s">
        <v>733</v>
      </c>
      <c r="R726" t="s">
        <v>739</v>
      </c>
    </row>
    <row r="727" spans="1:18" x14ac:dyDescent="0.25">
      <c r="A727" s="6">
        <v>726</v>
      </c>
      <c r="B727" s="7">
        <v>45499</v>
      </c>
      <c r="C727" s="8" t="s">
        <v>119</v>
      </c>
      <c r="D727" s="8" t="s">
        <v>109</v>
      </c>
      <c r="E727" s="8" t="s">
        <v>79</v>
      </c>
      <c r="F727" s="8" t="s">
        <v>136</v>
      </c>
      <c r="G727" s="6">
        <v>20</v>
      </c>
      <c r="H727" s="25">
        <v>79800</v>
      </c>
      <c r="I727" s="6">
        <v>0</v>
      </c>
      <c r="J727" s="6">
        <f t="shared" si="22"/>
        <v>1596000</v>
      </c>
      <c r="K727" s="6">
        <f t="shared" si="23"/>
        <v>1596000</v>
      </c>
      <c r="L727" s="8" t="s">
        <v>123</v>
      </c>
      <c r="M727" s="8" t="s">
        <v>91</v>
      </c>
      <c r="N727">
        <v>7</v>
      </c>
      <c r="O727">
        <v>2024</v>
      </c>
      <c r="P727" s="29" t="s">
        <v>712</v>
      </c>
      <c r="Q727" t="s">
        <v>734</v>
      </c>
      <c r="R727" t="s">
        <v>737</v>
      </c>
    </row>
    <row r="728" spans="1:18" x14ac:dyDescent="0.25">
      <c r="A728" s="9">
        <v>727</v>
      </c>
      <c r="B728" s="10">
        <v>45596</v>
      </c>
      <c r="C728" s="11" t="s">
        <v>101</v>
      </c>
      <c r="D728" s="11" t="s">
        <v>83</v>
      </c>
      <c r="E728" s="11" t="s">
        <v>84</v>
      </c>
      <c r="F728" s="11" t="s">
        <v>85</v>
      </c>
      <c r="G728" s="9">
        <v>42</v>
      </c>
      <c r="H728" s="26">
        <v>6100</v>
      </c>
      <c r="I728" s="9">
        <v>20</v>
      </c>
      <c r="J728" s="9">
        <f t="shared" si="22"/>
        <v>256200</v>
      </c>
      <c r="K728" s="9">
        <f t="shared" si="23"/>
        <v>204960</v>
      </c>
      <c r="L728" s="11" t="s">
        <v>76</v>
      </c>
      <c r="M728" s="11" t="s">
        <v>77</v>
      </c>
      <c r="N728">
        <v>10</v>
      </c>
      <c r="O728">
        <v>2024</v>
      </c>
      <c r="P728" s="29" t="s">
        <v>709</v>
      </c>
      <c r="Q728" t="s">
        <v>733</v>
      </c>
      <c r="R728" t="s">
        <v>737</v>
      </c>
    </row>
    <row r="729" spans="1:18" x14ac:dyDescent="0.25">
      <c r="A729" s="6">
        <v>728</v>
      </c>
      <c r="B729" s="7">
        <v>45240</v>
      </c>
      <c r="C729" s="8" t="s">
        <v>119</v>
      </c>
      <c r="D729" s="8" t="s">
        <v>73</v>
      </c>
      <c r="E729" s="8" t="s">
        <v>102</v>
      </c>
      <c r="F729" s="8" t="s">
        <v>157</v>
      </c>
      <c r="G729" s="6">
        <v>37</v>
      </c>
      <c r="H729" s="25">
        <v>12500</v>
      </c>
      <c r="I729" s="6">
        <v>15</v>
      </c>
      <c r="J729" s="6">
        <f t="shared" si="22"/>
        <v>462500</v>
      </c>
      <c r="K729" s="6">
        <f t="shared" si="23"/>
        <v>393125</v>
      </c>
      <c r="L729" s="8" t="s">
        <v>76</v>
      </c>
      <c r="M729" s="8" t="s">
        <v>96</v>
      </c>
      <c r="N729">
        <v>11</v>
      </c>
      <c r="O729">
        <v>2023</v>
      </c>
      <c r="P729" s="29" t="s">
        <v>718</v>
      </c>
      <c r="Q729" t="s">
        <v>733</v>
      </c>
      <c r="R729" t="s">
        <v>737</v>
      </c>
    </row>
    <row r="730" spans="1:18" x14ac:dyDescent="0.25">
      <c r="A730" s="9">
        <v>729</v>
      </c>
      <c r="B730" s="10">
        <v>45363</v>
      </c>
      <c r="C730" s="11" t="s">
        <v>119</v>
      </c>
      <c r="D730" s="11" t="s">
        <v>73</v>
      </c>
      <c r="E730" s="11" t="s">
        <v>74</v>
      </c>
      <c r="F730" s="11" t="s">
        <v>94</v>
      </c>
      <c r="G730" s="9">
        <v>11</v>
      </c>
      <c r="H730" s="26">
        <v>38900</v>
      </c>
      <c r="I730" s="9">
        <v>0</v>
      </c>
      <c r="J730" s="9">
        <f t="shared" si="22"/>
        <v>427900</v>
      </c>
      <c r="K730" s="9">
        <f t="shared" si="23"/>
        <v>427900</v>
      </c>
      <c r="L730" s="11" t="s">
        <v>76</v>
      </c>
      <c r="M730" s="11" t="s">
        <v>81</v>
      </c>
      <c r="N730">
        <v>3</v>
      </c>
      <c r="O730">
        <v>2024</v>
      </c>
      <c r="P730" s="29" t="s">
        <v>711</v>
      </c>
      <c r="Q730" t="s">
        <v>735</v>
      </c>
      <c r="R730" t="s">
        <v>737</v>
      </c>
    </row>
    <row r="731" spans="1:18" x14ac:dyDescent="0.25">
      <c r="A731" s="6">
        <v>730</v>
      </c>
      <c r="B731" s="7">
        <v>45399</v>
      </c>
      <c r="C731" s="8" t="s">
        <v>108</v>
      </c>
      <c r="D731" s="8" t="s">
        <v>117</v>
      </c>
      <c r="E731" s="8" t="s">
        <v>84</v>
      </c>
      <c r="F731" s="8" t="s">
        <v>206</v>
      </c>
      <c r="G731" s="6">
        <v>27</v>
      </c>
      <c r="H731" s="25">
        <v>13600</v>
      </c>
      <c r="I731" s="6">
        <v>0</v>
      </c>
      <c r="J731" s="6">
        <f t="shared" si="22"/>
        <v>367200</v>
      </c>
      <c r="K731" s="6">
        <f t="shared" si="23"/>
        <v>367200</v>
      </c>
      <c r="L731" s="8" t="s">
        <v>76</v>
      </c>
      <c r="M731" s="8" t="s">
        <v>96</v>
      </c>
      <c r="N731">
        <v>4</v>
      </c>
      <c r="O731">
        <v>2024</v>
      </c>
      <c r="P731" s="29" t="s">
        <v>722</v>
      </c>
      <c r="Q731" t="s">
        <v>736</v>
      </c>
      <c r="R731" t="s">
        <v>737</v>
      </c>
    </row>
    <row r="732" spans="1:18" x14ac:dyDescent="0.25">
      <c r="A732" s="9">
        <v>731</v>
      </c>
      <c r="B732" s="10">
        <v>45223</v>
      </c>
      <c r="C732" s="11" t="s">
        <v>101</v>
      </c>
      <c r="D732" s="11" t="s">
        <v>93</v>
      </c>
      <c r="E732" s="11" t="s">
        <v>79</v>
      </c>
      <c r="F732" s="11" t="s">
        <v>80</v>
      </c>
      <c r="G732" s="9">
        <v>12</v>
      </c>
      <c r="H732" s="26">
        <v>9300</v>
      </c>
      <c r="I732" s="9">
        <v>10</v>
      </c>
      <c r="J732" s="9">
        <f t="shared" si="22"/>
        <v>111600</v>
      </c>
      <c r="K732" s="9">
        <f t="shared" si="23"/>
        <v>100440</v>
      </c>
      <c r="L732" s="11" t="s">
        <v>187</v>
      </c>
      <c r="M732" s="11" t="s">
        <v>81</v>
      </c>
      <c r="N732">
        <v>10</v>
      </c>
      <c r="O732">
        <v>2023</v>
      </c>
      <c r="P732" s="29" t="s">
        <v>726</v>
      </c>
      <c r="Q732" t="s">
        <v>733</v>
      </c>
      <c r="R732" t="s">
        <v>739</v>
      </c>
    </row>
    <row r="733" spans="1:18" x14ac:dyDescent="0.25">
      <c r="A733" s="6">
        <v>732</v>
      </c>
      <c r="B733" s="7">
        <v>45257</v>
      </c>
      <c r="C733" s="8" t="s">
        <v>88</v>
      </c>
      <c r="D733" s="8" t="s">
        <v>117</v>
      </c>
      <c r="E733" s="8" t="s">
        <v>74</v>
      </c>
      <c r="F733" s="8" t="s">
        <v>212</v>
      </c>
      <c r="G733" s="6">
        <v>38</v>
      </c>
      <c r="H733" s="25">
        <v>7400</v>
      </c>
      <c r="I733" s="6">
        <v>0</v>
      </c>
      <c r="J733" s="6">
        <f t="shared" si="22"/>
        <v>281200</v>
      </c>
      <c r="K733" s="6">
        <f t="shared" si="23"/>
        <v>281200</v>
      </c>
      <c r="L733" s="8" t="s">
        <v>76</v>
      </c>
      <c r="M733" s="8" t="s">
        <v>81</v>
      </c>
      <c r="N733">
        <v>11</v>
      </c>
      <c r="O733">
        <v>2023</v>
      </c>
      <c r="P733" s="29" t="s">
        <v>718</v>
      </c>
      <c r="Q733" t="s">
        <v>733</v>
      </c>
      <c r="R733" t="s">
        <v>737</v>
      </c>
    </row>
    <row r="734" spans="1:18" x14ac:dyDescent="0.25">
      <c r="A734" s="9">
        <v>733</v>
      </c>
      <c r="B734" s="10">
        <v>45067</v>
      </c>
      <c r="C734" s="11" t="s">
        <v>82</v>
      </c>
      <c r="D734" s="11" t="s">
        <v>117</v>
      </c>
      <c r="E734" s="11" t="s">
        <v>74</v>
      </c>
      <c r="F734" s="11" t="s">
        <v>99</v>
      </c>
      <c r="G734" s="9">
        <v>11</v>
      </c>
      <c r="H734" s="26">
        <v>3500</v>
      </c>
      <c r="I734" s="9">
        <v>10</v>
      </c>
      <c r="J734" s="9">
        <f t="shared" si="22"/>
        <v>38500</v>
      </c>
      <c r="K734" s="9">
        <f t="shared" si="23"/>
        <v>34650</v>
      </c>
      <c r="L734" s="11" t="s">
        <v>76</v>
      </c>
      <c r="M734" s="11" t="s">
        <v>81</v>
      </c>
      <c r="N734">
        <v>5</v>
      </c>
      <c r="O734">
        <v>2023</v>
      </c>
      <c r="P734" s="29" t="s">
        <v>730</v>
      </c>
      <c r="Q734" t="s">
        <v>736</v>
      </c>
      <c r="R734" t="s">
        <v>738</v>
      </c>
    </row>
    <row r="735" spans="1:18" x14ac:dyDescent="0.25">
      <c r="A735" s="6">
        <v>734</v>
      </c>
      <c r="B735" s="7">
        <v>45153</v>
      </c>
      <c r="C735" s="8" t="s">
        <v>106</v>
      </c>
      <c r="D735" s="8" t="s">
        <v>93</v>
      </c>
      <c r="E735" s="8" t="s">
        <v>102</v>
      </c>
      <c r="F735" s="8" t="s">
        <v>137</v>
      </c>
      <c r="G735" s="6">
        <v>5</v>
      </c>
      <c r="H735" s="25">
        <v>2200</v>
      </c>
      <c r="I735" s="6">
        <v>0</v>
      </c>
      <c r="J735" s="6">
        <f t="shared" si="22"/>
        <v>11000</v>
      </c>
      <c r="K735" s="6">
        <f t="shared" si="23"/>
        <v>11000</v>
      </c>
      <c r="L735" s="8" t="s">
        <v>76</v>
      </c>
      <c r="M735" s="8" t="s">
        <v>81</v>
      </c>
      <c r="N735">
        <v>8</v>
      </c>
      <c r="O735">
        <v>2023</v>
      </c>
      <c r="P735" s="29" t="s">
        <v>713</v>
      </c>
      <c r="Q735" t="s">
        <v>734</v>
      </c>
      <c r="R735" t="s">
        <v>738</v>
      </c>
    </row>
    <row r="736" spans="1:18" x14ac:dyDescent="0.25">
      <c r="A736" s="9">
        <v>735</v>
      </c>
      <c r="B736" s="10">
        <v>45418</v>
      </c>
      <c r="C736" s="11" t="s">
        <v>88</v>
      </c>
      <c r="D736" s="11" t="s">
        <v>117</v>
      </c>
      <c r="E736" s="11" t="s">
        <v>74</v>
      </c>
      <c r="F736" s="11" t="s">
        <v>142</v>
      </c>
      <c r="G736" s="9">
        <v>39</v>
      </c>
      <c r="H736" s="26">
        <v>13300</v>
      </c>
      <c r="I736" s="9">
        <v>0</v>
      </c>
      <c r="J736" s="9">
        <f t="shared" si="22"/>
        <v>518700</v>
      </c>
      <c r="K736" s="9">
        <f t="shared" si="23"/>
        <v>518700</v>
      </c>
      <c r="L736" s="11" t="s">
        <v>76</v>
      </c>
      <c r="M736" s="11" t="s">
        <v>96</v>
      </c>
      <c r="N736">
        <v>5</v>
      </c>
      <c r="O736">
        <v>2024</v>
      </c>
      <c r="P736" s="29" t="s">
        <v>732</v>
      </c>
      <c r="Q736" t="s">
        <v>736</v>
      </c>
      <c r="R736" t="s">
        <v>737</v>
      </c>
    </row>
    <row r="737" spans="1:18" x14ac:dyDescent="0.25">
      <c r="A737" s="6">
        <v>736</v>
      </c>
      <c r="B737" s="7">
        <v>45653</v>
      </c>
      <c r="C737" s="8" t="s">
        <v>101</v>
      </c>
      <c r="D737" s="8" t="s">
        <v>73</v>
      </c>
      <c r="E737" s="8" t="s">
        <v>79</v>
      </c>
      <c r="F737" s="8" t="s">
        <v>80</v>
      </c>
      <c r="G737" s="6">
        <v>45</v>
      </c>
      <c r="H737" s="25">
        <v>7900</v>
      </c>
      <c r="I737" s="6">
        <v>0</v>
      </c>
      <c r="J737" s="6">
        <f t="shared" si="22"/>
        <v>355500</v>
      </c>
      <c r="K737" s="6">
        <f t="shared" si="23"/>
        <v>355500</v>
      </c>
      <c r="L737" s="8" t="s">
        <v>76</v>
      </c>
      <c r="M737" s="8" t="s">
        <v>81</v>
      </c>
      <c r="N737">
        <v>12</v>
      </c>
      <c r="O737">
        <v>2024</v>
      </c>
      <c r="P737" s="29" t="s">
        <v>728</v>
      </c>
      <c r="Q737" t="s">
        <v>733</v>
      </c>
      <c r="R737" t="s">
        <v>737</v>
      </c>
    </row>
    <row r="738" spans="1:18" x14ac:dyDescent="0.25">
      <c r="A738" s="9">
        <v>737</v>
      </c>
      <c r="B738" s="10">
        <v>45174</v>
      </c>
      <c r="C738" s="11" t="s">
        <v>106</v>
      </c>
      <c r="D738" s="11" t="s">
        <v>109</v>
      </c>
      <c r="E738" s="11" t="s">
        <v>79</v>
      </c>
      <c r="F738" s="11" t="s">
        <v>115</v>
      </c>
      <c r="G738" s="9">
        <v>8</v>
      </c>
      <c r="H738" s="26">
        <v>9700</v>
      </c>
      <c r="I738" s="9">
        <v>20</v>
      </c>
      <c r="J738" s="9">
        <f t="shared" si="22"/>
        <v>77600</v>
      </c>
      <c r="K738" s="9">
        <f t="shared" si="23"/>
        <v>62080</v>
      </c>
      <c r="L738" s="11" t="s">
        <v>76</v>
      </c>
      <c r="M738" s="11" t="s">
        <v>91</v>
      </c>
      <c r="N738">
        <v>9</v>
      </c>
      <c r="O738">
        <v>2023</v>
      </c>
      <c r="P738" s="29" t="s">
        <v>715</v>
      </c>
      <c r="Q738" t="s">
        <v>734</v>
      </c>
      <c r="R738" t="s">
        <v>739</v>
      </c>
    </row>
    <row r="739" spans="1:18" x14ac:dyDescent="0.25">
      <c r="A739" s="6">
        <v>738</v>
      </c>
      <c r="B739" s="7">
        <v>45368</v>
      </c>
      <c r="C739" s="8" t="s">
        <v>78</v>
      </c>
      <c r="D739" s="8" t="s">
        <v>109</v>
      </c>
      <c r="E739" s="8" t="s">
        <v>79</v>
      </c>
      <c r="F739" s="8" t="s">
        <v>136</v>
      </c>
      <c r="G739" s="6">
        <v>33</v>
      </c>
      <c r="H739" s="25">
        <v>93400</v>
      </c>
      <c r="I739" s="6">
        <v>0</v>
      </c>
      <c r="J739" s="6">
        <f t="shared" si="22"/>
        <v>3082200</v>
      </c>
      <c r="K739" s="6">
        <f t="shared" si="23"/>
        <v>3082200</v>
      </c>
      <c r="L739" s="8" t="s">
        <v>76</v>
      </c>
      <c r="M739" s="8" t="s">
        <v>91</v>
      </c>
      <c r="N739">
        <v>3</v>
      </c>
      <c r="O739">
        <v>2024</v>
      </c>
      <c r="P739" s="29" t="s">
        <v>711</v>
      </c>
      <c r="Q739" t="s">
        <v>735</v>
      </c>
      <c r="R739" t="s">
        <v>737</v>
      </c>
    </row>
    <row r="740" spans="1:18" x14ac:dyDescent="0.25">
      <c r="A740" s="9">
        <v>739</v>
      </c>
      <c r="B740" s="10">
        <v>45186</v>
      </c>
      <c r="C740" s="11" t="s">
        <v>78</v>
      </c>
      <c r="D740" s="11" t="s">
        <v>73</v>
      </c>
      <c r="E740" s="11" t="s">
        <v>74</v>
      </c>
      <c r="F740" s="11" t="s">
        <v>94</v>
      </c>
      <c r="G740" s="9">
        <v>8</v>
      </c>
      <c r="H740" s="26">
        <v>38100</v>
      </c>
      <c r="I740" s="9">
        <v>10</v>
      </c>
      <c r="J740" s="9">
        <f t="shared" si="22"/>
        <v>304800</v>
      </c>
      <c r="K740" s="9">
        <f t="shared" si="23"/>
        <v>274320</v>
      </c>
      <c r="L740" s="11" t="s">
        <v>107</v>
      </c>
      <c r="M740" s="11" t="s">
        <v>81</v>
      </c>
      <c r="N740">
        <v>9</v>
      </c>
      <c r="O740">
        <v>2023</v>
      </c>
      <c r="P740" s="29" t="s">
        <v>715</v>
      </c>
      <c r="Q740" t="s">
        <v>734</v>
      </c>
      <c r="R740" t="s">
        <v>737</v>
      </c>
    </row>
    <row r="741" spans="1:18" x14ac:dyDescent="0.25">
      <c r="A741" s="6">
        <v>740</v>
      </c>
      <c r="B741" s="7">
        <v>45131</v>
      </c>
      <c r="C741" s="8" t="s">
        <v>108</v>
      </c>
      <c r="D741" s="8" t="s">
        <v>117</v>
      </c>
      <c r="E741" s="8" t="s">
        <v>79</v>
      </c>
      <c r="F741" s="8" t="s">
        <v>131</v>
      </c>
      <c r="G741" s="6">
        <v>48</v>
      </c>
      <c r="H741" s="25">
        <v>112400</v>
      </c>
      <c r="I741" s="6">
        <v>0</v>
      </c>
      <c r="J741" s="6">
        <f t="shared" si="22"/>
        <v>5395200</v>
      </c>
      <c r="K741" s="6">
        <f t="shared" si="23"/>
        <v>5395200</v>
      </c>
      <c r="L741" s="8" t="s">
        <v>123</v>
      </c>
      <c r="M741" s="8" t="s">
        <v>96</v>
      </c>
      <c r="N741">
        <v>7</v>
      </c>
      <c r="O741">
        <v>2023</v>
      </c>
      <c r="P741" s="29" t="s">
        <v>724</v>
      </c>
      <c r="Q741" t="s">
        <v>734</v>
      </c>
      <c r="R741" t="s">
        <v>737</v>
      </c>
    </row>
    <row r="742" spans="1:18" x14ac:dyDescent="0.25">
      <c r="A742" s="9">
        <v>741</v>
      </c>
      <c r="B742" s="10">
        <v>45091</v>
      </c>
      <c r="C742" s="11" t="s">
        <v>82</v>
      </c>
      <c r="D742" s="11" t="s">
        <v>93</v>
      </c>
      <c r="E742" s="11" t="s">
        <v>84</v>
      </c>
      <c r="F742" s="11" t="s">
        <v>150</v>
      </c>
      <c r="G742" s="9">
        <v>38</v>
      </c>
      <c r="H742" s="26">
        <v>5100</v>
      </c>
      <c r="I742" s="9">
        <v>15</v>
      </c>
      <c r="J742" s="9">
        <f t="shared" si="22"/>
        <v>193800</v>
      </c>
      <c r="K742" s="9">
        <f t="shared" si="23"/>
        <v>164730</v>
      </c>
      <c r="L742" s="11" t="s">
        <v>187</v>
      </c>
      <c r="M742" s="11" t="s">
        <v>81</v>
      </c>
      <c r="N742">
        <v>6</v>
      </c>
      <c r="O742">
        <v>2023</v>
      </c>
      <c r="P742" s="29" t="s">
        <v>723</v>
      </c>
      <c r="Q742" t="s">
        <v>736</v>
      </c>
      <c r="R742" t="s">
        <v>739</v>
      </c>
    </row>
    <row r="743" spans="1:18" x14ac:dyDescent="0.25">
      <c r="A743" s="6">
        <v>742</v>
      </c>
      <c r="B743" s="7">
        <v>45123</v>
      </c>
      <c r="C743" s="8" t="s">
        <v>101</v>
      </c>
      <c r="D743" s="8" t="s">
        <v>109</v>
      </c>
      <c r="E743" s="8" t="s">
        <v>102</v>
      </c>
      <c r="F743" s="8" t="s">
        <v>138</v>
      </c>
      <c r="G743" s="6">
        <v>7</v>
      </c>
      <c r="H743" s="25">
        <v>7400</v>
      </c>
      <c r="I743" s="6">
        <v>0</v>
      </c>
      <c r="J743" s="6">
        <f t="shared" si="22"/>
        <v>51800</v>
      </c>
      <c r="K743" s="6">
        <f t="shared" si="23"/>
        <v>51800</v>
      </c>
      <c r="L743" s="8" t="s">
        <v>107</v>
      </c>
      <c r="M743" s="8" t="s">
        <v>91</v>
      </c>
      <c r="N743">
        <v>7</v>
      </c>
      <c r="O743">
        <v>2023</v>
      </c>
      <c r="P743" s="29" t="s">
        <v>724</v>
      </c>
      <c r="Q743" t="s">
        <v>734</v>
      </c>
      <c r="R743" t="s">
        <v>739</v>
      </c>
    </row>
    <row r="744" spans="1:18" x14ac:dyDescent="0.25">
      <c r="A744" s="9">
        <v>743</v>
      </c>
      <c r="B744" s="10">
        <v>45641</v>
      </c>
      <c r="C744" s="11" t="s">
        <v>124</v>
      </c>
      <c r="D744" s="11" t="s">
        <v>109</v>
      </c>
      <c r="E744" s="11" t="s">
        <v>111</v>
      </c>
      <c r="F744" s="11" t="s">
        <v>112</v>
      </c>
      <c r="G744" s="9">
        <v>23</v>
      </c>
      <c r="H744" s="26">
        <v>61400</v>
      </c>
      <c r="I744" s="9">
        <v>0</v>
      </c>
      <c r="J744" s="9">
        <f t="shared" si="22"/>
        <v>1412200</v>
      </c>
      <c r="K744" s="9">
        <f t="shared" si="23"/>
        <v>1412200</v>
      </c>
      <c r="L744" s="11" t="s">
        <v>123</v>
      </c>
      <c r="M744" s="11" t="s">
        <v>91</v>
      </c>
      <c r="N744">
        <v>12</v>
      </c>
      <c r="O744">
        <v>2024</v>
      </c>
      <c r="P744" s="29" t="s">
        <v>728</v>
      </c>
      <c r="Q744" t="s">
        <v>733</v>
      </c>
      <c r="R744" t="s">
        <v>737</v>
      </c>
    </row>
    <row r="745" spans="1:18" x14ac:dyDescent="0.25">
      <c r="A745" s="6">
        <v>744</v>
      </c>
      <c r="B745" s="7">
        <v>45571</v>
      </c>
      <c r="C745" s="8" t="s">
        <v>106</v>
      </c>
      <c r="D745" s="8" t="s">
        <v>83</v>
      </c>
      <c r="E745" s="8" t="s">
        <v>79</v>
      </c>
      <c r="F745" s="8" t="s">
        <v>120</v>
      </c>
      <c r="G745" s="6">
        <v>8</v>
      </c>
      <c r="H745" s="25">
        <v>5600</v>
      </c>
      <c r="I745" s="6">
        <v>20</v>
      </c>
      <c r="J745" s="6">
        <f t="shared" si="22"/>
        <v>44800</v>
      </c>
      <c r="K745" s="6">
        <f t="shared" si="23"/>
        <v>35840</v>
      </c>
      <c r="L745" s="8" t="s">
        <v>76</v>
      </c>
      <c r="M745" s="8" t="s">
        <v>91</v>
      </c>
      <c r="N745">
        <v>10</v>
      </c>
      <c r="O745">
        <v>2024</v>
      </c>
      <c r="P745" s="29" t="s">
        <v>709</v>
      </c>
      <c r="Q745" t="s">
        <v>733</v>
      </c>
      <c r="R745" t="s">
        <v>738</v>
      </c>
    </row>
    <row r="746" spans="1:18" x14ac:dyDescent="0.25">
      <c r="A746" s="9">
        <v>745</v>
      </c>
      <c r="B746" s="10">
        <v>45413</v>
      </c>
      <c r="C746" s="11" t="s">
        <v>101</v>
      </c>
      <c r="D746" s="11" t="s">
        <v>93</v>
      </c>
      <c r="E746" s="11" t="s">
        <v>79</v>
      </c>
      <c r="F746" s="11" t="s">
        <v>131</v>
      </c>
      <c r="G746" s="9">
        <v>8</v>
      </c>
      <c r="H746" s="26">
        <v>117800</v>
      </c>
      <c r="I746" s="9">
        <v>10</v>
      </c>
      <c r="J746" s="9">
        <f t="shared" si="22"/>
        <v>942400</v>
      </c>
      <c r="K746" s="9">
        <f t="shared" si="23"/>
        <v>848160</v>
      </c>
      <c r="L746" s="11" t="s">
        <v>76</v>
      </c>
      <c r="M746" s="11" t="s">
        <v>91</v>
      </c>
      <c r="N746">
        <v>5</v>
      </c>
      <c r="O746">
        <v>2024</v>
      </c>
      <c r="P746" s="29" t="s">
        <v>732</v>
      </c>
      <c r="Q746" t="s">
        <v>736</v>
      </c>
      <c r="R746" t="s">
        <v>737</v>
      </c>
    </row>
    <row r="747" spans="1:18" x14ac:dyDescent="0.25">
      <c r="A747" s="6">
        <v>746</v>
      </c>
      <c r="B747" s="7">
        <v>45246</v>
      </c>
      <c r="C747" s="8" t="s">
        <v>119</v>
      </c>
      <c r="D747" s="8" t="s">
        <v>109</v>
      </c>
      <c r="E747" s="8" t="s">
        <v>102</v>
      </c>
      <c r="F747" s="8" t="s">
        <v>151</v>
      </c>
      <c r="G747" s="6">
        <v>28</v>
      </c>
      <c r="H747" s="25">
        <v>7300</v>
      </c>
      <c r="I747" s="6">
        <v>20</v>
      </c>
      <c r="J747" s="6">
        <f t="shared" si="22"/>
        <v>204400</v>
      </c>
      <c r="K747" s="6">
        <f t="shared" si="23"/>
        <v>163520</v>
      </c>
      <c r="L747" s="8" t="s">
        <v>76</v>
      </c>
      <c r="M747" s="8" t="s">
        <v>77</v>
      </c>
      <c r="N747">
        <v>11</v>
      </c>
      <c r="O747">
        <v>2023</v>
      </c>
      <c r="P747" s="29" t="s">
        <v>718</v>
      </c>
      <c r="Q747" t="s">
        <v>733</v>
      </c>
      <c r="R747" t="s">
        <v>739</v>
      </c>
    </row>
    <row r="748" spans="1:18" x14ac:dyDescent="0.25">
      <c r="A748" s="9">
        <v>747</v>
      </c>
      <c r="B748" s="10">
        <v>45327</v>
      </c>
      <c r="C748" s="11" t="s">
        <v>88</v>
      </c>
      <c r="D748" s="11" t="s">
        <v>109</v>
      </c>
      <c r="E748" s="11" t="s">
        <v>79</v>
      </c>
      <c r="F748" s="11" t="s">
        <v>172</v>
      </c>
      <c r="G748" s="9">
        <v>26</v>
      </c>
      <c r="H748" s="26">
        <v>26700</v>
      </c>
      <c r="I748" s="9">
        <v>0</v>
      </c>
      <c r="J748" s="9">
        <f t="shared" si="22"/>
        <v>694200</v>
      </c>
      <c r="K748" s="9">
        <f t="shared" si="23"/>
        <v>694200</v>
      </c>
      <c r="L748" s="11" t="s">
        <v>76</v>
      </c>
      <c r="M748" s="11" t="s">
        <v>77</v>
      </c>
      <c r="N748">
        <v>2</v>
      </c>
      <c r="O748">
        <v>2024</v>
      </c>
      <c r="P748" s="29" t="s">
        <v>729</v>
      </c>
      <c r="Q748" t="s">
        <v>735</v>
      </c>
      <c r="R748" t="s">
        <v>737</v>
      </c>
    </row>
    <row r="749" spans="1:18" x14ac:dyDescent="0.25">
      <c r="A749" s="6">
        <v>748</v>
      </c>
      <c r="B749" s="7">
        <v>45073</v>
      </c>
      <c r="C749" s="8" t="s">
        <v>114</v>
      </c>
      <c r="D749" s="8" t="s">
        <v>83</v>
      </c>
      <c r="E749" s="8" t="s">
        <v>102</v>
      </c>
      <c r="F749" s="8" t="s">
        <v>137</v>
      </c>
      <c r="G749" s="6">
        <v>11</v>
      </c>
      <c r="H749" s="25">
        <v>2400</v>
      </c>
      <c r="I749" s="6">
        <v>0</v>
      </c>
      <c r="J749" s="6">
        <f t="shared" si="22"/>
        <v>26400</v>
      </c>
      <c r="K749" s="6">
        <f t="shared" si="23"/>
        <v>26400</v>
      </c>
      <c r="L749" s="8" t="s">
        <v>76</v>
      </c>
      <c r="M749" s="8" t="s">
        <v>81</v>
      </c>
      <c r="N749">
        <v>5</v>
      </c>
      <c r="O749">
        <v>2023</v>
      </c>
      <c r="P749" s="29" t="s">
        <v>730</v>
      </c>
      <c r="Q749" t="s">
        <v>736</v>
      </c>
      <c r="R749" t="s">
        <v>738</v>
      </c>
    </row>
    <row r="750" spans="1:18" x14ac:dyDescent="0.25">
      <c r="A750" s="9">
        <v>749</v>
      </c>
      <c r="B750" s="10">
        <v>45132</v>
      </c>
      <c r="C750" s="11" t="s">
        <v>124</v>
      </c>
      <c r="D750" s="11" t="s">
        <v>83</v>
      </c>
      <c r="E750" s="11" t="s">
        <v>79</v>
      </c>
      <c r="F750" s="11" t="s">
        <v>80</v>
      </c>
      <c r="G750" s="9">
        <v>47</v>
      </c>
      <c r="H750" s="26">
        <v>9400</v>
      </c>
      <c r="I750" s="9">
        <v>20</v>
      </c>
      <c r="J750" s="9">
        <f t="shared" si="22"/>
        <v>441800</v>
      </c>
      <c r="K750" s="9">
        <f t="shared" si="23"/>
        <v>353440</v>
      </c>
      <c r="L750" s="11" t="s">
        <v>76</v>
      </c>
      <c r="M750" s="11" t="s">
        <v>96</v>
      </c>
      <c r="N750">
        <v>7</v>
      </c>
      <c r="O750">
        <v>2023</v>
      </c>
      <c r="P750" s="29" t="s">
        <v>724</v>
      </c>
      <c r="Q750" t="s">
        <v>734</v>
      </c>
      <c r="R750" t="s">
        <v>737</v>
      </c>
    </row>
    <row r="751" spans="1:18" x14ac:dyDescent="0.25">
      <c r="A751" s="6">
        <v>750</v>
      </c>
      <c r="B751" s="7">
        <v>45586</v>
      </c>
      <c r="C751" s="8" t="s">
        <v>114</v>
      </c>
      <c r="D751" s="8" t="s">
        <v>117</v>
      </c>
      <c r="E751" s="8" t="s">
        <v>111</v>
      </c>
      <c r="F751" s="8" t="s">
        <v>165</v>
      </c>
      <c r="G751" s="6">
        <v>33</v>
      </c>
      <c r="H751" s="25">
        <v>20600</v>
      </c>
      <c r="I751" s="6">
        <v>0</v>
      </c>
      <c r="J751" s="6">
        <f t="shared" si="22"/>
        <v>679800</v>
      </c>
      <c r="K751" s="6">
        <f t="shared" si="23"/>
        <v>679800</v>
      </c>
      <c r="L751" s="8" t="s">
        <v>76</v>
      </c>
      <c r="M751" s="8" t="s">
        <v>91</v>
      </c>
      <c r="N751">
        <v>10</v>
      </c>
      <c r="O751">
        <v>2024</v>
      </c>
      <c r="P751" s="29" t="s">
        <v>709</v>
      </c>
      <c r="Q751" t="s">
        <v>733</v>
      </c>
      <c r="R751" t="s">
        <v>737</v>
      </c>
    </row>
    <row r="752" spans="1:18" x14ac:dyDescent="0.25">
      <c r="A752" s="9">
        <v>751</v>
      </c>
      <c r="B752" s="10">
        <v>45082</v>
      </c>
      <c r="C752" s="11" t="s">
        <v>101</v>
      </c>
      <c r="D752" s="11" t="s">
        <v>83</v>
      </c>
      <c r="E752" s="11" t="s">
        <v>111</v>
      </c>
      <c r="F752" s="11" t="s">
        <v>156</v>
      </c>
      <c r="G752" s="9">
        <v>9</v>
      </c>
      <c r="H752" s="26">
        <v>44400</v>
      </c>
      <c r="I752" s="9">
        <v>20</v>
      </c>
      <c r="J752" s="9">
        <f t="shared" si="22"/>
        <v>399600</v>
      </c>
      <c r="K752" s="9">
        <f t="shared" si="23"/>
        <v>319680</v>
      </c>
      <c r="L752" s="11" t="s">
        <v>76</v>
      </c>
      <c r="M752" s="31" t="s">
        <v>695</v>
      </c>
      <c r="N752">
        <v>6</v>
      </c>
      <c r="O752">
        <v>2023</v>
      </c>
      <c r="P752" s="29" t="s">
        <v>723</v>
      </c>
      <c r="Q752" t="s">
        <v>736</v>
      </c>
      <c r="R752" t="s">
        <v>737</v>
      </c>
    </row>
    <row r="753" spans="1:18" x14ac:dyDescent="0.25">
      <c r="A753" s="6">
        <v>752</v>
      </c>
      <c r="B753" s="7">
        <v>45233</v>
      </c>
      <c r="C753" s="8" t="s">
        <v>119</v>
      </c>
      <c r="D753" s="8" t="s">
        <v>73</v>
      </c>
      <c r="E753" s="8" t="s">
        <v>84</v>
      </c>
      <c r="F753" s="8" t="s">
        <v>148</v>
      </c>
      <c r="G753" s="6">
        <v>21</v>
      </c>
      <c r="H753" s="25">
        <v>5000</v>
      </c>
      <c r="I753" s="6">
        <v>20</v>
      </c>
      <c r="J753" s="6">
        <f t="shared" si="22"/>
        <v>105000</v>
      </c>
      <c r="K753" s="6">
        <f t="shared" si="23"/>
        <v>84000</v>
      </c>
      <c r="L753" s="8" t="s">
        <v>76</v>
      </c>
      <c r="M753" s="8" t="s">
        <v>77</v>
      </c>
      <c r="N753">
        <v>11</v>
      </c>
      <c r="O753">
        <v>2023</v>
      </c>
      <c r="P753" s="29" t="s">
        <v>718</v>
      </c>
      <c r="Q753" t="s">
        <v>733</v>
      </c>
      <c r="R753" t="s">
        <v>739</v>
      </c>
    </row>
    <row r="754" spans="1:18" x14ac:dyDescent="0.25">
      <c r="A754" s="9">
        <v>753</v>
      </c>
      <c r="B754" s="10">
        <v>45005</v>
      </c>
      <c r="C754" s="11" t="s">
        <v>82</v>
      </c>
      <c r="D754" s="11" t="s">
        <v>83</v>
      </c>
      <c r="E754" s="11" t="s">
        <v>111</v>
      </c>
      <c r="F754" s="11" t="s">
        <v>156</v>
      </c>
      <c r="G754" s="9">
        <v>32</v>
      </c>
      <c r="H754" s="26">
        <v>40900</v>
      </c>
      <c r="I754" s="9">
        <v>10</v>
      </c>
      <c r="J754" s="9">
        <f t="shared" si="22"/>
        <v>1308800</v>
      </c>
      <c r="K754" s="9">
        <f t="shared" si="23"/>
        <v>1177920</v>
      </c>
      <c r="L754" s="11" t="s">
        <v>76</v>
      </c>
      <c r="M754" s="31" t="s">
        <v>695</v>
      </c>
      <c r="N754">
        <v>3</v>
      </c>
      <c r="O754">
        <v>2023</v>
      </c>
      <c r="P754" s="29" t="s">
        <v>719</v>
      </c>
      <c r="Q754" t="s">
        <v>735</v>
      </c>
      <c r="R754" t="s">
        <v>737</v>
      </c>
    </row>
    <row r="755" spans="1:18" x14ac:dyDescent="0.25">
      <c r="A755" s="6">
        <v>754</v>
      </c>
      <c r="B755" s="7">
        <v>45278</v>
      </c>
      <c r="C755" s="8" t="s">
        <v>82</v>
      </c>
      <c r="D755" s="8" t="s">
        <v>93</v>
      </c>
      <c r="E755" s="8" t="s">
        <v>79</v>
      </c>
      <c r="F755" s="8" t="s">
        <v>136</v>
      </c>
      <c r="G755" s="6">
        <v>8</v>
      </c>
      <c r="H755" s="25">
        <v>97600</v>
      </c>
      <c r="I755" s="6">
        <v>20</v>
      </c>
      <c r="J755" s="6">
        <f t="shared" si="22"/>
        <v>780800</v>
      </c>
      <c r="K755" s="6">
        <f t="shared" si="23"/>
        <v>624640</v>
      </c>
      <c r="L755" s="8" t="s">
        <v>76</v>
      </c>
      <c r="M755" s="8" t="s">
        <v>96</v>
      </c>
      <c r="N755">
        <v>12</v>
      </c>
      <c r="O755">
        <v>2023</v>
      </c>
      <c r="P755" s="29" t="s">
        <v>725</v>
      </c>
      <c r="Q755" t="s">
        <v>733</v>
      </c>
      <c r="R755" t="s">
        <v>737</v>
      </c>
    </row>
    <row r="756" spans="1:18" x14ac:dyDescent="0.25">
      <c r="A756" s="9">
        <v>755</v>
      </c>
      <c r="B756" s="10">
        <v>45312</v>
      </c>
      <c r="C756" s="11" t="s">
        <v>119</v>
      </c>
      <c r="D756" s="11" t="s">
        <v>83</v>
      </c>
      <c r="E756" s="11" t="s">
        <v>79</v>
      </c>
      <c r="F756" s="11" t="s">
        <v>136</v>
      </c>
      <c r="G756" s="9">
        <v>43</v>
      </c>
      <c r="H756" s="26">
        <v>80300</v>
      </c>
      <c r="I756" s="9">
        <v>15</v>
      </c>
      <c r="J756" s="9">
        <f t="shared" si="22"/>
        <v>3452900</v>
      </c>
      <c r="K756" s="9">
        <f t="shared" si="23"/>
        <v>2934965</v>
      </c>
      <c r="L756" s="11" t="s">
        <v>107</v>
      </c>
      <c r="M756" s="11" t="s">
        <v>96</v>
      </c>
      <c r="N756">
        <v>1</v>
      </c>
      <c r="O756">
        <v>2024</v>
      </c>
      <c r="P756" s="29" t="s">
        <v>727</v>
      </c>
      <c r="Q756" t="s">
        <v>735</v>
      </c>
      <c r="R756" t="s">
        <v>737</v>
      </c>
    </row>
    <row r="757" spans="1:18" x14ac:dyDescent="0.25">
      <c r="A757" s="6">
        <v>756</v>
      </c>
      <c r="B757" s="7">
        <v>45095</v>
      </c>
      <c r="C757" s="8" t="s">
        <v>119</v>
      </c>
      <c r="D757" s="8" t="s">
        <v>83</v>
      </c>
      <c r="E757" s="8" t="s">
        <v>84</v>
      </c>
      <c r="F757" s="8" t="s">
        <v>134</v>
      </c>
      <c r="G757" s="6">
        <v>32</v>
      </c>
      <c r="H757" s="25">
        <v>10400</v>
      </c>
      <c r="I757" s="6">
        <v>15</v>
      </c>
      <c r="J757" s="6">
        <f t="shared" si="22"/>
        <v>332800</v>
      </c>
      <c r="K757" s="6">
        <f t="shared" si="23"/>
        <v>282880</v>
      </c>
      <c r="L757" s="8" t="s">
        <v>187</v>
      </c>
      <c r="M757" s="8" t="s">
        <v>91</v>
      </c>
      <c r="N757">
        <v>6</v>
      </c>
      <c r="O757">
        <v>2023</v>
      </c>
      <c r="P757" s="29" t="s">
        <v>723</v>
      </c>
      <c r="Q757" t="s">
        <v>736</v>
      </c>
      <c r="R757" t="s">
        <v>737</v>
      </c>
    </row>
    <row r="758" spans="1:18" x14ac:dyDescent="0.25">
      <c r="A758" s="9">
        <v>757</v>
      </c>
      <c r="B758" s="10">
        <v>45494</v>
      </c>
      <c r="C758" s="11" t="s">
        <v>82</v>
      </c>
      <c r="D758" s="11" t="s">
        <v>93</v>
      </c>
      <c r="E758" s="11" t="s">
        <v>111</v>
      </c>
      <c r="F758" s="11" t="s">
        <v>159</v>
      </c>
      <c r="G758" s="9">
        <v>11</v>
      </c>
      <c r="H758" s="26">
        <v>12500</v>
      </c>
      <c r="I758" s="9">
        <v>0</v>
      </c>
      <c r="J758" s="9">
        <f t="shared" si="22"/>
        <v>137500</v>
      </c>
      <c r="K758" s="9">
        <f t="shared" si="23"/>
        <v>137500</v>
      </c>
      <c r="L758" s="11" t="s">
        <v>76</v>
      </c>
      <c r="M758" s="11" t="s">
        <v>91</v>
      </c>
      <c r="N758">
        <v>7</v>
      </c>
      <c r="O758">
        <v>2024</v>
      </c>
      <c r="P758" s="29" t="s">
        <v>712</v>
      </c>
      <c r="Q758" t="s">
        <v>734</v>
      </c>
      <c r="R758" t="s">
        <v>739</v>
      </c>
    </row>
    <row r="759" spans="1:18" x14ac:dyDescent="0.25">
      <c r="A759" s="6">
        <v>758</v>
      </c>
      <c r="B759" s="7">
        <v>45433</v>
      </c>
      <c r="C759" s="8" t="s">
        <v>124</v>
      </c>
      <c r="D759" s="8" t="s">
        <v>83</v>
      </c>
      <c r="E759" s="8" t="s">
        <v>102</v>
      </c>
      <c r="F759" s="8" t="s">
        <v>157</v>
      </c>
      <c r="G759" s="6">
        <v>19</v>
      </c>
      <c r="H759" s="25">
        <v>13100</v>
      </c>
      <c r="I759" s="6">
        <v>10</v>
      </c>
      <c r="J759" s="6">
        <f t="shared" si="22"/>
        <v>248900</v>
      </c>
      <c r="K759" s="6">
        <f t="shared" si="23"/>
        <v>224010</v>
      </c>
      <c r="L759" s="8" t="s">
        <v>76</v>
      </c>
      <c r="M759" s="8" t="s">
        <v>77</v>
      </c>
      <c r="N759">
        <v>5</v>
      </c>
      <c r="O759">
        <v>2024</v>
      </c>
      <c r="P759" s="29" t="s">
        <v>732</v>
      </c>
      <c r="Q759" t="s">
        <v>736</v>
      </c>
      <c r="R759" t="s">
        <v>737</v>
      </c>
    </row>
    <row r="760" spans="1:18" x14ac:dyDescent="0.25">
      <c r="A760" s="9">
        <v>759</v>
      </c>
      <c r="B760" s="10">
        <v>44973</v>
      </c>
      <c r="C760" s="11" t="s">
        <v>108</v>
      </c>
      <c r="D760" s="11" t="s">
        <v>117</v>
      </c>
      <c r="E760" s="11" t="s">
        <v>74</v>
      </c>
      <c r="F760" s="11" t="s">
        <v>94</v>
      </c>
      <c r="G760" s="9">
        <v>41</v>
      </c>
      <c r="H760" s="26">
        <v>38200</v>
      </c>
      <c r="I760" s="9">
        <v>5</v>
      </c>
      <c r="J760" s="9">
        <f t="shared" si="22"/>
        <v>1566200</v>
      </c>
      <c r="K760" s="9">
        <f t="shared" si="23"/>
        <v>1487890</v>
      </c>
      <c r="L760" s="11" t="s">
        <v>76</v>
      </c>
      <c r="M760" s="11" t="s">
        <v>77</v>
      </c>
      <c r="N760">
        <v>2</v>
      </c>
      <c r="O760">
        <v>2023</v>
      </c>
      <c r="P760" s="29" t="s">
        <v>717</v>
      </c>
      <c r="Q760" t="s">
        <v>735</v>
      </c>
      <c r="R760" t="s">
        <v>737</v>
      </c>
    </row>
    <row r="761" spans="1:18" x14ac:dyDescent="0.25">
      <c r="A761" s="6">
        <v>760</v>
      </c>
      <c r="B761" s="7">
        <v>45280</v>
      </c>
      <c r="C761" s="8" t="s">
        <v>88</v>
      </c>
      <c r="D761" s="8" t="s">
        <v>83</v>
      </c>
      <c r="E761" s="8" t="s">
        <v>74</v>
      </c>
      <c r="F761" s="8" t="s">
        <v>94</v>
      </c>
      <c r="G761" s="6">
        <v>16</v>
      </c>
      <c r="H761" s="25">
        <v>37300</v>
      </c>
      <c r="I761" s="6">
        <v>0</v>
      </c>
      <c r="J761" s="6">
        <f t="shared" si="22"/>
        <v>596800</v>
      </c>
      <c r="K761" s="6">
        <f t="shared" si="23"/>
        <v>596800</v>
      </c>
      <c r="L761" s="8" t="s">
        <v>76</v>
      </c>
      <c r="M761" s="8" t="s">
        <v>96</v>
      </c>
      <c r="N761">
        <v>12</v>
      </c>
      <c r="O761">
        <v>2023</v>
      </c>
      <c r="P761" s="29" t="s">
        <v>725</v>
      </c>
      <c r="Q761" t="s">
        <v>733</v>
      </c>
      <c r="R761" t="s">
        <v>737</v>
      </c>
    </row>
    <row r="762" spans="1:18" x14ac:dyDescent="0.25">
      <c r="A762" s="9">
        <v>761</v>
      </c>
      <c r="B762" s="10">
        <v>45013</v>
      </c>
      <c r="C762" s="11" t="s">
        <v>97</v>
      </c>
      <c r="D762" s="11" t="s">
        <v>117</v>
      </c>
      <c r="E762" s="11" t="s">
        <v>79</v>
      </c>
      <c r="F762" s="11" t="s">
        <v>120</v>
      </c>
      <c r="G762" s="9">
        <v>35</v>
      </c>
      <c r="H762" s="26">
        <v>5700</v>
      </c>
      <c r="I762" s="9">
        <v>15</v>
      </c>
      <c r="J762" s="9">
        <f t="shared" si="22"/>
        <v>199500</v>
      </c>
      <c r="K762" s="9">
        <f t="shared" si="23"/>
        <v>169575</v>
      </c>
      <c r="L762" s="11" t="s">
        <v>76</v>
      </c>
      <c r="M762" s="11" t="s">
        <v>91</v>
      </c>
      <c r="N762">
        <v>3</v>
      </c>
      <c r="O762">
        <v>2023</v>
      </c>
      <c r="P762" s="29" t="s">
        <v>719</v>
      </c>
      <c r="Q762" t="s">
        <v>735</v>
      </c>
      <c r="R762" t="s">
        <v>739</v>
      </c>
    </row>
    <row r="763" spans="1:18" x14ac:dyDescent="0.25">
      <c r="A763" s="6">
        <v>762</v>
      </c>
      <c r="B763" s="7">
        <v>45507</v>
      </c>
      <c r="C763" s="8" t="s">
        <v>124</v>
      </c>
      <c r="D763" s="8" t="s">
        <v>93</v>
      </c>
      <c r="E763" s="8" t="s">
        <v>111</v>
      </c>
      <c r="F763" s="8" t="s">
        <v>135</v>
      </c>
      <c r="G763" s="6">
        <v>31</v>
      </c>
      <c r="H763" s="25">
        <v>104100</v>
      </c>
      <c r="I763" s="6">
        <v>5</v>
      </c>
      <c r="J763" s="6">
        <f t="shared" si="22"/>
        <v>3227100</v>
      </c>
      <c r="K763" s="6">
        <f t="shared" si="23"/>
        <v>3065745</v>
      </c>
      <c r="L763" s="8" t="s">
        <v>76</v>
      </c>
      <c r="M763" s="8" t="s">
        <v>96</v>
      </c>
      <c r="N763">
        <v>8</v>
      </c>
      <c r="O763">
        <v>2024</v>
      </c>
      <c r="P763" s="29" t="s">
        <v>710</v>
      </c>
      <c r="Q763" t="s">
        <v>734</v>
      </c>
      <c r="R763" t="s">
        <v>737</v>
      </c>
    </row>
    <row r="764" spans="1:18" x14ac:dyDescent="0.25">
      <c r="A764" s="9">
        <v>763</v>
      </c>
      <c r="B764" s="10">
        <v>45481</v>
      </c>
      <c r="C764" s="11" t="s">
        <v>114</v>
      </c>
      <c r="D764" s="11" t="s">
        <v>117</v>
      </c>
      <c r="E764" s="11" t="s">
        <v>102</v>
      </c>
      <c r="F764" s="11" t="s">
        <v>137</v>
      </c>
      <c r="G764" s="9">
        <v>7</v>
      </c>
      <c r="H764" s="26">
        <v>2400</v>
      </c>
      <c r="I764" s="9">
        <v>0</v>
      </c>
      <c r="J764" s="9">
        <f t="shared" si="22"/>
        <v>16800</v>
      </c>
      <c r="K764" s="9">
        <f t="shared" si="23"/>
        <v>16800</v>
      </c>
      <c r="L764" s="11" t="s">
        <v>187</v>
      </c>
      <c r="M764" s="11" t="s">
        <v>81</v>
      </c>
      <c r="N764">
        <v>7</v>
      </c>
      <c r="O764">
        <v>2024</v>
      </c>
      <c r="P764" s="29" t="s">
        <v>712</v>
      </c>
      <c r="Q764" t="s">
        <v>734</v>
      </c>
      <c r="R764" t="s">
        <v>738</v>
      </c>
    </row>
    <row r="765" spans="1:18" x14ac:dyDescent="0.25">
      <c r="A765" s="6">
        <v>764</v>
      </c>
      <c r="B765" s="7">
        <v>45435</v>
      </c>
      <c r="C765" s="8" t="s">
        <v>82</v>
      </c>
      <c r="D765" s="8" t="s">
        <v>117</v>
      </c>
      <c r="E765" s="8" t="s">
        <v>84</v>
      </c>
      <c r="F765" s="8" t="s">
        <v>134</v>
      </c>
      <c r="G765" s="6">
        <v>28</v>
      </c>
      <c r="H765" s="25">
        <v>9500</v>
      </c>
      <c r="I765" s="6">
        <v>20</v>
      </c>
      <c r="J765" s="6">
        <f t="shared" si="22"/>
        <v>266000</v>
      </c>
      <c r="K765" s="6">
        <f t="shared" si="23"/>
        <v>212800</v>
      </c>
      <c r="L765" s="8" t="s">
        <v>76</v>
      </c>
      <c r="M765" s="8" t="s">
        <v>77</v>
      </c>
      <c r="N765">
        <v>5</v>
      </c>
      <c r="O765">
        <v>2024</v>
      </c>
      <c r="P765" s="29" t="s">
        <v>732</v>
      </c>
      <c r="Q765" t="s">
        <v>736</v>
      </c>
      <c r="R765" t="s">
        <v>737</v>
      </c>
    </row>
    <row r="766" spans="1:18" x14ac:dyDescent="0.25">
      <c r="A766" s="9">
        <v>765</v>
      </c>
      <c r="B766" s="10">
        <v>45329</v>
      </c>
      <c r="C766" s="11" t="s">
        <v>106</v>
      </c>
      <c r="D766" s="11" t="s">
        <v>117</v>
      </c>
      <c r="E766" s="11" t="s">
        <v>74</v>
      </c>
      <c r="F766" s="11" t="s">
        <v>94</v>
      </c>
      <c r="G766" s="9">
        <v>37</v>
      </c>
      <c r="H766" s="26">
        <v>34100</v>
      </c>
      <c r="I766" s="9">
        <v>10</v>
      </c>
      <c r="J766" s="9">
        <f t="shared" si="22"/>
        <v>1261700</v>
      </c>
      <c r="K766" s="9">
        <f t="shared" si="23"/>
        <v>1135530</v>
      </c>
      <c r="L766" s="11" t="s">
        <v>76</v>
      </c>
      <c r="M766" s="11" t="s">
        <v>81</v>
      </c>
      <c r="N766">
        <v>2</v>
      </c>
      <c r="O766">
        <v>2024</v>
      </c>
      <c r="P766" s="29" t="s">
        <v>729</v>
      </c>
      <c r="Q766" t="s">
        <v>735</v>
      </c>
      <c r="R766" t="s">
        <v>737</v>
      </c>
    </row>
    <row r="767" spans="1:18" x14ac:dyDescent="0.25">
      <c r="A767" s="6">
        <v>766</v>
      </c>
      <c r="B767" s="7">
        <v>45050</v>
      </c>
      <c r="C767" s="8" t="s">
        <v>124</v>
      </c>
      <c r="D767" s="8" t="s">
        <v>73</v>
      </c>
      <c r="E767" s="8" t="s">
        <v>102</v>
      </c>
      <c r="F767" s="8" t="s">
        <v>157</v>
      </c>
      <c r="G767" s="6">
        <v>37</v>
      </c>
      <c r="H767" s="25">
        <v>11600</v>
      </c>
      <c r="I767" s="6">
        <v>5</v>
      </c>
      <c r="J767" s="6">
        <f t="shared" si="22"/>
        <v>429200</v>
      </c>
      <c r="K767" s="6">
        <f t="shared" si="23"/>
        <v>407740</v>
      </c>
      <c r="L767" s="8" t="s">
        <v>187</v>
      </c>
      <c r="M767" s="8" t="s">
        <v>91</v>
      </c>
      <c r="N767">
        <v>5</v>
      </c>
      <c r="O767">
        <v>2023</v>
      </c>
      <c r="P767" s="29" t="s">
        <v>730</v>
      </c>
      <c r="Q767" t="s">
        <v>736</v>
      </c>
      <c r="R767" t="s">
        <v>737</v>
      </c>
    </row>
    <row r="768" spans="1:18" x14ac:dyDescent="0.25">
      <c r="A768" s="9">
        <v>767</v>
      </c>
      <c r="B768" s="10">
        <v>44993</v>
      </c>
      <c r="C768" s="11" t="s">
        <v>88</v>
      </c>
      <c r="D768" s="11" t="s">
        <v>73</v>
      </c>
      <c r="E768" s="11" t="s">
        <v>74</v>
      </c>
      <c r="F768" s="11" t="s">
        <v>190</v>
      </c>
      <c r="G768" s="9">
        <v>35</v>
      </c>
      <c r="H768" s="26">
        <v>32300</v>
      </c>
      <c r="I768" s="9">
        <v>5</v>
      </c>
      <c r="J768" s="9">
        <f t="shared" si="22"/>
        <v>1130500</v>
      </c>
      <c r="K768" s="9">
        <f t="shared" si="23"/>
        <v>1073975</v>
      </c>
      <c r="L768" s="11" t="s">
        <v>76</v>
      </c>
      <c r="M768" s="11" t="s">
        <v>91</v>
      </c>
      <c r="N768">
        <v>3</v>
      </c>
      <c r="O768">
        <v>2023</v>
      </c>
      <c r="P768" s="29" t="s">
        <v>719</v>
      </c>
      <c r="Q768" t="s">
        <v>735</v>
      </c>
      <c r="R768" t="s">
        <v>737</v>
      </c>
    </row>
    <row r="769" spans="1:18" x14ac:dyDescent="0.25">
      <c r="A769" s="6">
        <v>768</v>
      </c>
      <c r="B769" s="7">
        <v>45184</v>
      </c>
      <c r="C769" s="8" t="s">
        <v>124</v>
      </c>
      <c r="D769" s="8" t="s">
        <v>93</v>
      </c>
      <c r="E769" s="8" t="s">
        <v>111</v>
      </c>
      <c r="F769" s="8" t="s">
        <v>166</v>
      </c>
      <c r="G769" s="6">
        <v>41</v>
      </c>
      <c r="H769" s="25">
        <v>31400</v>
      </c>
      <c r="I769" s="6">
        <v>10</v>
      </c>
      <c r="J769" s="6">
        <f t="shared" si="22"/>
        <v>1287400</v>
      </c>
      <c r="K769" s="6">
        <f t="shared" si="23"/>
        <v>1158660</v>
      </c>
      <c r="L769" s="8" t="s">
        <v>187</v>
      </c>
      <c r="M769" s="8" t="s">
        <v>81</v>
      </c>
      <c r="N769">
        <v>9</v>
      </c>
      <c r="O769">
        <v>2023</v>
      </c>
      <c r="P769" s="29" t="s">
        <v>715</v>
      </c>
      <c r="Q769" t="s">
        <v>734</v>
      </c>
      <c r="R769" t="s">
        <v>737</v>
      </c>
    </row>
    <row r="770" spans="1:18" x14ac:dyDescent="0.25">
      <c r="A770" s="9">
        <v>769</v>
      </c>
      <c r="B770" s="10">
        <v>45438</v>
      </c>
      <c r="C770" s="11" t="s">
        <v>106</v>
      </c>
      <c r="D770" s="11" t="s">
        <v>83</v>
      </c>
      <c r="E770" s="11" t="s">
        <v>74</v>
      </c>
      <c r="F770" s="11" t="s">
        <v>140</v>
      </c>
      <c r="G770" s="9">
        <v>47</v>
      </c>
      <c r="H770" s="26">
        <v>5100</v>
      </c>
      <c r="I770" s="9">
        <v>0</v>
      </c>
      <c r="J770" s="9">
        <f t="shared" ref="J770:J833" si="24">G770*H770</f>
        <v>239700</v>
      </c>
      <c r="K770" s="9">
        <f t="shared" ref="K770:K833" si="25">J770*(1-I770/100)</f>
        <v>239700</v>
      </c>
      <c r="L770" s="11" t="s">
        <v>76</v>
      </c>
      <c r="M770" s="11" t="s">
        <v>81</v>
      </c>
      <c r="N770">
        <v>5</v>
      </c>
      <c r="O770">
        <v>2024</v>
      </c>
      <c r="P770" s="29" t="s">
        <v>732</v>
      </c>
      <c r="Q770" t="s">
        <v>736</v>
      </c>
      <c r="R770" t="s">
        <v>737</v>
      </c>
    </row>
    <row r="771" spans="1:18" x14ac:dyDescent="0.25">
      <c r="A771" s="6">
        <v>770</v>
      </c>
      <c r="B771" s="7">
        <v>45400</v>
      </c>
      <c r="C771" s="8" t="s">
        <v>108</v>
      </c>
      <c r="D771" s="8" t="s">
        <v>109</v>
      </c>
      <c r="E771" s="8" t="s">
        <v>84</v>
      </c>
      <c r="F771" s="8" t="s">
        <v>134</v>
      </c>
      <c r="G771" s="6">
        <v>27</v>
      </c>
      <c r="H771" s="25">
        <v>10700</v>
      </c>
      <c r="I771" s="6">
        <v>15</v>
      </c>
      <c r="J771" s="6">
        <f t="shared" si="24"/>
        <v>288900</v>
      </c>
      <c r="K771" s="6">
        <f t="shared" si="25"/>
        <v>245565</v>
      </c>
      <c r="L771" s="8" t="s">
        <v>76</v>
      </c>
      <c r="M771" s="8" t="s">
        <v>77</v>
      </c>
      <c r="N771">
        <v>4</v>
      </c>
      <c r="O771">
        <v>2024</v>
      </c>
      <c r="P771" s="29" t="s">
        <v>722</v>
      </c>
      <c r="Q771" t="s">
        <v>736</v>
      </c>
      <c r="R771" t="s">
        <v>737</v>
      </c>
    </row>
    <row r="772" spans="1:18" x14ac:dyDescent="0.25">
      <c r="A772" s="9">
        <v>771</v>
      </c>
      <c r="B772" s="10">
        <v>45135</v>
      </c>
      <c r="C772" s="11" t="s">
        <v>114</v>
      </c>
      <c r="D772" s="11" t="s">
        <v>117</v>
      </c>
      <c r="E772" s="11" t="s">
        <v>74</v>
      </c>
      <c r="F772" s="11" t="s">
        <v>142</v>
      </c>
      <c r="G772" s="9">
        <v>39</v>
      </c>
      <c r="H772" s="26">
        <v>11600</v>
      </c>
      <c r="I772" s="9">
        <v>0</v>
      </c>
      <c r="J772" s="9">
        <f t="shared" si="24"/>
        <v>452400</v>
      </c>
      <c r="K772" s="9">
        <f t="shared" si="25"/>
        <v>452400</v>
      </c>
      <c r="L772" s="11" t="s">
        <v>76</v>
      </c>
      <c r="M772" s="11" t="s">
        <v>81</v>
      </c>
      <c r="N772">
        <v>7</v>
      </c>
      <c r="O772">
        <v>2023</v>
      </c>
      <c r="P772" s="29" t="s">
        <v>724</v>
      </c>
      <c r="Q772" t="s">
        <v>734</v>
      </c>
      <c r="R772" t="s">
        <v>737</v>
      </c>
    </row>
    <row r="773" spans="1:18" x14ac:dyDescent="0.25">
      <c r="A773" s="6">
        <v>772</v>
      </c>
      <c r="B773" s="7">
        <v>44991</v>
      </c>
      <c r="C773" s="8" t="s">
        <v>106</v>
      </c>
      <c r="D773" s="8" t="s">
        <v>73</v>
      </c>
      <c r="E773" s="8" t="s">
        <v>84</v>
      </c>
      <c r="F773" s="8" t="s">
        <v>134</v>
      </c>
      <c r="G773" s="6">
        <v>36</v>
      </c>
      <c r="H773" s="25">
        <v>9800</v>
      </c>
      <c r="I773" s="6">
        <v>15</v>
      </c>
      <c r="J773" s="6">
        <f t="shared" si="24"/>
        <v>352800</v>
      </c>
      <c r="K773" s="6">
        <f t="shared" si="25"/>
        <v>299880</v>
      </c>
      <c r="L773" s="8" t="s">
        <v>123</v>
      </c>
      <c r="M773" s="8" t="s">
        <v>91</v>
      </c>
      <c r="N773">
        <v>3</v>
      </c>
      <c r="O773">
        <v>2023</v>
      </c>
      <c r="P773" s="29" t="s">
        <v>719</v>
      </c>
      <c r="Q773" t="s">
        <v>735</v>
      </c>
      <c r="R773" t="s">
        <v>737</v>
      </c>
    </row>
    <row r="774" spans="1:18" x14ac:dyDescent="0.25">
      <c r="A774" s="9">
        <v>773</v>
      </c>
      <c r="B774" s="10">
        <v>45109</v>
      </c>
      <c r="C774" s="11" t="s">
        <v>106</v>
      </c>
      <c r="D774" s="11" t="s">
        <v>109</v>
      </c>
      <c r="E774" s="11" t="s">
        <v>74</v>
      </c>
      <c r="F774" s="11" t="s">
        <v>142</v>
      </c>
      <c r="G774" s="9">
        <v>18</v>
      </c>
      <c r="H774" s="26">
        <v>10900</v>
      </c>
      <c r="I774" s="9">
        <v>15</v>
      </c>
      <c r="J774" s="9">
        <f t="shared" si="24"/>
        <v>196200</v>
      </c>
      <c r="K774" s="9">
        <f t="shared" si="25"/>
        <v>166770</v>
      </c>
      <c r="L774" s="11" t="s">
        <v>187</v>
      </c>
      <c r="M774" s="11" t="s">
        <v>81</v>
      </c>
      <c r="N774">
        <v>7</v>
      </c>
      <c r="O774">
        <v>2023</v>
      </c>
      <c r="P774" s="29" t="s">
        <v>724</v>
      </c>
      <c r="Q774" t="s">
        <v>734</v>
      </c>
      <c r="R774" t="s">
        <v>739</v>
      </c>
    </row>
    <row r="775" spans="1:18" x14ac:dyDescent="0.25">
      <c r="A775" s="6">
        <v>774</v>
      </c>
      <c r="B775" s="7">
        <v>44970</v>
      </c>
      <c r="C775" s="8" t="s">
        <v>119</v>
      </c>
      <c r="D775" s="8" t="s">
        <v>73</v>
      </c>
      <c r="E775" s="8" t="s">
        <v>79</v>
      </c>
      <c r="F775" s="8" t="s">
        <v>131</v>
      </c>
      <c r="G775" s="6">
        <v>20</v>
      </c>
      <c r="H775" s="25">
        <v>117400</v>
      </c>
      <c r="I775" s="6">
        <v>0</v>
      </c>
      <c r="J775" s="6">
        <f t="shared" si="24"/>
        <v>2348000</v>
      </c>
      <c r="K775" s="6">
        <f t="shared" si="25"/>
        <v>2348000</v>
      </c>
      <c r="L775" s="8" t="s">
        <v>107</v>
      </c>
      <c r="M775" s="8" t="s">
        <v>91</v>
      </c>
      <c r="N775">
        <v>2</v>
      </c>
      <c r="O775">
        <v>2023</v>
      </c>
      <c r="P775" s="29" t="s">
        <v>717</v>
      </c>
      <c r="Q775" t="s">
        <v>735</v>
      </c>
      <c r="R775" t="s">
        <v>737</v>
      </c>
    </row>
    <row r="776" spans="1:18" x14ac:dyDescent="0.25">
      <c r="A776" s="9">
        <v>775</v>
      </c>
      <c r="B776" s="10">
        <v>45614</v>
      </c>
      <c r="C776" s="11" t="s">
        <v>97</v>
      </c>
      <c r="D776" s="11" t="s">
        <v>83</v>
      </c>
      <c r="E776" s="11" t="s">
        <v>84</v>
      </c>
      <c r="F776" s="11" t="s">
        <v>90</v>
      </c>
      <c r="G776" s="9">
        <v>48</v>
      </c>
      <c r="H776" s="26">
        <v>1700</v>
      </c>
      <c r="I776" s="9">
        <v>10</v>
      </c>
      <c r="J776" s="9">
        <f t="shared" si="24"/>
        <v>81600</v>
      </c>
      <c r="K776" s="9">
        <f t="shared" si="25"/>
        <v>73440</v>
      </c>
      <c r="L776" s="11" t="s">
        <v>76</v>
      </c>
      <c r="M776" s="11" t="s">
        <v>77</v>
      </c>
      <c r="N776">
        <v>11</v>
      </c>
      <c r="O776">
        <v>2024</v>
      </c>
      <c r="P776" s="29" t="s">
        <v>714</v>
      </c>
      <c r="Q776" t="s">
        <v>733</v>
      </c>
      <c r="R776" t="s">
        <v>739</v>
      </c>
    </row>
    <row r="777" spans="1:18" x14ac:dyDescent="0.25">
      <c r="A777" s="6">
        <v>776</v>
      </c>
      <c r="B777" s="7">
        <v>45607</v>
      </c>
      <c r="C777" s="8" t="s">
        <v>124</v>
      </c>
      <c r="D777" s="8" t="s">
        <v>93</v>
      </c>
      <c r="E777" s="8" t="s">
        <v>74</v>
      </c>
      <c r="F777" s="8" t="s">
        <v>99</v>
      </c>
      <c r="G777" s="6">
        <v>16</v>
      </c>
      <c r="H777" s="25">
        <v>3900</v>
      </c>
      <c r="I777" s="6">
        <v>0</v>
      </c>
      <c r="J777" s="6">
        <f t="shared" si="24"/>
        <v>62400</v>
      </c>
      <c r="K777" s="6">
        <f t="shared" si="25"/>
        <v>62400</v>
      </c>
      <c r="L777" s="8" t="s">
        <v>76</v>
      </c>
      <c r="M777" s="8" t="s">
        <v>96</v>
      </c>
      <c r="N777">
        <v>11</v>
      </c>
      <c r="O777">
        <v>2024</v>
      </c>
      <c r="P777" s="29" t="s">
        <v>714</v>
      </c>
      <c r="Q777" t="s">
        <v>733</v>
      </c>
      <c r="R777" t="s">
        <v>739</v>
      </c>
    </row>
    <row r="778" spans="1:18" x14ac:dyDescent="0.25">
      <c r="A778" s="9">
        <v>777</v>
      </c>
      <c r="B778" s="10">
        <v>45525</v>
      </c>
      <c r="C778" s="11" t="s">
        <v>114</v>
      </c>
      <c r="D778" s="11" t="s">
        <v>109</v>
      </c>
      <c r="E778" s="11" t="s">
        <v>111</v>
      </c>
      <c r="F778" s="11" t="s">
        <v>156</v>
      </c>
      <c r="G778" s="9">
        <v>12</v>
      </c>
      <c r="H778" s="26">
        <v>39300</v>
      </c>
      <c r="I778" s="9">
        <v>5</v>
      </c>
      <c r="J778" s="9">
        <f t="shared" si="24"/>
        <v>471600</v>
      </c>
      <c r="K778" s="9">
        <f t="shared" si="25"/>
        <v>448020</v>
      </c>
      <c r="L778" s="11" t="s">
        <v>76</v>
      </c>
      <c r="M778" s="11" t="s">
        <v>96</v>
      </c>
      <c r="N778">
        <v>8</v>
      </c>
      <c r="O778">
        <v>2024</v>
      </c>
      <c r="P778" s="29" t="s">
        <v>710</v>
      </c>
      <c r="Q778" t="s">
        <v>734</v>
      </c>
      <c r="R778" t="s">
        <v>737</v>
      </c>
    </row>
    <row r="779" spans="1:18" x14ac:dyDescent="0.25">
      <c r="A779" s="6">
        <v>778</v>
      </c>
      <c r="B779" s="7">
        <v>45345</v>
      </c>
      <c r="C779" s="8" t="s">
        <v>101</v>
      </c>
      <c r="D779" s="8" t="s">
        <v>93</v>
      </c>
      <c r="E779" s="8" t="s">
        <v>79</v>
      </c>
      <c r="F779" s="8" t="s">
        <v>172</v>
      </c>
      <c r="G779" s="6">
        <v>45</v>
      </c>
      <c r="H779" s="25">
        <v>25800</v>
      </c>
      <c r="I779" s="6">
        <v>0</v>
      </c>
      <c r="J779" s="6">
        <f t="shared" si="24"/>
        <v>1161000</v>
      </c>
      <c r="K779" s="6">
        <f t="shared" si="25"/>
        <v>1161000</v>
      </c>
      <c r="L779" s="8" t="s">
        <v>123</v>
      </c>
      <c r="M779" s="8" t="s">
        <v>96</v>
      </c>
      <c r="N779">
        <v>2</v>
      </c>
      <c r="O779">
        <v>2024</v>
      </c>
      <c r="P779" s="29" t="s">
        <v>729</v>
      </c>
      <c r="Q779" t="s">
        <v>735</v>
      </c>
      <c r="R779" t="s">
        <v>737</v>
      </c>
    </row>
    <row r="780" spans="1:18" x14ac:dyDescent="0.25">
      <c r="A780" s="9">
        <v>779</v>
      </c>
      <c r="B780" s="10">
        <v>45538</v>
      </c>
      <c r="C780" s="11" t="s">
        <v>119</v>
      </c>
      <c r="D780" s="11" t="s">
        <v>109</v>
      </c>
      <c r="E780" s="11" t="s">
        <v>74</v>
      </c>
      <c r="F780" s="11" t="s">
        <v>142</v>
      </c>
      <c r="G780" s="9">
        <v>46</v>
      </c>
      <c r="H780" s="26">
        <v>11900</v>
      </c>
      <c r="I780" s="9">
        <v>0</v>
      </c>
      <c r="J780" s="9">
        <f t="shared" si="24"/>
        <v>547400</v>
      </c>
      <c r="K780" s="9">
        <f t="shared" si="25"/>
        <v>547400</v>
      </c>
      <c r="L780" s="11" t="s">
        <v>76</v>
      </c>
      <c r="M780" s="11" t="s">
        <v>96</v>
      </c>
      <c r="N780">
        <v>9</v>
      </c>
      <c r="O780">
        <v>2024</v>
      </c>
      <c r="P780" s="29" t="s">
        <v>731</v>
      </c>
      <c r="Q780" t="s">
        <v>734</v>
      </c>
      <c r="R780" t="s">
        <v>737</v>
      </c>
    </row>
    <row r="781" spans="1:18" x14ac:dyDescent="0.25">
      <c r="A781" s="6">
        <v>780</v>
      </c>
      <c r="B781" s="7">
        <v>45587</v>
      </c>
      <c r="C781" s="8" t="s">
        <v>124</v>
      </c>
      <c r="D781" s="8" t="s">
        <v>73</v>
      </c>
      <c r="E781" s="8" t="s">
        <v>79</v>
      </c>
      <c r="F781" s="8" t="s">
        <v>80</v>
      </c>
      <c r="G781" s="6">
        <v>25</v>
      </c>
      <c r="H781" s="25">
        <v>8200</v>
      </c>
      <c r="I781" s="6">
        <v>20</v>
      </c>
      <c r="J781" s="6">
        <f t="shared" si="24"/>
        <v>205000</v>
      </c>
      <c r="K781" s="6">
        <f t="shared" si="25"/>
        <v>164000</v>
      </c>
      <c r="L781" s="8" t="s">
        <v>76</v>
      </c>
      <c r="M781" s="8" t="s">
        <v>96</v>
      </c>
      <c r="N781">
        <v>10</v>
      </c>
      <c r="O781">
        <v>2024</v>
      </c>
      <c r="P781" s="29" t="s">
        <v>709</v>
      </c>
      <c r="Q781" t="s">
        <v>733</v>
      </c>
      <c r="R781" t="s">
        <v>739</v>
      </c>
    </row>
    <row r="782" spans="1:18" x14ac:dyDescent="0.25">
      <c r="A782" s="9">
        <v>781</v>
      </c>
      <c r="B782" s="10">
        <v>45334</v>
      </c>
      <c r="C782" s="11" t="s">
        <v>97</v>
      </c>
      <c r="D782" s="11" t="s">
        <v>93</v>
      </c>
      <c r="E782" s="11" t="s">
        <v>84</v>
      </c>
      <c r="F782" s="11" t="s">
        <v>85</v>
      </c>
      <c r="G782" s="9">
        <v>26</v>
      </c>
      <c r="H782" s="26">
        <v>5400</v>
      </c>
      <c r="I782" s="9">
        <v>0</v>
      </c>
      <c r="J782" s="9">
        <f t="shared" si="24"/>
        <v>140400</v>
      </c>
      <c r="K782" s="9">
        <f t="shared" si="25"/>
        <v>140400</v>
      </c>
      <c r="L782" s="11" t="s">
        <v>107</v>
      </c>
      <c r="M782" s="11" t="s">
        <v>96</v>
      </c>
      <c r="N782">
        <v>2</v>
      </c>
      <c r="O782">
        <v>2024</v>
      </c>
      <c r="P782" s="29" t="s">
        <v>729</v>
      </c>
      <c r="Q782" t="s">
        <v>735</v>
      </c>
      <c r="R782" t="s">
        <v>739</v>
      </c>
    </row>
    <row r="783" spans="1:18" x14ac:dyDescent="0.25">
      <c r="A783" s="6">
        <v>782</v>
      </c>
      <c r="B783" s="7">
        <v>44989</v>
      </c>
      <c r="C783" s="8" t="s">
        <v>106</v>
      </c>
      <c r="D783" s="8" t="s">
        <v>117</v>
      </c>
      <c r="E783" s="8" t="s">
        <v>84</v>
      </c>
      <c r="F783" s="8" t="s">
        <v>128</v>
      </c>
      <c r="G783" s="6">
        <v>41</v>
      </c>
      <c r="H783" s="25">
        <v>4700</v>
      </c>
      <c r="I783" s="6">
        <v>20</v>
      </c>
      <c r="J783" s="6">
        <f t="shared" si="24"/>
        <v>192700</v>
      </c>
      <c r="K783" s="6">
        <f t="shared" si="25"/>
        <v>154160</v>
      </c>
      <c r="L783" s="8" t="s">
        <v>76</v>
      </c>
      <c r="M783" s="8" t="s">
        <v>91</v>
      </c>
      <c r="N783">
        <v>3</v>
      </c>
      <c r="O783">
        <v>2023</v>
      </c>
      <c r="P783" s="29" t="s">
        <v>719</v>
      </c>
      <c r="Q783" t="s">
        <v>735</v>
      </c>
      <c r="R783" t="s">
        <v>739</v>
      </c>
    </row>
    <row r="784" spans="1:18" x14ac:dyDescent="0.25">
      <c r="A784" s="9">
        <v>783</v>
      </c>
      <c r="B784" s="10">
        <v>45018</v>
      </c>
      <c r="C784" s="11" t="s">
        <v>101</v>
      </c>
      <c r="D784" s="30" t="s">
        <v>703</v>
      </c>
      <c r="E784" s="11" t="s">
        <v>111</v>
      </c>
      <c r="F784" s="11" t="s">
        <v>159</v>
      </c>
      <c r="G784" s="9">
        <v>22</v>
      </c>
      <c r="H784" s="26">
        <v>13000</v>
      </c>
      <c r="I784" s="9">
        <v>20</v>
      </c>
      <c r="J784" s="9">
        <f t="shared" si="24"/>
        <v>286000</v>
      </c>
      <c r="K784" s="9">
        <f t="shared" si="25"/>
        <v>228800</v>
      </c>
      <c r="L784" s="11" t="s">
        <v>187</v>
      </c>
      <c r="M784" s="11" t="s">
        <v>77</v>
      </c>
      <c r="N784">
        <v>4</v>
      </c>
      <c r="O784">
        <v>2023</v>
      </c>
      <c r="P784" s="29" t="s">
        <v>716</v>
      </c>
      <c r="Q784" t="s">
        <v>736</v>
      </c>
      <c r="R784" t="s">
        <v>737</v>
      </c>
    </row>
    <row r="785" spans="1:18" x14ac:dyDescent="0.25">
      <c r="A785" s="6">
        <v>784</v>
      </c>
      <c r="B785" s="7">
        <v>45091</v>
      </c>
      <c r="C785" s="8" t="s">
        <v>101</v>
      </c>
      <c r="D785" s="8" t="s">
        <v>93</v>
      </c>
      <c r="E785" s="8" t="s">
        <v>79</v>
      </c>
      <c r="F785" s="8" t="s">
        <v>120</v>
      </c>
      <c r="G785" s="6">
        <v>47</v>
      </c>
      <c r="H785" s="25">
        <v>6000</v>
      </c>
      <c r="I785" s="6">
        <v>5</v>
      </c>
      <c r="J785" s="6">
        <f t="shared" si="24"/>
        <v>282000</v>
      </c>
      <c r="K785" s="6">
        <f t="shared" si="25"/>
        <v>267900</v>
      </c>
      <c r="L785" s="8" t="s">
        <v>187</v>
      </c>
      <c r="M785" s="8" t="s">
        <v>96</v>
      </c>
      <c r="N785">
        <v>6</v>
      </c>
      <c r="O785">
        <v>2023</v>
      </c>
      <c r="P785" s="29" t="s">
        <v>723</v>
      </c>
      <c r="Q785" t="s">
        <v>736</v>
      </c>
      <c r="R785" t="s">
        <v>737</v>
      </c>
    </row>
    <row r="786" spans="1:18" x14ac:dyDescent="0.25">
      <c r="A786" s="9">
        <v>785</v>
      </c>
      <c r="B786" s="10">
        <v>45638</v>
      </c>
      <c r="C786" s="11" t="s">
        <v>78</v>
      </c>
      <c r="D786" s="11" t="s">
        <v>73</v>
      </c>
      <c r="E786" s="11" t="s">
        <v>84</v>
      </c>
      <c r="F786" s="11" t="s">
        <v>85</v>
      </c>
      <c r="G786" s="9">
        <v>9</v>
      </c>
      <c r="H786" s="26">
        <v>5900</v>
      </c>
      <c r="I786" s="9">
        <v>15</v>
      </c>
      <c r="J786" s="9">
        <f t="shared" si="24"/>
        <v>53100</v>
      </c>
      <c r="K786" s="9">
        <f t="shared" si="25"/>
        <v>45135</v>
      </c>
      <c r="L786" s="11" t="s">
        <v>76</v>
      </c>
      <c r="M786" s="11" t="s">
        <v>81</v>
      </c>
      <c r="N786">
        <v>12</v>
      </c>
      <c r="O786">
        <v>2024</v>
      </c>
      <c r="P786" s="29" t="s">
        <v>728</v>
      </c>
      <c r="Q786" t="s">
        <v>733</v>
      </c>
      <c r="R786" t="s">
        <v>738</v>
      </c>
    </row>
    <row r="787" spans="1:18" x14ac:dyDescent="0.25">
      <c r="A787" s="6">
        <v>786</v>
      </c>
      <c r="B787" s="7">
        <v>45180</v>
      </c>
      <c r="C787" s="8" t="s">
        <v>88</v>
      </c>
      <c r="D787" s="8" t="s">
        <v>93</v>
      </c>
      <c r="E787" s="8" t="s">
        <v>79</v>
      </c>
      <c r="F787" s="8" t="s">
        <v>131</v>
      </c>
      <c r="G787" s="6">
        <v>34</v>
      </c>
      <c r="H787" s="25">
        <v>112700</v>
      </c>
      <c r="I787" s="6">
        <v>20</v>
      </c>
      <c r="J787" s="6">
        <f t="shared" si="24"/>
        <v>3831800</v>
      </c>
      <c r="K787" s="6">
        <f t="shared" si="25"/>
        <v>3065440</v>
      </c>
      <c r="L787" s="8" t="s">
        <v>187</v>
      </c>
      <c r="M787" s="8" t="s">
        <v>81</v>
      </c>
      <c r="N787">
        <v>9</v>
      </c>
      <c r="O787">
        <v>2023</v>
      </c>
      <c r="P787" s="29" t="s">
        <v>715</v>
      </c>
      <c r="Q787" t="s">
        <v>734</v>
      </c>
      <c r="R787" t="s">
        <v>737</v>
      </c>
    </row>
    <row r="788" spans="1:18" x14ac:dyDescent="0.25">
      <c r="A788" s="9">
        <v>787</v>
      </c>
      <c r="B788" s="10">
        <v>45535</v>
      </c>
      <c r="C788" s="11" t="s">
        <v>114</v>
      </c>
      <c r="D788" s="11" t="s">
        <v>117</v>
      </c>
      <c r="E788" s="11" t="s">
        <v>111</v>
      </c>
      <c r="F788" s="11" t="s">
        <v>159</v>
      </c>
      <c r="G788" s="9">
        <v>9</v>
      </c>
      <c r="H788" s="26">
        <v>13400</v>
      </c>
      <c r="I788" s="9">
        <v>20</v>
      </c>
      <c r="J788" s="9">
        <f t="shared" si="24"/>
        <v>120600</v>
      </c>
      <c r="K788" s="9">
        <f t="shared" si="25"/>
        <v>96480</v>
      </c>
      <c r="L788" s="11" t="s">
        <v>76</v>
      </c>
      <c r="M788" s="11" t="s">
        <v>96</v>
      </c>
      <c r="N788">
        <v>8</v>
      </c>
      <c r="O788">
        <v>2024</v>
      </c>
      <c r="P788" s="29" t="s">
        <v>710</v>
      </c>
      <c r="Q788" t="s">
        <v>734</v>
      </c>
      <c r="R788" t="s">
        <v>739</v>
      </c>
    </row>
    <row r="789" spans="1:18" x14ac:dyDescent="0.25">
      <c r="A789" s="6">
        <v>788</v>
      </c>
      <c r="B789" s="7">
        <v>45215</v>
      </c>
      <c r="C789" s="8" t="s">
        <v>106</v>
      </c>
      <c r="D789" s="8" t="s">
        <v>73</v>
      </c>
      <c r="E789" s="8" t="s">
        <v>111</v>
      </c>
      <c r="F789" s="8" t="s">
        <v>132</v>
      </c>
      <c r="G789" s="6">
        <v>25</v>
      </c>
      <c r="H789" s="25">
        <v>7100</v>
      </c>
      <c r="I789" s="6">
        <v>0</v>
      </c>
      <c r="J789" s="6">
        <f t="shared" si="24"/>
        <v>177500</v>
      </c>
      <c r="K789" s="6">
        <f t="shared" si="25"/>
        <v>177500</v>
      </c>
      <c r="L789" s="8" t="s">
        <v>123</v>
      </c>
      <c r="M789" s="31" t="s">
        <v>695</v>
      </c>
      <c r="N789">
        <v>10</v>
      </c>
      <c r="O789">
        <v>2023</v>
      </c>
      <c r="P789" s="29" t="s">
        <v>726</v>
      </c>
      <c r="Q789" t="s">
        <v>733</v>
      </c>
      <c r="R789" t="s">
        <v>739</v>
      </c>
    </row>
    <row r="790" spans="1:18" x14ac:dyDescent="0.25">
      <c r="A790" s="9">
        <v>789</v>
      </c>
      <c r="B790" s="10">
        <v>44950</v>
      </c>
      <c r="C790" s="11" t="s">
        <v>82</v>
      </c>
      <c r="D790" s="11" t="s">
        <v>93</v>
      </c>
      <c r="E790" s="11" t="s">
        <v>84</v>
      </c>
      <c r="F790" s="11" t="s">
        <v>150</v>
      </c>
      <c r="G790" s="9">
        <v>13</v>
      </c>
      <c r="H790" s="26">
        <v>6300</v>
      </c>
      <c r="I790" s="9">
        <v>0</v>
      </c>
      <c r="J790" s="9">
        <f t="shared" si="24"/>
        <v>81900</v>
      </c>
      <c r="K790" s="9">
        <f t="shared" si="25"/>
        <v>81900</v>
      </c>
      <c r="L790" s="11" t="s">
        <v>76</v>
      </c>
      <c r="M790" s="11" t="s">
        <v>81</v>
      </c>
      <c r="N790">
        <v>1</v>
      </c>
      <c r="O790">
        <v>2023</v>
      </c>
      <c r="P790" s="29" t="s">
        <v>721</v>
      </c>
      <c r="Q790" t="s">
        <v>735</v>
      </c>
      <c r="R790" t="s">
        <v>739</v>
      </c>
    </row>
    <row r="791" spans="1:18" x14ac:dyDescent="0.25">
      <c r="A791" s="6">
        <v>790</v>
      </c>
      <c r="B791" s="7">
        <v>45337</v>
      </c>
      <c r="C791" s="8" t="s">
        <v>124</v>
      </c>
      <c r="D791" s="8" t="s">
        <v>83</v>
      </c>
      <c r="E791" s="8" t="s">
        <v>102</v>
      </c>
      <c r="F791" s="8" t="s">
        <v>110</v>
      </c>
      <c r="G791" s="6">
        <v>24</v>
      </c>
      <c r="H791" s="25">
        <v>20600</v>
      </c>
      <c r="I791" s="6">
        <v>0</v>
      </c>
      <c r="J791" s="6">
        <f t="shared" si="24"/>
        <v>494400</v>
      </c>
      <c r="K791" s="6">
        <f t="shared" si="25"/>
        <v>494400</v>
      </c>
      <c r="L791" s="8" t="s">
        <v>76</v>
      </c>
      <c r="M791" s="8" t="s">
        <v>77</v>
      </c>
      <c r="N791">
        <v>2</v>
      </c>
      <c r="O791">
        <v>2024</v>
      </c>
      <c r="P791" s="29" t="s">
        <v>729</v>
      </c>
      <c r="Q791" t="s">
        <v>735</v>
      </c>
      <c r="R791" t="s">
        <v>737</v>
      </c>
    </row>
    <row r="792" spans="1:18" x14ac:dyDescent="0.25">
      <c r="A792" s="9">
        <v>791</v>
      </c>
      <c r="B792" s="10">
        <v>45465</v>
      </c>
      <c r="C792" s="11" t="s">
        <v>114</v>
      </c>
      <c r="D792" s="11" t="s">
        <v>83</v>
      </c>
      <c r="E792" s="11" t="s">
        <v>111</v>
      </c>
      <c r="F792" s="11" t="s">
        <v>112</v>
      </c>
      <c r="G792" s="9">
        <v>14</v>
      </c>
      <c r="H792" s="26">
        <v>62100</v>
      </c>
      <c r="I792" s="9">
        <v>0</v>
      </c>
      <c r="J792" s="9">
        <f t="shared" si="24"/>
        <v>869400</v>
      </c>
      <c r="K792" s="9">
        <f t="shared" si="25"/>
        <v>869400</v>
      </c>
      <c r="L792" s="11" t="s">
        <v>76</v>
      </c>
      <c r="M792" s="11" t="s">
        <v>96</v>
      </c>
      <c r="N792">
        <v>6</v>
      </c>
      <c r="O792">
        <v>2024</v>
      </c>
      <c r="P792" s="29" t="s">
        <v>720</v>
      </c>
      <c r="Q792" t="s">
        <v>736</v>
      </c>
      <c r="R792" t="s">
        <v>737</v>
      </c>
    </row>
    <row r="793" spans="1:18" x14ac:dyDescent="0.25">
      <c r="A793" s="6">
        <v>792</v>
      </c>
      <c r="B793" s="7">
        <v>45433</v>
      </c>
      <c r="C793" s="8" t="s">
        <v>114</v>
      </c>
      <c r="D793" s="8" t="s">
        <v>109</v>
      </c>
      <c r="E793" s="8" t="s">
        <v>111</v>
      </c>
      <c r="F793" s="8" t="s">
        <v>156</v>
      </c>
      <c r="G793" s="6">
        <v>19</v>
      </c>
      <c r="H793" s="25">
        <v>44100</v>
      </c>
      <c r="I793" s="6">
        <v>5</v>
      </c>
      <c r="J793" s="6">
        <f t="shared" si="24"/>
        <v>837900</v>
      </c>
      <c r="K793" s="6">
        <f t="shared" si="25"/>
        <v>796005</v>
      </c>
      <c r="L793" s="8" t="s">
        <v>187</v>
      </c>
      <c r="M793" s="8" t="s">
        <v>81</v>
      </c>
      <c r="N793">
        <v>5</v>
      </c>
      <c r="O793">
        <v>2024</v>
      </c>
      <c r="P793" s="29" t="s">
        <v>732</v>
      </c>
      <c r="Q793" t="s">
        <v>736</v>
      </c>
      <c r="R793" t="s">
        <v>737</v>
      </c>
    </row>
    <row r="794" spans="1:18" x14ac:dyDescent="0.25">
      <c r="A794" s="9">
        <v>793</v>
      </c>
      <c r="B794" s="10">
        <v>45023</v>
      </c>
      <c r="C794" s="11" t="s">
        <v>114</v>
      </c>
      <c r="D794" s="30" t="s">
        <v>703</v>
      </c>
      <c r="E794" s="11" t="s">
        <v>79</v>
      </c>
      <c r="F794" s="11" t="s">
        <v>179</v>
      </c>
      <c r="G794" s="9">
        <v>16</v>
      </c>
      <c r="H794" s="26">
        <v>2900</v>
      </c>
      <c r="I794" s="9">
        <v>0</v>
      </c>
      <c r="J794" s="9">
        <f t="shared" si="24"/>
        <v>46400</v>
      </c>
      <c r="K794" s="9">
        <f t="shared" si="25"/>
        <v>46400</v>
      </c>
      <c r="L794" s="11" t="s">
        <v>76</v>
      </c>
      <c r="M794" s="11" t="s">
        <v>81</v>
      </c>
      <c r="N794">
        <v>4</v>
      </c>
      <c r="O794">
        <v>2023</v>
      </c>
      <c r="P794" s="29" t="s">
        <v>716</v>
      </c>
      <c r="Q794" t="s">
        <v>736</v>
      </c>
      <c r="R794" t="s">
        <v>738</v>
      </c>
    </row>
    <row r="795" spans="1:18" x14ac:dyDescent="0.25">
      <c r="A795" s="6">
        <v>794</v>
      </c>
      <c r="B795" s="7">
        <v>45523</v>
      </c>
      <c r="C795" s="8" t="s">
        <v>119</v>
      </c>
      <c r="D795" s="8" t="s">
        <v>73</v>
      </c>
      <c r="E795" s="8" t="s">
        <v>79</v>
      </c>
      <c r="F795" s="8" t="s">
        <v>172</v>
      </c>
      <c r="G795" s="6">
        <v>21</v>
      </c>
      <c r="H795" s="25">
        <v>23300</v>
      </c>
      <c r="I795" s="6">
        <v>15</v>
      </c>
      <c r="J795" s="6">
        <f t="shared" si="24"/>
        <v>489300</v>
      </c>
      <c r="K795" s="6">
        <f t="shared" si="25"/>
        <v>415905</v>
      </c>
      <c r="L795" s="8" t="s">
        <v>123</v>
      </c>
      <c r="M795" s="8" t="s">
        <v>91</v>
      </c>
      <c r="N795">
        <v>8</v>
      </c>
      <c r="O795">
        <v>2024</v>
      </c>
      <c r="P795" s="29" t="s">
        <v>710</v>
      </c>
      <c r="Q795" t="s">
        <v>734</v>
      </c>
      <c r="R795" t="s">
        <v>737</v>
      </c>
    </row>
    <row r="796" spans="1:18" x14ac:dyDescent="0.25">
      <c r="A796" s="9">
        <v>795</v>
      </c>
      <c r="B796" s="10">
        <v>45085</v>
      </c>
      <c r="C796" s="11" t="s">
        <v>114</v>
      </c>
      <c r="D796" s="30" t="s">
        <v>703</v>
      </c>
      <c r="E796" s="11" t="s">
        <v>102</v>
      </c>
      <c r="F796" s="11" t="s">
        <v>110</v>
      </c>
      <c r="G796" s="9">
        <v>36</v>
      </c>
      <c r="H796" s="26">
        <v>20200</v>
      </c>
      <c r="I796" s="9">
        <v>0</v>
      </c>
      <c r="J796" s="9">
        <f t="shared" si="24"/>
        <v>727200</v>
      </c>
      <c r="K796" s="9">
        <f t="shared" si="25"/>
        <v>727200</v>
      </c>
      <c r="L796" s="11" t="s">
        <v>76</v>
      </c>
      <c r="M796" s="11" t="s">
        <v>96</v>
      </c>
      <c r="N796">
        <v>6</v>
      </c>
      <c r="O796">
        <v>2023</v>
      </c>
      <c r="P796" s="29" t="s">
        <v>723</v>
      </c>
      <c r="Q796" t="s">
        <v>736</v>
      </c>
      <c r="R796" t="s">
        <v>737</v>
      </c>
    </row>
    <row r="797" spans="1:18" x14ac:dyDescent="0.25">
      <c r="A797" s="6">
        <v>796</v>
      </c>
      <c r="B797" s="7">
        <v>45409</v>
      </c>
      <c r="C797" s="8" t="s">
        <v>88</v>
      </c>
      <c r="D797" s="8" t="s">
        <v>93</v>
      </c>
      <c r="E797" s="8" t="s">
        <v>102</v>
      </c>
      <c r="F797" s="8" t="s">
        <v>138</v>
      </c>
      <c r="G797" s="6">
        <v>33</v>
      </c>
      <c r="H797" s="25">
        <v>5900</v>
      </c>
      <c r="I797" s="6">
        <v>5</v>
      </c>
      <c r="J797" s="6">
        <f t="shared" si="24"/>
        <v>194700</v>
      </c>
      <c r="K797" s="6">
        <f t="shared" si="25"/>
        <v>184965</v>
      </c>
      <c r="L797" s="8" t="s">
        <v>76</v>
      </c>
      <c r="M797" s="8" t="s">
        <v>96</v>
      </c>
      <c r="N797">
        <v>4</v>
      </c>
      <c r="O797">
        <v>2024</v>
      </c>
      <c r="P797" s="29" t="s">
        <v>722</v>
      </c>
      <c r="Q797" t="s">
        <v>736</v>
      </c>
      <c r="R797" t="s">
        <v>739</v>
      </c>
    </row>
    <row r="798" spans="1:18" x14ac:dyDescent="0.25">
      <c r="A798" s="9">
        <v>797</v>
      </c>
      <c r="B798" s="10">
        <v>45614</v>
      </c>
      <c r="C798" s="11" t="s">
        <v>88</v>
      </c>
      <c r="D798" s="11" t="s">
        <v>109</v>
      </c>
      <c r="E798" s="11" t="s">
        <v>102</v>
      </c>
      <c r="F798" s="11" t="s">
        <v>138</v>
      </c>
      <c r="G798" s="9">
        <v>17</v>
      </c>
      <c r="H798" s="26">
        <v>6800</v>
      </c>
      <c r="I798" s="9">
        <v>0</v>
      </c>
      <c r="J798" s="9">
        <f t="shared" si="24"/>
        <v>115600</v>
      </c>
      <c r="K798" s="9">
        <f t="shared" si="25"/>
        <v>115600</v>
      </c>
      <c r="L798" s="11" t="s">
        <v>76</v>
      </c>
      <c r="M798" s="11" t="s">
        <v>91</v>
      </c>
      <c r="N798">
        <v>11</v>
      </c>
      <c r="O798">
        <v>2024</v>
      </c>
      <c r="P798" s="29" t="s">
        <v>714</v>
      </c>
      <c r="Q798" t="s">
        <v>733</v>
      </c>
      <c r="R798" t="s">
        <v>739</v>
      </c>
    </row>
    <row r="799" spans="1:18" x14ac:dyDescent="0.25">
      <c r="A799" s="6">
        <v>798</v>
      </c>
      <c r="B799" s="7">
        <v>45406</v>
      </c>
      <c r="C799" s="8" t="s">
        <v>108</v>
      </c>
      <c r="D799" s="8" t="s">
        <v>73</v>
      </c>
      <c r="E799" s="8" t="s">
        <v>74</v>
      </c>
      <c r="F799" s="8" t="s">
        <v>140</v>
      </c>
      <c r="G799" s="6">
        <v>8</v>
      </c>
      <c r="H799" s="25">
        <v>4200</v>
      </c>
      <c r="I799" s="6">
        <v>5</v>
      </c>
      <c r="J799" s="6">
        <f t="shared" si="24"/>
        <v>33600</v>
      </c>
      <c r="K799" s="6">
        <f t="shared" si="25"/>
        <v>31920</v>
      </c>
      <c r="L799" s="8" t="s">
        <v>76</v>
      </c>
      <c r="M799" s="8" t="s">
        <v>81</v>
      </c>
      <c r="N799">
        <v>4</v>
      </c>
      <c r="O799">
        <v>2024</v>
      </c>
      <c r="P799" s="29" t="s">
        <v>722</v>
      </c>
      <c r="Q799" t="s">
        <v>736</v>
      </c>
      <c r="R799" t="s">
        <v>738</v>
      </c>
    </row>
    <row r="800" spans="1:18" x14ac:dyDescent="0.25">
      <c r="A800" s="9">
        <v>799</v>
      </c>
      <c r="B800" s="10">
        <v>45214</v>
      </c>
      <c r="C800" s="11" t="s">
        <v>88</v>
      </c>
      <c r="D800" s="11" t="s">
        <v>83</v>
      </c>
      <c r="E800" s="11" t="s">
        <v>74</v>
      </c>
      <c r="F800" s="11" t="s">
        <v>190</v>
      </c>
      <c r="G800" s="9">
        <v>49</v>
      </c>
      <c r="H800" s="26">
        <v>33700</v>
      </c>
      <c r="I800" s="9">
        <v>5</v>
      </c>
      <c r="J800" s="9">
        <f t="shared" si="24"/>
        <v>1651300</v>
      </c>
      <c r="K800" s="9">
        <f t="shared" si="25"/>
        <v>1568735</v>
      </c>
      <c r="L800" s="11" t="s">
        <v>107</v>
      </c>
      <c r="M800" s="11" t="s">
        <v>96</v>
      </c>
      <c r="N800">
        <v>10</v>
      </c>
      <c r="O800">
        <v>2023</v>
      </c>
      <c r="P800" s="29" t="s">
        <v>726</v>
      </c>
      <c r="Q800" t="s">
        <v>733</v>
      </c>
      <c r="R800" t="s">
        <v>737</v>
      </c>
    </row>
    <row r="801" spans="1:18" x14ac:dyDescent="0.25">
      <c r="A801" s="6">
        <v>800</v>
      </c>
      <c r="B801" s="7">
        <v>45095</v>
      </c>
      <c r="C801" s="8" t="s">
        <v>88</v>
      </c>
      <c r="D801" s="8" t="s">
        <v>83</v>
      </c>
      <c r="E801" s="8" t="s">
        <v>84</v>
      </c>
      <c r="F801" s="8" t="s">
        <v>85</v>
      </c>
      <c r="G801" s="6">
        <v>10</v>
      </c>
      <c r="H801" s="25">
        <v>4900</v>
      </c>
      <c r="I801" s="6">
        <v>0</v>
      </c>
      <c r="J801" s="6">
        <f t="shared" si="24"/>
        <v>49000</v>
      </c>
      <c r="K801" s="6">
        <f t="shared" si="25"/>
        <v>49000</v>
      </c>
      <c r="L801" s="8" t="s">
        <v>76</v>
      </c>
      <c r="M801" s="8" t="s">
        <v>81</v>
      </c>
      <c r="N801">
        <v>6</v>
      </c>
      <c r="O801">
        <v>2023</v>
      </c>
      <c r="P801" s="29" t="s">
        <v>723</v>
      </c>
      <c r="Q801" t="s">
        <v>736</v>
      </c>
      <c r="R801" t="s">
        <v>738</v>
      </c>
    </row>
    <row r="802" spans="1:18" x14ac:dyDescent="0.25">
      <c r="A802" s="9">
        <v>801</v>
      </c>
      <c r="B802" s="10">
        <v>45408</v>
      </c>
      <c r="C802" s="11" t="s">
        <v>101</v>
      </c>
      <c r="D802" s="11" t="s">
        <v>109</v>
      </c>
      <c r="E802" s="11" t="s">
        <v>111</v>
      </c>
      <c r="F802" s="11" t="s">
        <v>165</v>
      </c>
      <c r="G802" s="9">
        <v>32</v>
      </c>
      <c r="H802" s="26">
        <v>16700</v>
      </c>
      <c r="I802" s="9">
        <v>15</v>
      </c>
      <c r="J802" s="9">
        <f t="shared" si="24"/>
        <v>534400</v>
      </c>
      <c r="K802" s="9">
        <f t="shared" si="25"/>
        <v>454240</v>
      </c>
      <c r="L802" s="11" t="s">
        <v>76</v>
      </c>
      <c r="M802" s="11" t="s">
        <v>96</v>
      </c>
      <c r="N802">
        <v>4</v>
      </c>
      <c r="O802">
        <v>2024</v>
      </c>
      <c r="P802" s="29" t="s">
        <v>722</v>
      </c>
      <c r="Q802" t="s">
        <v>736</v>
      </c>
      <c r="R802" t="s">
        <v>737</v>
      </c>
    </row>
    <row r="803" spans="1:18" x14ac:dyDescent="0.25">
      <c r="A803" s="6">
        <v>802</v>
      </c>
      <c r="B803" s="7">
        <v>45501</v>
      </c>
      <c r="C803" s="8" t="s">
        <v>119</v>
      </c>
      <c r="D803" s="8" t="s">
        <v>83</v>
      </c>
      <c r="E803" s="8" t="s">
        <v>111</v>
      </c>
      <c r="F803" s="8" t="s">
        <v>112</v>
      </c>
      <c r="G803" s="6">
        <v>10</v>
      </c>
      <c r="H803" s="25">
        <v>72200</v>
      </c>
      <c r="I803" s="6">
        <v>0</v>
      </c>
      <c r="J803" s="6">
        <f t="shared" si="24"/>
        <v>722000</v>
      </c>
      <c r="K803" s="6">
        <f t="shared" si="25"/>
        <v>722000</v>
      </c>
      <c r="L803" s="8" t="s">
        <v>76</v>
      </c>
      <c r="M803" s="8" t="s">
        <v>77</v>
      </c>
      <c r="N803">
        <v>7</v>
      </c>
      <c r="O803">
        <v>2024</v>
      </c>
      <c r="P803" s="29" t="s">
        <v>712</v>
      </c>
      <c r="Q803" t="s">
        <v>734</v>
      </c>
      <c r="R803" t="s">
        <v>737</v>
      </c>
    </row>
    <row r="804" spans="1:18" x14ac:dyDescent="0.25">
      <c r="A804" s="9">
        <v>803</v>
      </c>
      <c r="B804" s="10">
        <v>45217</v>
      </c>
      <c r="C804" s="11" t="s">
        <v>108</v>
      </c>
      <c r="D804" s="11" t="s">
        <v>109</v>
      </c>
      <c r="E804" s="11" t="s">
        <v>102</v>
      </c>
      <c r="F804" s="11" t="s">
        <v>110</v>
      </c>
      <c r="G804" s="9">
        <v>43</v>
      </c>
      <c r="H804" s="26">
        <v>22900</v>
      </c>
      <c r="I804" s="9">
        <v>10</v>
      </c>
      <c r="J804" s="9">
        <f t="shared" si="24"/>
        <v>984700</v>
      </c>
      <c r="K804" s="9">
        <f t="shared" si="25"/>
        <v>886230</v>
      </c>
      <c r="L804" s="11" t="s">
        <v>76</v>
      </c>
      <c r="M804" s="11" t="s">
        <v>77</v>
      </c>
      <c r="N804">
        <v>10</v>
      </c>
      <c r="O804">
        <v>2023</v>
      </c>
      <c r="P804" s="29" t="s">
        <v>726</v>
      </c>
      <c r="Q804" t="s">
        <v>733</v>
      </c>
      <c r="R804" t="s">
        <v>737</v>
      </c>
    </row>
    <row r="805" spans="1:18" x14ac:dyDescent="0.25">
      <c r="A805" s="6">
        <v>804</v>
      </c>
      <c r="B805" s="7">
        <v>45481</v>
      </c>
      <c r="C805" s="8" t="s">
        <v>108</v>
      </c>
      <c r="D805" s="8" t="s">
        <v>83</v>
      </c>
      <c r="E805" s="8" t="s">
        <v>79</v>
      </c>
      <c r="F805" s="8" t="s">
        <v>80</v>
      </c>
      <c r="G805" s="6">
        <v>44</v>
      </c>
      <c r="H805" s="25">
        <v>9300</v>
      </c>
      <c r="I805" s="6">
        <v>0</v>
      </c>
      <c r="J805" s="6">
        <f t="shared" si="24"/>
        <v>409200</v>
      </c>
      <c r="K805" s="6">
        <f t="shared" si="25"/>
        <v>409200</v>
      </c>
      <c r="L805" s="8" t="s">
        <v>76</v>
      </c>
      <c r="M805" s="8" t="s">
        <v>96</v>
      </c>
      <c r="N805">
        <v>7</v>
      </c>
      <c r="O805">
        <v>2024</v>
      </c>
      <c r="P805" s="29" t="s">
        <v>712</v>
      </c>
      <c r="Q805" t="s">
        <v>734</v>
      </c>
      <c r="R805" t="s">
        <v>737</v>
      </c>
    </row>
    <row r="806" spans="1:18" x14ac:dyDescent="0.25">
      <c r="A806" s="9">
        <v>805</v>
      </c>
      <c r="B806" s="10">
        <v>45218</v>
      </c>
      <c r="C806" s="11" t="s">
        <v>97</v>
      </c>
      <c r="D806" s="11" t="s">
        <v>83</v>
      </c>
      <c r="E806" s="11" t="s">
        <v>74</v>
      </c>
      <c r="F806" s="11" t="s">
        <v>118</v>
      </c>
      <c r="G806" s="9">
        <v>10</v>
      </c>
      <c r="H806" s="26">
        <v>31100</v>
      </c>
      <c r="I806" s="9">
        <v>20</v>
      </c>
      <c r="J806" s="9">
        <f t="shared" si="24"/>
        <v>311000</v>
      </c>
      <c r="K806" s="9">
        <f t="shared" si="25"/>
        <v>248800</v>
      </c>
      <c r="L806" s="11" t="s">
        <v>76</v>
      </c>
      <c r="M806" s="11" t="s">
        <v>91</v>
      </c>
      <c r="N806">
        <v>10</v>
      </c>
      <c r="O806">
        <v>2023</v>
      </c>
      <c r="P806" s="29" t="s">
        <v>726</v>
      </c>
      <c r="Q806" t="s">
        <v>733</v>
      </c>
      <c r="R806" t="s">
        <v>737</v>
      </c>
    </row>
    <row r="807" spans="1:18" x14ac:dyDescent="0.25">
      <c r="A807" s="6">
        <v>806</v>
      </c>
      <c r="B807" s="7">
        <v>45651</v>
      </c>
      <c r="C807" s="8" t="s">
        <v>119</v>
      </c>
      <c r="D807" s="8" t="s">
        <v>83</v>
      </c>
      <c r="E807" s="8" t="s">
        <v>74</v>
      </c>
      <c r="F807" s="8" t="s">
        <v>94</v>
      </c>
      <c r="G807" s="6">
        <v>3</v>
      </c>
      <c r="H807" s="25">
        <v>34400</v>
      </c>
      <c r="I807" s="6">
        <v>0</v>
      </c>
      <c r="J807" s="6">
        <f t="shared" si="24"/>
        <v>103200</v>
      </c>
      <c r="K807" s="6">
        <f t="shared" si="25"/>
        <v>103200</v>
      </c>
      <c r="L807" s="8" t="s">
        <v>187</v>
      </c>
      <c r="M807" s="8" t="s">
        <v>91</v>
      </c>
      <c r="N807">
        <v>12</v>
      </c>
      <c r="O807">
        <v>2024</v>
      </c>
      <c r="P807" s="29" t="s">
        <v>728</v>
      </c>
      <c r="Q807" t="s">
        <v>733</v>
      </c>
      <c r="R807" t="s">
        <v>739</v>
      </c>
    </row>
    <row r="808" spans="1:18" x14ac:dyDescent="0.25">
      <c r="A808" s="9">
        <v>807</v>
      </c>
      <c r="B808" s="10">
        <v>45420</v>
      </c>
      <c r="C808" s="11" t="s">
        <v>108</v>
      </c>
      <c r="D808" s="11" t="s">
        <v>109</v>
      </c>
      <c r="E808" s="11" t="s">
        <v>79</v>
      </c>
      <c r="F808" s="11" t="s">
        <v>179</v>
      </c>
      <c r="G808" s="9">
        <v>4</v>
      </c>
      <c r="H808" s="26">
        <v>2500</v>
      </c>
      <c r="I808" s="9">
        <v>0</v>
      </c>
      <c r="J808" s="9">
        <f t="shared" si="24"/>
        <v>10000</v>
      </c>
      <c r="K808" s="9">
        <f t="shared" si="25"/>
        <v>10000</v>
      </c>
      <c r="L808" s="11" t="s">
        <v>187</v>
      </c>
      <c r="M808" s="11" t="s">
        <v>91</v>
      </c>
      <c r="N808">
        <v>5</v>
      </c>
      <c r="O808">
        <v>2024</v>
      </c>
      <c r="P808" s="29" t="s">
        <v>732</v>
      </c>
      <c r="Q808" t="s">
        <v>736</v>
      </c>
      <c r="R808" t="s">
        <v>738</v>
      </c>
    </row>
    <row r="809" spans="1:18" x14ac:dyDescent="0.25">
      <c r="A809" s="6">
        <v>808</v>
      </c>
      <c r="B809" s="7">
        <v>45335</v>
      </c>
      <c r="C809" s="8" t="s">
        <v>101</v>
      </c>
      <c r="D809" s="8" t="s">
        <v>109</v>
      </c>
      <c r="E809" s="8" t="s">
        <v>84</v>
      </c>
      <c r="F809" s="8" t="s">
        <v>148</v>
      </c>
      <c r="G809" s="6">
        <v>14</v>
      </c>
      <c r="H809" s="25">
        <v>4400</v>
      </c>
      <c r="I809" s="6">
        <v>0</v>
      </c>
      <c r="J809" s="6">
        <f t="shared" si="24"/>
        <v>61600</v>
      </c>
      <c r="K809" s="6">
        <f t="shared" si="25"/>
        <v>61600</v>
      </c>
      <c r="L809" s="8" t="s">
        <v>76</v>
      </c>
      <c r="M809" s="8" t="s">
        <v>91</v>
      </c>
      <c r="N809">
        <v>2</v>
      </c>
      <c r="O809">
        <v>2024</v>
      </c>
      <c r="P809" s="29" t="s">
        <v>729</v>
      </c>
      <c r="Q809" t="s">
        <v>735</v>
      </c>
      <c r="R809" t="s">
        <v>739</v>
      </c>
    </row>
    <row r="810" spans="1:18" x14ac:dyDescent="0.25">
      <c r="A810" s="9">
        <v>809</v>
      </c>
      <c r="B810" s="10">
        <v>45589</v>
      </c>
      <c r="C810" s="11" t="s">
        <v>108</v>
      </c>
      <c r="D810" s="11" t="s">
        <v>73</v>
      </c>
      <c r="E810" s="11" t="s">
        <v>74</v>
      </c>
      <c r="F810" s="11" t="s">
        <v>99</v>
      </c>
      <c r="G810" s="9">
        <v>48</v>
      </c>
      <c r="H810" s="26">
        <v>3900</v>
      </c>
      <c r="I810" s="9">
        <v>15</v>
      </c>
      <c r="J810" s="9">
        <f t="shared" si="24"/>
        <v>187200</v>
      </c>
      <c r="K810" s="9">
        <f t="shared" si="25"/>
        <v>159120</v>
      </c>
      <c r="L810" s="11" t="s">
        <v>187</v>
      </c>
      <c r="M810" s="11" t="s">
        <v>96</v>
      </c>
      <c r="N810">
        <v>10</v>
      </c>
      <c r="O810">
        <v>2024</v>
      </c>
      <c r="P810" s="29" t="s">
        <v>709</v>
      </c>
      <c r="Q810" t="s">
        <v>733</v>
      </c>
      <c r="R810" t="s">
        <v>739</v>
      </c>
    </row>
    <row r="811" spans="1:18" x14ac:dyDescent="0.25">
      <c r="A811" s="6">
        <v>810</v>
      </c>
      <c r="B811" s="7">
        <v>45544</v>
      </c>
      <c r="C811" s="8" t="s">
        <v>108</v>
      </c>
      <c r="D811" s="8" t="s">
        <v>117</v>
      </c>
      <c r="E811" s="8" t="s">
        <v>79</v>
      </c>
      <c r="F811" s="8" t="s">
        <v>120</v>
      </c>
      <c r="G811" s="6">
        <v>32</v>
      </c>
      <c r="H811" s="25">
        <v>6200</v>
      </c>
      <c r="I811" s="6">
        <v>5</v>
      </c>
      <c r="J811" s="6">
        <f t="shared" si="24"/>
        <v>198400</v>
      </c>
      <c r="K811" s="6">
        <f t="shared" si="25"/>
        <v>188480</v>
      </c>
      <c r="L811" s="8" t="s">
        <v>76</v>
      </c>
      <c r="M811" s="8" t="s">
        <v>91</v>
      </c>
      <c r="N811">
        <v>9</v>
      </c>
      <c r="O811">
        <v>2024</v>
      </c>
      <c r="P811" s="29" t="s">
        <v>731</v>
      </c>
      <c r="Q811" t="s">
        <v>734</v>
      </c>
      <c r="R811" t="s">
        <v>739</v>
      </c>
    </row>
    <row r="812" spans="1:18" x14ac:dyDescent="0.25">
      <c r="A812" s="9">
        <v>811</v>
      </c>
      <c r="B812" s="10">
        <v>44967</v>
      </c>
      <c r="C812" s="11" t="s">
        <v>124</v>
      </c>
      <c r="D812" s="11" t="s">
        <v>93</v>
      </c>
      <c r="E812" s="11" t="s">
        <v>111</v>
      </c>
      <c r="F812" s="11" t="s">
        <v>112</v>
      </c>
      <c r="G812" s="9">
        <v>24</v>
      </c>
      <c r="H812" s="26">
        <v>70800</v>
      </c>
      <c r="I812" s="9">
        <v>15</v>
      </c>
      <c r="J812" s="9">
        <f t="shared" si="24"/>
        <v>1699200</v>
      </c>
      <c r="K812" s="9">
        <f t="shared" si="25"/>
        <v>1444320</v>
      </c>
      <c r="L812" s="11" t="s">
        <v>76</v>
      </c>
      <c r="M812" s="11" t="s">
        <v>91</v>
      </c>
      <c r="N812">
        <v>2</v>
      </c>
      <c r="O812">
        <v>2023</v>
      </c>
      <c r="P812" s="29" t="s">
        <v>717</v>
      </c>
      <c r="Q812" t="s">
        <v>735</v>
      </c>
      <c r="R812" t="s">
        <v>737</v>
      </c>
    </row>
    <row r="813" spans="1:18" x14ac:dyDescent="0.25">
      <c r="A813" s="6">
        <v>812</v>
      </c>
      <c r="B813" s="7">
        <v>45629</v>
      </c>
      <c r="C813" s="8" t="s">
        <v>97</v>
      </c>
      <c r="D813" s="8" t="s">
        <v>73</v>
      </c>
      <c r="E813" s="8" t="s">
        <v>102</v>
      </c>
      <c r="F813" s="8" t="s">
        <v>157</v>
      </c>
      <c r="G813" s="6">
        <v>44</v>
      </c>
      <c r="H813" s="25">
        <v>13700</v>
      </c>
      <c r="I813" s="6">
        <v>5</v>
      </c>
      <c r="J813" s="6">
        <f t="shared" si="24"/>
        <v>602800</v>
      </c>
      <c r="K813" s="6">
        <f t="shared" si="25"/>
        <v>572660</v>
      </c>
      <c r="L813" s="8" t="s">
        <v>76</v>
      </c>
      <c r="M813" s="8" t="s">
        <v>81</v>
      </c>
      <c r="N813">
        <v>12</v>
      </c>
      <c r="O813">
        <v>2024</v>
      </c>
      <c r="P813" s="29" t="s">
        <v>728</v>
      </c>
      <c r="Q813" t="s">
        <v>733</v>
      </c>
      <c r="R813" t="s">
        <v>737</v>
      </c>
    </row>
    <row r="814" spans="1:18" x14ac:dyDescent="0.25">
      <c r="A814" s="9">
        <v>813</v>
      </c>
      <c r="B814" s="10">
        <v>45466</v>
      </c>
      <c r="C814" s="11" t="s">
        <v>82</v>
      </c>
      <c r="D814" s="11" t="s">
        <v>73</v>
      </c>
      <c r="E814" s="11" t="s">
        <v>74</v>
      </c>
      <c r="F814" s="11" t="s">
        <v>99</v>
      </c>
      <c r="G814" s="9">
        <v>31</v>
      </c>
      <c r="H814" s="26">
        <v>3500</v>
      </c>
      <c r="I814" s="9">
        <v>15</v>
      </c>
      <c r="J814" s="9">
        <f t="shared" si="24"/>
        <v>108500</v>
      </c>
      <c r="K814" s="9">
        <f t="shared" si="25"/>
        <v>92225</v>
      </c>
      <c r="L814" s="11" t="s">
        <v>76</v>
      </c>
      <c r="M814" s="11" t="s">
        <v>81</v>
      </c>
      <c r="N814">
        <v>6</v>
      </c>
      <c r="O814">
        <v>2024</v>
      </c>
      <c r="P814" s="29" t="s">
        <v>720</v>
      </c>
      <c r="Q814" t="s">
        <v>736</v>
      </c>
      <c r="R814" t="s">
        <v>739</v>
      </c>
    </row>
    <row r="815" spans="1:18" x14ac:dyDescent="0.25">
      <c r="A815" s="6">
        <v>814</v>
      </c>
      <c r="B815" s="7">
        <v>45027</v>
      </c>
      <c r="C815" s="8" t="s">
        <v>106</v>
      </c>
      <c r="D815" s="8" t="s">
        <v>93</v>
      </c>
      <c r="E815" s="8" t="s">
        <v>111</v>
      </c>
      <c r="F815" s="8" t="s">
        <v>135</v>
      </c>
      <c r="G815" s="6">
        <v>36</v>
      </c>
      <c r="H815" s="25">
        <v>119800</v>
      </c>
      <c r="I815" s="6">
        <v>10</v>
      </c>
      <c r="J815" s="6">
        <f t="shared" si="24"/>
        <v>4312800</v>
      </c>
      <c r="K815" s="6">
        <f t="shared" si="25"/>
        <v>3881520</v>
      </c>
      <c r="L815" s="8" t="s">
        <v>76</v>
      </c>
      <c r="M815" s="8" t="s">
        <v>77</v>
      </c>
      <c r="N815">
        <v>4</v>
      </c>
      <c r="O815">
        <v>2023</v>
      </c>
      <c r="P815" s="29" t="s">
        <v>716</v>
      </c>
      <c r="Q815" t="s">
        <v>736</v>
      </c>
      <c r="R815" t="s">
        <v>737</v>
      </c>
    </row>
    <row r="816" spans="1:18" x14ac:dyDescent="0.25">
      <c r="A816" s="9">
        <v>815</v>
      </c>
      <c r="B816" s="10">
        <v>45037</v>
      </c>
      <c r="C816" s="11" t="s">
        <v>82</v>
      </c>
      <c r="D816" s="11" t="s">
        <v>83</v>
      </c>
      <c r="E816" s="11" t="s">
        <v>111</v>
      </c>
      <c r="F816" s="11" t="s">
        <v>112</v>
      </c>
      <c r="G816" s="9">
        <v>47</v>
      </c>
      <c r="H816" s="26">
        <v>66100</v>
      </c>
      <c r="I816" s="9">
        <v>0</v>
      </c>
      <c r="J816" s="9">
        <f t="shared" si="24"/>
        <v>3106700</v>
      </c>
      <c r="K816" s="9">
        <f t="shared" si="25"/>
        <v>3106700</v>
      </c>
      <c r="L816" s="11" t="s">
        <v>76</v>
      </c>
      <c r="M816" s="11" t="s">
        <v>96</v>
      </c>
      <c r="N816">
        <v>4</v>
      </c>
      <c r="O816">
        <v>2023</v>
      </c>
      <c r="P816" s="29" t="s">
        <v>716</v>
      </c>
      <c r="Q816" t="s">
        <v>736</v>
      </c>
      <c r="R816" t="s">
        <v>737</v>
      </c>
    </row>
    <row r="817" spans="1:18" x14ac:dyDescent="0.25">
      <c r="A817" s="6">
        <v>816</v>
      </c>
      <c r="B817" s="7">
        <v>45187</v>
      </c>
      <c r="C817" s="8" t="s">
        <v>124</v>
      </c>
      <c r="D817" s="8" t="s">
        <v>73</v>
      </c>
      <c r="E817" s="8" t="s">
        <v>102</v>
      </c>
      <c r="F817" s="8" t="s">
        <v>138</v>
      </c>
      <c r="G817" s="6">
        <v>43</v>
      </c>
      <c r="H817" s="25">
        <v>6000</v>
      </c>
      <c r="I817" s="6">
        <v>20</v>
      </c>
      <c r="J817" s="6">
        <f t="shared" si="24"/>
        <v>258000</v>
      </c>
      <c r="K817" s="6">
        <f t="shared" si="25"/>
        <v>206400</v>
      </c>
      <c r="L817" s="8" t="s">
        <v>76</v>
      </c>
      <c r="M817" s="8" t="s">
        <v>81</v>
      </c>
      <c r="N817">
        <v>9</v>
      </c>
      <c r="O817">
        <v>2023</v>
      </c>
      <c r="P817" s="29" t="s">
        <v>715</v>
      </c>
      <c r="Q817" t="s">
        <v>734</v>
      </c>
      <c r="R817" t="s">
        <v>737</v>
      </c>
    </row>
    <row r="818" spans="1:18" x14ac:dyDescent="0.25">
      <c r="A818" s="9">
        <v>817</v>
      </c>
      <c r="B818" s="10">
        <v>45475</v>
      </c>
      <c r="C818" s="11" t="s">
        <v>78</v>
      </c>
      <c r="D818" s="11" t="s">
        <v>73</v>
      </c>
      <c r="E818" s="11" t="s">
        <v>111</v>
      </c>
      <c r="F818" s="11" t="s">
        <v>135</v>
      </c>
      <c r="G818" s="9">
        <v>47</v>
      </c>
      <c r="H818" s="26">
        <v>112500</v>
      </c>
      <c r="I818" s="9">
        <v>10</v>
      </c>
      <c r="J818" s="9">
        <f t="shared" si="24"/>
        <v>5287500</v>
      </c>
      <c r="K818" s="9">
        <f t="shared" si="25"/>
        <v>4758750</v>
      </c>
      <c r="L818" s="11" t="s">
        <v>76</v>
      </c>
      <c r="M818" s="11" t="s">
        <v>91</v>
      </c>
      <c r="N818">
        <v>7</v>
      </c>
      <c r="O818">
        <v>2024</v>
      </c>
      <c r="P818" s="29" t="s">
        <v>712</v>
      </c>
      <c r="Q818" t="s">
        <v>734</v>
      </c>
      <c r="R818" t="s">
        <v>737</v>
      </c>
    </row>
    <row r="819" spans="1:18" x14ac:dyDescent="0.25">
      <c r="A819" s="6">
        <v>818</v>
      </c>
      <c r="B819" s="7">
        <v>45198</v>
      </c>
      <c r="C819" s="8" t="s">
        <v>88</v>
      </c>
      <c r="D819" s="8" t="s">
        <v>109</v>
      </c>
      <c r="E819" s="8" t="s">
        <v>84</v>
      </c>
      <c r="F819" s="8" t="s">
        <v>128</v>
      </c>
      <c r="G819" s="6">
        <v>39</v>
      </c>
      <c r="H819" s="25">
        <v>3900</v>
      </c>
      <c r="I819" s="6">
        <v>5</v>
      </c>
      <c r="J819" s="6">
        <f t="shared" si="24"/>
        <v>152100</v>
      </c>
      <c r="K819" s="6">
        <f t="shared" si="25"/>
        <v>144495</v>
      </c>
      <c r="L819" s="8" t="s">
        <v>76</v>
      </c>
      <c r="M819" s="8" t="s">
        <v>77</v>
      </c>
      <c r="N819">
        <v>9</v>
      </c>
      <c r="O819">
        <v>2023</v>
      </c>
      <c r="P819" s="29" t="s">
        <v>715</v>
      </c>
      <c r="Q819" t="s">
        <v>734</v>
      </c>
      <c r="R819" t="s">
        <v>739</v>
      </c>
    </row>
    <row r="820" spans="1:18" x14ac:dyDescent="0.25">
      <c r="A820" s="9">
        <v>819</v>
      </c>
      <c r="B820" s="10">
        <v>45298</v>
      </c>
      <c r="C820" s="11" t="s">
        <v>78</v>
      </c>
      <c r="D820" s="11" t="s">
        <v>73</v>
      </c>
      <c r="E820" s="11" t="s">
        <v>111</v>
      </c>
      <c r="F820" s="11" t="s">
        <v>112</v>
      </c>
      <c r="G820" s="9">
        <v>42</v>
      </c>
      <c r="H820" s="26">
        <v>58700</v>
      </c>
      <c r="I820" s="9">
        <v>20</v>
      </c>
      <c r="J820" s="9">
        <f t="shared" si="24"/>
        <v>2465400</v>
      </c>
      <c r="K820" s="9">
        <f t="shared" si="25"/>
        <v>1972320</v>
      </c>
      <c r="L820" s="11" t="s">
        <v>76</v>
      </c>
      <c r="M820" s="11" t="s">
        <v>91</v>
      </c>
      <c r="N820">
        <v>1</v>
      </c>
      <c r="O820">
        <v>2024</v>
      </c>
      <c r="P820" s="29" t="s">
        <v>727</v>
      </c>
      <c r="Q820" t="s">
        <v>735</v>
      </c>
      <c r="R820" t="s">
        <v>737</v>
      </c>
    </row>
    <row r="821" spans="1:18" x14ac:dyDescent="0.25">
      <c r="A821" s="6">
        <v>820</v>
      </c>
      <c r="B821" s="7">
        <v>45393</v>
      </c>
      <c r="C821" s="8" t="s">
        <v>124</v>
      </c>
      <c r="D821" s="8" t="s">
        <v>83</v>
      </c>
      <c r="E821" s="8" t="s">
        <v>74</v>
      </c>
      <c r="F821" s="8" t="s">
        <v>212</v>
      </c>
      <c r="G821" s="6">
        <v>45</v>
      </c>
      <c r="H821" s="25">
        <v>8600</v>
      </c>
      <c r="I821" s="6">
        <v>0</v>
      </c>
      <c r="J821" s="6">
        <f t="shared" si="24"/>
        <v>387000</v>
      </c>
      <c r="K821" s="6">
        <f t="shared" si="25"/>
        <v>387000</v>
      </c>
      <c r="L821" s="8" t="s">
        <v>187</v>
      </c>
      <c r="M821" s="8" t="s">
        <v>96</v>
      </c>
      <c r="N821">
        <v>4</v>
      </c>
      <c r="O821">
        <v>2024</v>
      </c>
      <c r="P821" s="29" t="s">
        <v>722</v>
      </c>
      <c r="Q821" t="s">
        <v>736</v>
      </c>
      <c r="R821" t="s">
        <v>737</v>
      </c>
    </row>
    <row r="822" spans="1:18" x14ac:dyDescent="0.25">
      <c r="A822" s="9">
        <v>821</v>
      </c>
      <c r="B822" s="10">
        <v>45174</v>
      </c>
      <c r="C822" s="11" t="s">
        <v>108</v>
      </c>
      <c r="D822" s="11" t="s">
        <v>73</v>
      </c>
      <c r="E822" s="11" t="s">
        <v>84</v>
      </c>
      <c r="F822" s="11" t="s">
        <v>150</v>
      </c>
      <c r="G822" s="9">
        <v>45</v>
      </c>
      <c r="H822" s="26">
        <v>6100</v>
      </c>
      <c r="I822" s="9">
        <v>0</v>
      </c>
      <c r="J822" s="9">
        <f t="shared" si="24"/>
        <v>274500</v>
      </c>
      <c r="K822" s="9">
        <f t="shared" si="25"/>
        <v>274500</v>
      </c>
      <c r="L822" s="11" t="s">
        <v>123</v>
      </c>
      <c r="M822" s="11" t="s">
        <v>77</v>
      </c>
      <c r="N822">
        <v>9</v>
      </c>
      <c r="O822">
        <v>2023</v>
      </c>
      <c r="P822" s="29" t="s">
        <v>715</v>
      </c>
      <c r="Q822" t="s">
        <v>734</v>
      </c>
      <c r="R822" t="s">
        <v>737</v>
      </c>
    </row>
    <row r="823" spans="1:18" x14ac:dyDescent="0.25">
      <c r="A823" s="6">
        <v>822</v>
      </c>
      <c r="B823" s="7">
        <v>45478</v>
      </c>
      <c r="C823" s="8" t="s">
        <v>108</v>
      </c>
      <c r="D823" s="8" t="s">
        <v>109</v>
      </c>
      <c r="E823" s="8" t="s">
        <v>111</v>
      </c>
      <c r="F823" s="8" t="s">
        <v>156</v>
      </c>
      <c r="G823" s="6">
        <v>50</v>
      </c>
      <c r="H823" s="25">
        <v>38700</v>
      </c>
      <c r="I823" s="6">
        <v>5</v>
      </c>
      <c r="J823" s="6">
        <f t="shared" si="24"/>
        <v>1935000</v>
      </c>
      <c r="K823" s="6">
        <f t="shared" si="25"/>
        <v>1838250</v>
      </c>
      <c r="L823" s="8" t="s">
        <v>76</v>
      </c>
      <c r="M823" s="8" t="s">
        <v>91</v>
      </c>
      <c r="N823">
        <v>7</v>
      </c>
      <c r="O823">
        <v>2024</v>
      </c>
      <c r="P823" s="29" t="s">
        <v>712</v>
      </c>
      <c r="Q823" t="s">
        <v>734</v>
      </c>
      <c r="R823" t="s">
        <v>737</v>
      </c>
    </row>
    <row r="824" spans="1:18" x14ac:dyDescent="0.25">
      <c r="A824" s="9">
        <v>823</v>
      </c>
      <c r="B824" s="10">
        <v>44949</v>
      </c>
      <c r="C824" s="11" t="s">
        <v>97</v>
      </c>
      <c r="D824" s="11" t="s">
        <v>109</v>
      </c>
      <c r="E824" s="11" t="s">
        <v>84</v>
      </c>
      <c r="F824" s="11" t="s">
        <v>85</v>
      </c>
      <c r="G824" s="9">
        <v>31</v>
      </c>
      <c r="H824" s="26">
        <v>6200</v>
      </c>
      <c r="I824" s="9">
        <v>10</v>
      </c>
      <c r="J824" s="9">
        <f t="shared" si="24"/>
        <v>192200</v>
      </c>
      <c r="K824" s="9">
        <f t="shared" si="25"/>
        <v>172980</v>
      </c>
      <c r="L824" s="11" t="s">
        <v>76</v>
      </c>
      <c r="M824" s="11" t="s">
        <v>91</v>
      </c>
      <c r="N824">
        <v>1</v>
      </c>
      <c r="O824">
        <v>2023</v>
      </c>
      <c r="P824" s="29" t="s">
        <v>721</v>
      </c>
      <c r="Q824" t="s">
        <v>735</v>
      </c>
      <c r="R824" t="s">
        <v>739</v>
      </c>
    </row>
    <row r="825" spans="1:18" x14ac:dyDescent="0.25">
      <c r="A825" s="6">
        <v>824</v>
      </c>
      <c r="B825" s="7">
        <v>45086</v>
      </c>
      <c r="C825" s="8" t="s">
        <v>106</v>
      </c>
      <c r="D825" s="8" t="s">
        <v>117</v>
      </c>
      <c r="E825" s="8" t="s">
        <v>102</v>
      </c>
      <c r="F825" s="8" t="s">
        <v>151</v>
      </c>
      <c r="G825" s="6">
        <v>1</v>
      </c>
      <c r="H825" s="25">
        <v>6800</v>
      </c>
      <c r="I825" s="6">
        <v>5</v>
      </c>
      <c r="J825" s="6">
        <f t="shared" si="24"/>
        <v>6800</v>
      </c>
      <c r="K825" s="6">
        <f t="shared" si="25"/>
        <v>6460</v>
      </c>
      <c r="L825" s="8" t="s">
        <v>76</v>
      </c>
      <c r="M825" s="8" t="s">
        <v>91</v>
      </c>
      <c r="N825">
        <v>6</v>
      </c>
      <c r="O825">
        <v>2023</v>
      </c>
      <c r="P825" s="29" t="s">
        <v>723</v>
      </c>
      <c r="Q825" t="s">
        <v>736</v>
      </c>
      <c r="R825" t="s">
        <v>738</v>
      </c>
    </row>
    <row r="826" spans="1:18" x14ac:dyDescent="0.25">
      <c r="A826" s="9">
        <v>825</v>
      </c>
      <c r="B826" s="10">
        <v>45434</v>
      </c>
      <c r="C826" s="11" t="s">
        <v>124</v>
      </c>
      <c r="D826" s="11" t="s">
        <v>93</v>
      </c>
      <c r="E826" s="11" t="s">
        <v>102</v>
      </c>
      <c r="F826" s="11" t="s">
        <v>110</v>
      </c>
      <c r="G826" s="9">
        <v>26</v>
      </c>
      <c r="H826" s="26">
        <v>20000</v>
      </c>
      <c r="I826" s="9">
        <v>0</v>
      </c>
      <c r="J826" s="9">
        <f t="shared" si="24"/>
        <v>520000</v>
      </c>
      <c r="K826" s="9">
        <f t="shared" si="25"/>
        <v>520000</v>
      </c>
      <c r="L826" s="11" t="s">
        <v>76</v>
      </c>
      <c r="M826" s="11" t="s">
        <v>91</v>
      </c>
      <c r="N826">
        <v>5</v>
      </c>
      <c r="O826">
        <v>2024</v>
      </c>
      <c r="P826" s="29" t="s">
        <v>732</v>
      </c>
      <c r="Q826" t="s">
        <v>736</v>
      </c>
      <c r="R826" t="s">
        <v>737</v>
      </c>
    </row>
    <row r="827" spans="1:18" x14ac:dyDescent="0.25">
      <c r="A827" s="6">
        <v>826</v>
      </c>
      <c r="B827" s="7">
        <v>45019</v>
      </c>
      <c r="C827" s="8" t="s">
        <v>82</v>
      </c>
      <c r="D827" s="8" t="s">
        <v>73</v>
      </c>
      <c r="E827" s="8" t="s">
        <v>111</v>
      </c>
      <c r="F827" s="8" t="s">
        <v>132</v>
      </c>
      <c r="G827" s="6">
        <v>18</v>
      </c>
      <c r="H827" s="25">
        <v>7800</v>
      </c>
      <c r="I827" s="6">
        <v>5</v>
      </c>
      <c r="J827" s="6">
        <f t="shared" si="24"/>
        <v>140400</v>
      </c>
      <c r="K827" s="6">
        <f t="shared" si="25"/>
        <v>133380</v>
      </c>
      <c r="L827" s="8" t="s">
        <v>107</v>
      </c>
      <c r="M827" s="8" t="s">
        <v>91</v>
      </c>
      <c r="N827">
        <v>4</v>
      </c>
      <c r="O827">
        <v>2023</v>
      </c>
      <c r="P827" s="29" t="s">
        <v>716</v>
      </c>
      <c r="Q827" t="s">
        <v>736</v>
      </c>
      <c r="R827" t="s">
        <v>739</v>
      </c>
    </row>
    <row r="828" spans="1:18" x14ac:dyDescent="0.25">
      <c r="A828" s="9">
        <v>827</v>
      </c>
      <c r="B828" s="10">
        <v>45046</v>
      </c>
      <c r="C828" s="11" t="s">
        <v>119</v>
      </c>
      <c r="D828" s="11" t="s">
        <v>93</v>
      </c>
      <c r="E828" s="11" t="s">
        <v>74</v>
      </c>
      <c r="F828" s="11" t="s">
        <v>99</v>
      </c>
      <c r="G828" s="9">
        <v>2</v>
      </c>
      <c r="H828" s="26">
        <v>3800</v>
      </c>
      <c r="I828" s="9">
        <v>5</v>
      </c>
      <c r="J828" s="9">
        <f t="shared" si="24"/>
        <v>7600</v>
      </c>
      <c r="K828" s="9">
        <f t="shared" si="25"/>
        <v>7220</v>
      </c>
      <c r="L828" s="11" t="s">
        <v>76</v>
      </c>
      <c r="M828" s="11" t="s">
        <v>81</v>
      </c>
      <c r="N828">
        <v>4</v>
      </c>
      <c r="O828">
        <v>2023</v>
      </c>
      <c r="P828" s="29" t="s">
        <v>716</v>
      </c>
      <c r="Q828" t="s">
        <v>736</v>
      </c>
      <c r="R828" t="s">
        <v>738</v>
      </c>
    </row>
    <row r="829" spans="1:18" x14ac:dyDescent="0.25">
      <c r="A829" s="6">
        <v>828</v>
      </c>
      <c r="B829" s="7">
        <v>45279</v>
      </c>
      <c r="C829" s="8" t="s">
        <v>119</v>
      </c>
      <c r="D829" s="8" t="s">
        <v>109</v>
      </c>
      <c r="E829" s="8" t="s">
        <v>102</v>
      </c>
      <c r="F829" s="8" t="s">
        <v>181</v>
      </c>
      <c r="G829" s="6">
        <v>44</v>
      </c>
      <c r="H829" s="25">
        <v>4700</v>
      </c>
      <c r="I829" s="6">
        <v>0</v>
      </c>
      <c r="J829" s="6">
        <f t="shared" si="24"/>
        <v>206800</v>
      </c>
      <c r="K829" s="6">
        <f t="shared" si="25"/>
        <v>206800</v>
      </c>
      <c r="L829" s="8" t="s">
        <v>76</v>
      </c>
      <c r="M829" s="8" t="s">
        <v>91</v>
      </c>
      <c r="N829">
        <v>12</v>
      </c>
      <c r="O829">
        <v>2023</v>
      </c>
      <c r="P829" s="29" t="s">
        <v>725</v>
      </c>
      <c r="Q829" t="s">
        <v>733</v>
      </c>
      <c r="R829" t="s">
        <v>737</v>
      </c>
    </row>
    <row r="830" spans="1:18" x14ac:dyDescent="0.25">
      <c r="A830" s="9">
        <v>829</v>
      </c>
      <c r="B830" s="10">
        <v>45227</v>
      </c>
      <c r="C830" s="11" t="s">
        <v>114</v>
      </c>
      <c r="D830" s="11" t="s">
        <v>83</v>
      </c>
      <c r="E830" s="11" t="s">
        <v>74</v>
      </c>
      <c r="F830" s="11" t="s">
        <v>99</v>
      </c>
      <c r="G830" s="9">
        <v>11</v>
      </c>
      <c r="H830" s="26">
        <v>3800</v>
      </c>
      <c r="I830" s="9">
        <v>15</v>
      </c>
      <c r="J830" s="9">
        <f t="shared" si="24"/>
        <v>41800</v>
      </c>
      <c r="K830" s="9">
        <f t="shared" si="25"/>
        <v>35530</v>
      </c>
      <c r="L830" s="11" t="s">
        <v>76</v>
      </c>
      <c r="M830" s="11" t="s">
        <v>96</v>
      </c>
      <c r="N830">
        <v>10</v>
      </c>
      <c r="O830">
        <v>2023</v>
      </c>
      <c r="P830" s="29" t="s">
        <v>726</v>
      </c>
      <c r="Q830" t="s">
        <v>733</v>
      </c>
      <c r="R830" t="s">
        <v>738</v>
      </c>
    </row>
    <row r="831" spans="1:18" x14ac:dyDescent="0.25">
      <c r="A831" s="6">
        <v>830</v>
      </c>
      <c r="B831" s="7">
        <v>45015</v>
      </c>
      <c r="C831" s="8" t="s">
        <v>119</v>
      </c>
      <c r="D831" s="8" t="s">
        <v>109</v>
      </c>
      <c r="E831" s="8" t="s">
        <v>84</v>
      </c>
      <c r="F831" s="8" t="s">
        <v>90</v>
      </c>
      <c r="G831" s="6">
        <v>32</v>
      </c>
      <c r="H831" s="25">
        <v>1700</v>
      </c>
      <c r="I831" s="6">
        <v>5</v>
      </c>
      <c r="J831" s="6">
        <f t="shared" si="24"/>
        <v>54400</v>
      </c>
      <c r="K831" s="6">
        <f t="shared" si="25"/>
        <v>51680</v>
      </c>
      <c r="L831" s="8" t="s">
        <v>76</v>
      </c>
      <c r="M831" s="8" t="s">
        <v>91</v>
      </c>
      <c r="N831">
        <v>3</v>
      </c>
      <c r="O831">
        <v>2023</v>
      </c>
      <c r="P831" s="29" t="s">
        <v>719</v>
      </c>
      <c r="Q831" t="s">
        <v>735</v>
      </c>
      <c r="R831" t="s">
        <v>739</v>
      </c>
    </row>
    <row r="832" spans="1:18" x14ac:dyDescent="0.25">
      <c r="A832" s="9">
        <v>831</v>
      </c>
      <c r="B832" s="10">
        <v>45118</v>
      </c>
      <c r="C832" s="11" t="s">
        <v>106</v>
      </c>
      <c r="D832" s="11" t="s">
        <v>109</v>
      </c>
      <c r="E832" s="11" t="s">
        <v>102</v>
      </c>
      <c r="F832" s="11" t="s">
        <v>138</v>
      </c>
      <c r="G832" s="9">
        <v>23</v>
      </c>
      <c r="H832" s="26">
        <v>7500</v>
      </c>
      <c r="I832" s="9">
        <v>15</v>
      </c>
      <c r="J832" s="9">
        <f t="shared" si="24"/>
        <v>172500</v>
      </c>
      <c r="K832" s="9">
        <f t="shared" si="25"/>
        <v>146625</v>
      </c>
      <c r="L832" s="11" t="s">
        <v>107</v>
      </c>
      <c r="M832" s="11" t="s">
        <v>96</v>
      </c>
      <c r="N832">
        <v>7</v>
      </c>
      <c r="O832">
        <v>2023</v>
      </c>
      <c r="P832" s="29" t="s">
        <v>724</v>
      </c>
      <c r="Q832" t="s">
        <v>734</v>
      </c>
      <c r="R832" t="s">
        <v>739</v>
      </c>
    </row>
    <row r="833" spans="1:18" x14ac:dyDescent="0.25">
      <c r="A833" s="6">
        <v>832</v>
      </c>
      <c r="B833" s="7">
        <v>45266</v>
      </c>
      <c r="C833" s="8" t="s">
        <v>108</v>
      </c>
      <c r="D833" s="8" t="s">
        <v>93</v>
      </c>
      <c r="E833" s="8" t="s">
        <v>79</v>
      </c>
      <c r="F833" s="8" t="s">
        <v>131</v>
      </c>
      <c r="G833" s="6">
        <v>8</v>
      </c>
      <c r="H833" s="25">
        <v>118100</v>
      </c>
      <c r="I833" s="6">
        <v>10</v>
      </c>
      <c r="J833" s="6">
        <f t="shared" si="24"/>
        <v>944800</v>
      </c>
      <c r="K833" s="6">
        <f t="shared" si="25"/>
        <v>850320</v>
      </c>
      <c r="L833" s="8" t="s">
        <v>76</v>
      </c>
      <c r="M833" s="8" t="s">
        <v>77</v>
      </c>
      <c r="N833">
        <v>12</v>
      </c>
      <c r="O833">
        <v>2023</v>
      </c>
      <c r="P833" s="29" t="s">
        <v>725</v>
      </c>
      <c r="Q833" t="s">
        <v>733</v>
      </c>
      <c r="R833" t="s">
        <v>737</v>
      </c>
    </row>
    <row r="834" spans="1:18" x14ac:dyDescent="0.25">
      <c r="A834" s="9">
        <v>833</v>
      </c>
      <c r="B834" s="10">
        <v>45156</v>
      </c>
      <c r="C834" s="11" t="s">
        <v>119</v>
      </c>
      <c r="D834" s="11" t="s">
        <v>117</v>
      </c>
      <c r="E834" s="11" t="s">
        <v>74</v>
      </c>
      <c r="F834" s="11" t="s">
        <v>212</v>
      </c>
      <c r="G834" s="9">
        <v>50</v>
      </c>
      <c r="H834" s="26">
        <v>8700</v>
      </c>
      <c r="I834" s="9">
        <v>0</v>
      </c>
      <c r="J834" s="9">
        <f t="shared" ref="J834:J897" si="26">G834*H834</f>
        <v>435000</v>
      </c>
      <c r="K834" s="9">
        <f t="shared" ref="K834:K897" si="27">J834*(1-I834/100)</f>
        <v>435000</v>
      </c>
      <c r="L834" s="11" t="s">
        <v>107</v>
      </c>
      <c r="M834" s="11" t="s">
        <v>96</v>
      </c>
      <c r="N834">
        <v>8</v>
      </c>
      <c r="O834">
        <v>2023</v>
      </c>
      <c r="P834" s="29" t="s">
        <v>713</v>
      </c>
      <c r="Q834" t="s">
        <v>734</v>
      </c>
      <c r="R834" t="s">
        <v>737</v>
      </c>
    </row>
    <row r="835" spans="1:18" x14ac:dyDescent="0.25">
      <c r="A835" s="6">
        <v>834</v>
      </c>
      <c r="B835" s="7">
        <v>45633</v>
      </c>
      <c r="C835" s="8" t="s">
        <v>82</v>
      </c>
      <c r="D835" s="8" t="s">
        <v>93</v>
      </c>
      <c r="E835" s="8" t="s">
        <v>79</v>
      </c>
      <c r="F835" s="8" t="s">
        <v>136</v>
      </c>
      <c r="G835" s="6">
        <v>29</v>
      </c>
      <c r="H835" s="25">
        <v>96200</v>
      </c>
      <c r="I835" s="6">
        <v>0</v>
      </c>
      <c r="J835" s="6">
        <f t="shared" si="26"/>
        <v>2789800</v>
      </c>
      <c r="K835" s="6">
        <f t="shared" si="27"/>
        <v>2789800</v>
      </c>
      <c r="L835" s="8" t="s">
        <v>187</v>
      </c>
      <c r="M835" s="8" t="s">
        <v>77</v>
      </c>
      <c r="N835">
        <v>12</v>
      </c>
      <c r="O835">
        <v>2024</v>
      </c>
      <c r="P835" s="29" t="s">
        <v>728</v>
      </c>
      <c r="Q835" t="s">
        <v>733</v>
      </c>
      <c r="R835" t="s">
        <v>737</v>
      </c>
    </row>
    <row r="836" spans="1:18" x14ac:dyDescent="0.25">
      <c r="A836" s="9">
        <v>835</v>
      </c>
      <c r="B836" s="10">
        <v>45552</v>
      </c>
      <c r="C836" s="11" t="s">
        <v>124</v>
      </c>
      <c r="D836" s="11" t="s">
        <v>73</v>
      </c>
      <c r="E836" s="11" t="s">
        <v>102</v>
      </c>
      <c r="F836" s="11" t="s">
        <v>138</v>
      </c>
      <c r="G836" s="9">
        <v>11</v>
      </c>
      <c r="H836" s="26">
        <v>6700</v>
      </c>
      <c r="I836" s="6">
        <v>0</v>
      </c>
      <c r="J836" s="9">
        <f t="shared" si="26"/>
        <v>73700</v>
      </c>
      <c r="K836" s="9">
        <f t="shared" si="27"/>
        <v>73700</v>
      </c>
      <c r="L836" s="11" t="s">
        <v>76</v>
      </c>
      <c r="M836" s="11" t="s">
        <v>81</v>
      </c>
      <c r="N836">
        <v>9</v>
      </c>
      <c r="O836">
        <v>2024</v>
      </c>
      <c r="P836" s="29" t="s">
        <v>731</v>
      </c>
      <c r="Q836" t="s">
        <v>734</v>
      </c>
      <c r="R836" t="s">
        <v>739</v>
      </c>
    </row>
    <row r="837" spans="1:18" x14ac:dyDescent="0.25">
      <c r="A837" s="6">
        <v>836</v>
      </c>
      <c r="B837" s="7">
        <v>45205</v>
      </c>
      <c r="C837" s="8" t="s">
        <v>101</v>
      </c>
      <c r="D837" s="8" t="s">
        <v>83</v>
      </c>
      <c r="E837" s="8" t="s">
        <v>102</v>
      </c>
      <c r="F837" s="8" t="s">
        <v>197</v>
      </c>
      <c r="G837" s="6">
        <v>7</v>
      </c>
      <c r="H837" s="25">
        <v>4100</v>
      </c>
      <c r="I837" s="6">
        <v>0</v>
      </c>
      <c r="J837" s="6">
        <f t="shared" si="26"/>
        <v>28700</v>
      </c>
      <c r="K837" s="6">
        <f t="shared" si="27"/>
        <v>28700</v>
      </c>
      <c r="L837" s="8" t="s">
        <v>76</v>
      </c>
      <c r="M837" s="8" t="s">
        <v>96</v>
      </c>
      <c r="N837">
        <v>10</v>
      </c>
      <c r="O837">
        <v>2023</v>
      </c>
      <c r="P837" s="29" t="s">
        <v>726</v>
      </c>
      <c r="Q837" t="s">
        <v>733</v>
      </c>
      <c r="R837" t="s">
        <v>738</v>
      </c>
    </row>
    <row r="838" spans="1:18" x14ac:dyDescent="0.25">
      <c r="A838" s="9">
        <v>837</v>
      </c>
      <c r="B838" s="10">
        <v>45068</v>
      </c>
      <c r="C838" s="11" t="s">
        <v>97</v>
      </c>
      <c r="D838" s="11" t="s">
        <v>109</v>
      </c>
      <c r="E838" s="11" t="s">
        <v>111</v>
      </c>
      <c r="F838" s="11" t="s">
        <v>165</v>
      </c>
      <c r="G838" s="9">
        <v>1</v>
      </c>
      <c r="H838" s="26">
        <v>19700</v>
      </c>
      <c r="I838" s="9">
        <v>0</v>
      </c>
      <c r="J838" s="9">
        <f t="shared" si="26"/>
        <v>19700</v>
      </c>
      <c r="K838" s="9">
        <f t="shared" si="27"/>
        <v>19700</v>
      </c>
      <c r="L838" s="11" t="s">
        <v>76</v>
      </c>
      <c r="M838" s="11" t="s">
        <v>91</v>
      </c>
      <c r="N838">
        <v>5</v>
      </c>
      <c r="O838">
        <v>2023</v>
      </c>
      <c r="P838" s="29" t="s">
        <v>730</v>
      </c>
      <c r="Q838" t="s">
        <v>736</v>
      </c>
      <c r="R838" t="s">
        <v>738</v>
      </c>
    </row>
    <row r="839" spans="1:18" x14ac:dyDescent="0.25">
      <c r="A839" s="6">
        <v>838</v>
      </c>
      <c r="B839" s="7">
        <v>45220</v>
      </c>
      <c r="C839" s="8" t="s">
        <v>82</v>
      </c>
      <c r="D839" s="8" t="s">
        <v>109</v>
      </c>
      <c r="E839" s="8" t="s">
        <v>79</v>
      </c>
      <c r="F839" s="8" t="s">
        <v>179</v>
      </c>
      <c r="G839" s="6">
        <v>49</v>
      </c>
      <c r="H839" s="25">
        <v>2500</v>
      </c>
      <c r="I839" s="6">
        <v>0</v>
      </c>
      <c r="J839" s="6">
        <f t="shared" si="26"/>
        <v>122500</v>
      </c>
      <c r="K839" s="6">
        <f t="shared" si="27"/>
        <v>122500</v>
      </c>
      <c r="L839" s="8" t="s">
        <v>76</v>
      </c>
      <c r="M839" s="31" t="s">
        <v>695</v>
      </c>
      <c r="N839">
        <v>10</v>
      </c>
      <c r="O839">
        <v>2023</v>
      </c>
      <c r="P839" s="29" t="s">
        <v>726</v>
      </c>
      <c r="Q839" t="s">
        <v>733</v>
      </c>
      <c r="R839" t="s">
        <v>739</v>
      </c>
    </row>
    <row r="840" spans="1:18" x14ac:dyDescent="0.25">
      <c r="A840" s="9">
        <v>839</v>
      </c>
      <c r="B840" s="10">
        <v>45469</v>
      </c>
      <c r="C840" s="11" t="s">
        <v>114</v>
      </c>
      <c r="D840" s="11" t="s">
        <v>109</v>
      </c>
      <c r="E840" s="11" t="s">
        <v>84</v>
      </c>
      <c r="F840" s="11" t="s">
        <v>148</v>
      </c>
      <c r="G840" s="9">
        <v>27</v>
      </c>
      <c r="H840" s="26">
        <v>4800</v>
      </c>
      <c r="I840" s="9">
        <v>0</v>
      </c>
      <c r="J840" s="9">
        <f t="shared" si="26"/>
        <v>129600</v>
      </c>
      <c r="K840" s="9">
        <f t="shared" si="27"/>
        <v>129600</v>
      </c>
      <c r="L840" s="11" t="s">
        <v>107</v>
      </c>
      <c r="M840" s="11" t="s">
        <v>96</v>
      </c>
      <c r="N840">
        <v>6</v>
      </c>
      <c r="O840">
        <v>2024</v>
      </c>
      <c r="P840" s="29" t="s">
        <v>720</v>
      </c>
      <c r="Q840" t="s">
        <v>736</v>
      </c>
      <c r="R840" t="s">
        <v>739</v>
      </c>
    </row>
    <row r="841" spans="1:18" x14ac:dyDescent="0.25">
      <c r="A841" s="6">
        <v>840</v>
      </c>
      <c r="B841" s="7">
        <v>45380</v>
      </c>
      <c r="C841" s="8" t="s">
        <v>108</v>
      </c>
      <c r="D841" s="30" t="s">
        <v>703</v>
      </c>
      <c r="E841" s="8" t="s">
        <v>102</v>
      </c>
      <c r="F841" s="8" t="s">
        <v>137</v>
      </c>
      <c r="G841" s="6">
        <v>21</v>
      </c>
      <c r="H841" s="25">
        <v>2000</v>
      </c>
      <c r="I841" s="6">
        <v>5</v>
      </c>
      <c r="J841" s="6">
        <f t="shared" si="26"/>
        <v>42000</v>
      </c>
      <c r="K841" s="6">
        <f t="shared" si="27"/>
        <v>39900</v>
      </c>
      <c r="L841" s="8" t="s">
        <v>76</v>
      </c>
      <c r="M841" s="8" t="s">
        <v>81</v>
      </c>
      <c r="N841">
        <v>3</v>
      </c>
      <c r="O841">
        <v>2024</v>
      </c>
      <c r="P841" s="29" t="s">
        <v>711</v>
      </c>
      <c r="Q841" t="s">
        <v>735</v>
      </c>
      <c r="R841" t="s">
        <v>738</v>
      </c>
    </row>
    <row r="842" spans="1:18" x14ac:dyDescent="0.25">
      <c r="A842" s="9">
        <v>841</v>
      </c>
      <c r="B842" s="10">
        <v>45019</v>
      </c>
      <c r="C842" s="11" t="s">
        <v>114</v>
      </c>
      <c r="D842" s="11" t="s">
        <v>73</v>
      </c>
      <c r="E842" s="11" t="s">
        <v>84</v>
      </c>
      <c r="F842" s="11" t="s">
        <v>206</v>
      </c>
      <c r="G842" s="9">
        <v>46</v>
      </c>
      <c r="H842" s="26">
        <v>16000</v>
      </c>
      <c r="I842" s="9">
        <v>5</v>
      </c>
      <c r="J842" s="9">
        <f t="shared" si="26"/>
        <v>736000</v>
      </c>
      <c r="K842" s="9">
        <f t="shared" si="27"/>
        <v>699200</v>
      </c>
      <c r="L842" s="11" t="s">
        <v>187</v>
      </c>
      <c r="M842" s="11" t="s">
        <v>96</v>
      </c>
      <c r="N842">
        <v>4</v>
      </c>
      <c r="O842">
        <v>2023</v>
      </c>
      <c r="P842" s="29" t="s">
        <v>716</v>
      </c>
      <c r="Q842" t="s">
        <v>736</v>
      </c>
      <c r="R842" t="s">
        <v>737</v>
      </c>
    </row>
    <row r="843" spans="1:18" x14ac:dyDescent="0.25">
      <c r="A843" s="6">
        <v>842</v>
      </c>
      <c r="B843" s="7">
        <v>45338</v>
      </c>
      <c r="C843" s="8" t="s">
        <v>82</v>
      </c>
      <c r="D843" s="8" t="s">
        <v>117</v>
      </c>
      <c r="E843" s="8" t="s">
        <v>74</v>
      </c>
      <c r="F843" s="8" t="s">
        <v>212</v>
      </c>
      <c r="G843" s="6">
        <v>18</v>
      </c>
      <c r="H843" s="25">
        <v>7200</v>
      </c>
      <c r="I843" s="6">
        <v>15</v>
      </c>
      <c r="J843" s="6">
        <f t="shared" si="26"/>
        <v>129600</v>
      </c>
      <c r="K843" s="6">
        <f t="shared" si="27"/>
        <v>110160</v>
      </c>
      <c r="L843" s="8" t="s">
        <v>107</v>
      </c>
      <c r="M843" s="8" t="s">
        <v>81</v>
      </c>
      <c r="N843">
        <v>2</v>
      </c>
      <c r="O843">
        <v>2024</v>
      </c>
      <c r="P843" s="29" t="s">
        <v>729</v>
      </c>
      <c r="Q843" t="s">
        <v>735</v>
      </c>
      <c r="R843" t="s">
        <v>739</v>
      </c>
    </row>
    <row r="844" spans="1:18" x14ac:dyDescent="0.25">
      <c r="A844" s="9">
        <v>843</v>
      </c>
      <c r="B844" s="10">
        <v>45340</v>
      </c>
      <c r="C844" s="11" t="s">
        <v>119</v>
      </c>
      <c r="D844" s="11" t="s">
        <v>109</v>
      </c>
      <c r="E844" s="11" t="s">
        <v>102</v>
      </c>
      <c r="F844" s="11" t="s">
        <v>197</v>
      </c>
      <c r="G844" s="9">
        <v>42</v>
      </c>
      <c r="H844" s="26">
        <v>4100</v>
      </c>
      <c r="I844" s="9">
        <v>0</v>
      </c>
      <c r="J844" s="9">
        <f t="shared" si="26"/>
        <v>172200</v>
      </c>
      <c r="K844" s="9">
        <f t="shared" si="27"/>
        <v>172200</v>
      </c>
      <c r="L844" s="11" t="s">
        <v>76</v>
      </c>
      <c r="M844" s="11" t="s">
        <v>81</v>
      </c>
      <c r="N844">
        <v>2</v>
      </c>
      <c r="O844">
        <v>2024</v>
      </c>
      <c r="P844" s="29" t="s">
        <v>729</v>
      </c>
      <c r="Q844" t="s">
        <v>735</v>
      </c>
      <c r="R844" t="s">
        <v>739</v>
      </c>
    </row>
    <row r="845" spans="1:18" x14ac:dyDescent="0.25">
      <c r="A845" s="6">
        <v>844</v>
      </c>
      <c r="B845" s="7">
        <v>45013</v>
      </c>
      <c r="C845" s="8" t="s">
        <v>78</v>
      </c>
      <c r="D845" s="8" t="s">
        <v>93</v>
      </c>
      <c r="E845" s="8" t="s">
        <v>74</v>
      </c>
      <c r="F845" s="8" t="s">
        <v>140</v>
      </c>
      <c r="G845" s="6">
        <v>48</v>
      </c>
      <c r="H845" s="25">
        <v>4900</v>
      </c>
      <c r="I845" s="6">
        <v>0</v>
      </c>
      <c r="J845" s="6">
        <f t="shared" si="26"/>
        <v>235200</v>
      </c>
      <c r="K845" s="6">
        <f t="shared" si="27"/>
        <v>235200</v>
      </c>
      <c r="L845" s="8" t="s">
        <v>107</v>
      </c>
      <c r="M845" s="8" t="s">
        <v>96</v>
      </c>
      <c r="N845">
        <v>3</v>
      </c>
      <c r="O845">
        <v>2023</v>
      </c>
      <c r="P845" s="29" t="s">
        <v>719</v>
      </c>
      <c r="Q845" t="s">
        <v>735</v>
      </c>
      <c r="R845" t="s">
        <v>737</v>
      </c>
    </row>
    <row r="846" spans="1:18" x14ac:dyDescent="0.25">
      <c r="A846" s="9">
        <v>845</v>
      </c>
      <c r="B846" s="10">
        <v>45081</v>
      </c>
      <c r="C846" s="11" t="s">
        <v>82</v>
      </c>
      <c r="D846" s="11" t="s">
        <v>93</v>
      </c>
      <c r="E846" s="11" t="s">
        <v>74</v>
      </c>
      <c r="F846" s="11" t="s">
        <v>212</v>
      </c>
      <c r="G846" s="9">
        <v>11</v>
      </c>
      <c r="H846" s="26">
        <v>8700</v>
      </c>
      <c r="I846" s="9">
        <v>0</v>
      </c>
      <c r="J846" s="9">
        <f t="shared" si="26"/>
        <v>95700</v>
      </c>
      <c r="K846" s="9">
        <f t="shared" si="27"/>
        <v>95700</v>
      </c>
      <c r="L846" s="11" t="s">
        <v>76</v>
      </c>
      <c r="M846" s="31" t="s">
        <v>695</v>
      </c>
      <c r="N846">
        <v>6</v>
      </c>
      <c r="O846">
        <v>2023</v>
      </c>
      <c r="P846" s="29" t="s">
        <v>723</v>
      </c>
      <c r="Q846" t="s">
        <v>736</v>
      </c>
      <c r="R846" t="s">
        <v>739</v>
      </c>
    </row>
    <row r="847" spans="1:18" x14ac:dyDescent="0.25">
      <c r="A847" s="6">
        <v>846</v>
      </c>
      <c r="B847" s="7">
        <v>45149</v>
      </c>
      <c r="C847" s="8" t="s">
        <v>114</v>
      </c>
      <c r="D847" s="8" t="s">
        <v>93</v>
      </c>
      <c r="E847" s="8" t="s">
        <v>79</v>
      </c>
      <c r="F847" s="8" t="s">
        <v>136</v>
      </c>
      <c r="G847" s="6">
        <v>17</v>
      </c>
      <c r="H847" s="25">
        <v>94400</v>
      </c>
      <c r="I847" s="6">
        <v>0</v>
      </c>
      <c r="J847" s="6">
        <f t="shared" si="26"/>
        <v>1604800</v>
      </c>
      <c r="K847" s="6">
        <f t="shared" si="27"/>
        <v>1604800</v>
      </c>
      <c r="L847" s="8" t="s">
        <v>76</v>
      </c>
      <c r="M847" s="8" t="s">
        <v>96</v>
      </c>
      <c r="N847">
        <v>8</v>
      </c>
      <c r="O847">
        <v>2023</v>
      </c>
      <c r="P847" s="29" t="s">
        <v>713</v>
      </c>
      <c r="Q847" t="s">
        <v>734</v>
      </c>
      <c r="R847" t="s">
        <v>737</v>
      </c>
    </row>
    <row r="848" spans="1:18" x14ac:dyDescent="0.25">
      <c r="A848" s="9">
        <v>847</v>
      </c>
      <c r="B848" s="10">
        <v>44975</v>
      </c>
      <c r="C848" s="11" t="s">
        <v>97</v>
      </c>
      <c r="D848" s="11" t="s">
        <v>83</v>
      </c>
      <c r="E848" s="11" t="s">
        <v>74</v>
      </c>
      <c r="F848" s="11" t="s">
        <v>94</v>
      </c>
      <c r="G848" s="9">
        <v>16</v>
      </c>
      <c r="H848" s="26">
        <v>35500</v>
      </c>
      <c r="I848" s="9">
        <v>0</v>
      </c>
      <c r="J848" s="9">
        <f t="shared" si="26"/>
        <v>568000</v>
      </c>
      <c r="K848" s="9">
        <f t="shared" si="27"/>
        <v>568000</v>
      </c>
      <c r="L848" s="11" t="s">
        <v>187</v>
      </c>
      <c r="M848" s="11" t="s">
        <v>81</v>
      </c>
      <c r="N848">
        <v>2</v>
      </c>
      <c r="O848">
        <v>2023</v>
      </c>
      <c r="P848" s="29" t="s">
        <v>717</v>
      </c>
      <c r="Q848" t="s">
        <v>735</v>
      </c>
      <c r="R848" t="s">
        <v>737</v>
      </c>
    </row>
    <row r="849" spans="1:18" x14ac:dyDescent="0.25">
      <c r="A849" s="6">
        <v>848</v>
      </c>
      <c r="B849" s="7">
        <v>44996</v>
      </c>
      <c r="C849" s="8" t="s">
        <v>101</v>
      </c>
      <c r="D849" s="8" t="s">
        <v>93</v>
      </c>
      <c r="E849" s="8" t="s">
        <v>84</v>
      </c>
      <c r="F849" s="8" t="s">
        <v>148</v>
      </c>
      <c r="G849" s="6">
        <v>16</v>
      </c>
      <c r="H849" s="25">
        <v>4900</v>
      </c>
      <c r="I849" s="6">
        <v>20</v>
      </c>
      <c r="J849" s="6">
        <f t="shared" si="26"/>
        <v>78400</v>
      </c>
      <c r="K849" s="6">
        <f t="shared" si="27"/>
        <v>62720</v>
      </c>
      <c r="L849" s="8" t="s">
        <v>76</v>
      </c>
      <c r="M849" s="8" t="s">
        <v>81</v>
      </c>
      <c r="N849">
        <v>3</v>
      </c>
      <c r="O849">
        <v>2023</v>
      </c>
      <c r="P849" s="29" t="s">
        <v>719</v>
      </c>
      <c r="Q849" t="s">
        <v>735</v>
      </c>
      <c r="R849" t="s">
        <v>739</v>
      </c>
    </row>
    <row r="850" spans="1:18" x14ac:dyDescent="0.25">
      <c r="A850" s="9">
        <v>849</v>
      </c>
      <c r="B850" s="10">
        <v>45413</v>
      </c>
      <c r="C850" s="11" t="s">
        <v>119</v>
      </c>
      <c r="D850" s="11" t="s">
        <v>73</v>
      </c>
      <c r="E850" s="11" t="s">
        <v>84</v>
      </c>
      <c r="F850" s="11" t="s">
        <v>148</v>
      </c>
      <c r="G850" s="9">
        <v>6</v>
      </c>
      <c r="H850" s="26">
        <v>5300</v>
      </c>
      <c r="I850" s="9">
        <v>0</v>
      </c>
      <c r="J850" s="9">
        <f t="shared" si="26"/>
        <v>31800</v>
      </c>
      <c r="K850" s="9">
        <f t="shared" si="27"/>
        <v>31800</v>
      </c>
      <c r="L850" s="11" t="s">
        <v>76</v>
      </c>
      <c r="M850" s="11" t="s">
        <v>91</v>
      </c>
      <c r="N850">
        <v>5</v>
      </c>
      <c r="O850">
        <v>2024</v>
      </c>
      <c r="P850" s="29" t="s">
        <v>732</v>
      </c>
      <c r="Q850" t="s">
        <v>736</v>
      </c>
      <c r="R850" t="s">
        <v>738</v>
      </c>
    </row>
    <row r="851" spans="1:18" x14ac:dyDescent="0.25">
      <c r="A851" s="6">
        <v>850</v>
      </c>
      <c r="B851" s="7">
        <v>45327</v>
      </c>
      <c r="C851" s="8" t="s">
        <v>106</v>
      </c>
      <c r="D851" s="8" t="s">
        <v>83</v>
      </c>
      <c r="E851" s="8" t="s">
        <v>79</v>
      </c>
      <c r="F851" s="8" t="s">
        <v>120</v>
      </c>
      <c r="G851" s="6">
        <v>26</v>
      </c>
      <c r="H851" s="25">
        <v>6400</v>
      </c>
      <c r="I851" s="6">
        <v>20</v>
      </c>
      <c r="J851" s="6">
        <f t="shared" si="26"/>
        <v>166400</v>
      </c>
      <c r="K851" s="6">
        <f t="shared" si="27"/>
        <v>133120</v>
      </c>
      <c r="L851" s="8" t="s">
        <v>76</v>
      </c>
      <c r="M851" s="8" t="s">
        <v>91</v>
      </c>
      <c r="N851">
        <v>2</v>
      </c>
      <c r="O851">
        <v>2024</v>
      </c>
      <c r="P851" s="29" t="s">
        <v>729</v>
      </c>
      <c r="Q851" t="s">
        <v>735</v>
      </c>
      <c r="R851" t="s">
        <v>739</v>
      </c>
    </row>
    <row r="852" spans="1:18" x14ac:dyDescent="0.25">
      <c r="A852" s="9">
        <v>851</v>
      </c>
      <c r="B852" s="10">
        <v>45197</v>
      </c>
      <c r="C852" s="11" t="s">
        <v>124</v>
      </c>
      <c r="D852" s="11" t="s">
        <v>83</v>
      </c>
      <c r="E852" s="11" t="s">
        <v>111</v>
      </c>
      <c r="F852" s="11" t="s">
        <v>159</v>
      </c>
      <c r="G852" s="9">
        <v>32</v>
      </c>
      <c r="H852" s="26">
        <v>12900</v>
      </c>
      <c r="I852" s="9">
        <v>20</v>
      </c>
      <c r="J852" s="9">
        <f t="shared" si="26"/>
        <v>412800</v>
      </c>
      <c r="K852" s="9">
        <f t="shared" si="27"/>
        <v>330240</v>
      </c>
      <c r="L852" s="11" t="s">
        <v>187</v>
      </c>
      <c r="M852" s="11" t="s">
        <v>91</v>
      </c>
      <c r="N852">
        <v>9</v>
      </c>
      <c r="O852">
        <v>2023</v>
      </c>
      <c r="P852" s="29" t="s">
        <v>715</v>
      </c>
      <c r="Q852" t="s">
        <v>734</v>
      </c>
      <c r="R852" t="s">
        <v>737</v>
      </c>
    </row>
    <row r="853" spans="1:18" x14ac:dyDescent="0.25">
      <c r="A853" s="6">
        <v>852</v>
      </c>
      <c r="B853" s="7">
        <v>45093</v>
      </c>
      <c r="C853" s="8" t="s">
        <v>108</v>
      </c>
      <c r="D853" s="8" t="s">
        <v>93</v>
      </c>
      <c r="E853" s="8" t="s">
        <v>84</v>
      </c>
      <c r="F853" s="8" t="s">
        <v>85</v>
      </c>
      <c r="G853" s="6">
        <v>9</v>
      </c>
      <c r="H853" s="25">
        <v>5800</v>
      </c>
      <c r="I853" s="6">
        <v>0</v>
      </c>
      <c r="J853" s="6">
        <f t="shared" si="26"/>
        <v>52200</v>
      </c>
      <c r="K853" s="6">
        <f t="shared" si="27"/>
        <v>52200</v>
      </c>
      <c r="L853" s="8" t="s">
        <v>123</v>
      </c>
      <c r="M853" s="8" t="s">
        <v>77</v>
      </c>
      <c r="N853">
        <v>6</v>
      </c>
      <c r="O853">
        <v>2023</v>
      </c>
      <c r="P853" s="29" t="s">
        <v>723</v>
      </c>
      <c r="Q853" t="s">
        <v>736</v>
      </c>
      <c r="R853" t="s">
        <v>739</v>
      </c>
    </row>
    <row r="854" spans="1:18" x14ac:dyDescent="0.25">
      <c r="A854" s="9">
        <v>853</v>
      </c>
      <c r="B854" s="10">
        <v>45085</v>
      </c>
      <c r="C854" s="11" t="s">
        <v>119</v>
      </c>
      <c r="D854" s="11" t="s">
        <v>83</v>
      </c>
      <c r="E854" s="11" t="s">
        <v>79</v>
      </c>
      <c r="F854" s="11" t="s">
        <v>122</v>
      </c>
      <c r="G854" s="9">
        <v>24</v>
      </c>
      <c r="H854" s="26">
        <v>20400</v>
      </c>
      <c r="I854" s="9">
        <v>10</v>
      </c>
      <c r="J854" s="9">
        <f t="shared" si="26"/>
        <v>489600</v>
      </c>
      <c r="K854" s="9">
        <f t="shared" si="27"/>
        <v>440640</v>
      </c>
      <c r="L854" s="11" t="s">
        <v>107</v>
      </c>
      <c r="M854" s="11" t="s">
        <v>77</v>
      </c>
      <c r="N854">
        <v>6</v>
      </c>
      <c r="O854">
        <v>2023</v>
      </c>
      <c r="P854" s="29" t="s">
        <v>723</v>
      </c>
      <c r="Q854" t="s">
        <v>736</v>
      </c>
      <c r="R854" t="s">
        <v>737</v>
      </c>
    </row>
    <row r="855" spans="1:18" x14ac:dyDescent="0.25">
      <c r="A855" s="6">
        <v>854</v>
      </c>
      <c r="B855" s="7">
        <v>45345</v>
      </c>
      <c r="C855" s="8" t="s">
        <v>97</v>
      </c>
      <c r="D855" s="8" t="s">
        <v>73</v>
      </c>
      <c r="E855" s="8" t="s">
        <v>74</v>
      </c>
      <c r="F855" s="8" t="s">
        <v>190</v>
      </c>
      <c r="G855" s="6">
        <v>10</v>
      </c>
      <c r="H855" s="25">
        <v>29100</v>
      </c>
      <c r="I855" s="6">
        <v>0</v>
      </c>
      <c r="J855" s="6">
        <f t="shared" si="26"/>
        <v>291000</v>
      </c>
      <c r="K855" s="6">
        <f t="shared" si="27"/>
        <v>291000</v>
      </c>
      <c r="L855" s="8" t="s">
        <v>76</v>
      </c>
      <c r="M855" s="8" t="s">
        <v>96</v>
      </c>
      <c r="N855">
        <v>2</v>
      </c>
      <c r="O855">
        <v>2024</v>
      </c>
      <c r="P855" s="29" t="s">
        <v>729</v>
      </c>
      <c r="Q855" t="s">
        <v>735</v>
      </c>
      <c r="R855" t="s">
        <v>737</v>
      </c>
    </row>
    <row r="856" spans="1:18" x14ac:dyDescent="0.25">
      <c r="A856" s="9">
        <v>855</v>
      </c>
      <c r="B856" s="10">
        <v>45118</v>
      </c>
      <c r="C856" s="11" t="s">
        <v>101</v>
      </c>
      <c r="D856" s="11" t="s">
        <v>83</v>
      </c>
      <c r="E856" s="11" t="s">
        <v>79</v>
      </c>
      <c r="F856" s="11" t="s">
        <v>122</v>
      </c>
      <c r="G856" s="9">
        <v>38</v>
      </c>
      <c r="H856" s="26">
        <v>16800</v>
      </c>
      <c r="I856" s="9">
        <v>0</v>
      </c>
      <c r="J856" s="9">
        <f t="shared" si="26"/>
        <v>638400</v>
      </c>
      <c r="K856" s="9">
        <f t="shared" si="27"/>
        <v>638400</v>
      </c>
      <c r="L856" s="11" t="s">
        <v>76</v>
      </c>
      <c r="M856" s="11" t="s">
        <v>96</v>
      </c>
      <c r="N856">
        <v>7</v>
      </c>
      <c r="O856">
        <v>2023</v>
      </c>
      <c r="P856" s="29" t="s">
        <v>724</v>
      </c>
      <c r="Q856" t="s">
        <v>734</v>
      </c>
      <c r="R856" t="s">
        <v>737</v>
      </c>
    </row>
    <row r="857" spans="1:18" x14ac:dyDescent="0.25">
      <c r="A857" s="6">
        <v>856</v>
      </c>
      <c r="B857" s="7">
        <v>45177</v>
      </c>
      <c r="C857" s="8" t="s">
        <v>108</v>
      </c>
      <c r="D857" s="8" t="s">
        <v>83</v>
      </c>
      <c r="E857" s="8" t="s">
        <v>79</v>
      </c>
      <c r="F857" s="8" t="s">
        <v>131</v>
      </c>
      <c r="G857" s="6">
        <v>5</v>
      </c>
      <c r="H857" s="25">
        <v>124400</v>
      </c>
      <c r="I857" s="6">
        <v>5</v>
      </c>
      <c r="J857" s="6">
        <f t="shared" si="26"/>
        <v>622000</v>
      </c>
      <c r="K857" s="6">
        <f t="shared" si="27"/>
        <v>590900</v>
      </c>
      <c r="L857" s="8" t="s">
        <v>107</v>
      </c>
      <c r="M857" s="8" t="s">
        <v>91</v>
      </c>
      <c r="N857">
        <v>9</v>
      </c>
      <c r="O857">
        <v>2023</v>
      </c>
      <c r="P857" s="29" t="s">
        <v>715</v>
      </c>
      <c r="Q857" t="s">
        <v>734</v>
      </c>
      <c r="R857" t="s">
        <v>737</v>
      </c>
    </row>
    <row r="858" spans="1:18" x14ac:dyDescent="0.25">
      <c r="A858" s="9">
        <v>857</v>
      </c>
      <c r="B858" s="10">
        <v>45543</v>
      </c>
      <c r="C858" s="11" t="s">
        <v>101</v>
      </c>
      <c r="D858" s="11" t="s">
        <v>93</v>
      </c>
      <c r="E858" s="11" t="s">
        <v>111</v>
      </c>
      <c r="F858" s="11" t="s">
        <v>132</v>
      </c>
      <c r="G858" s="9">
        <v>31</v>
      </c>
      <c r="H858" s="26">
        <v>8200</v>
      </c>
      <c r="I858" s="6">
        <v>0</v>
      </c>
      <c r="J858" s="9">
        <f t="shared" si="26"/>
        <v>254200</v>
      </c>
      <c r="K858" s="9">
        <f t="shared" si="27"/>
        <v>254200</v>
      </c>
      <c r="L858" s="11" t="s">
        <v>187</v>
      </c>
      <c r="M858" s="11" t="s">
        <v>81</v>
      </c>
      <c r="N858">
        <v>9</v>
      </c>
      <c r="O858">
        <v>2024</v>
      </c>
      <c r="P858" s="29" t="s">
        <v>731</v>
      </c>
      <c r="Q858" t="s">
        <v>734</v>
      </c>
      <c r="R858" t="s">
        <v>737</v>
      </c>
    </row>
    <row r="859" spans="1:18" x14ac:dyDescent="0.25">
      <c r="A859" s="6">
        <v>858</v>
      </c>
      <c r="B859" s="7">
        <v>45068</v>
      </c>
      <c r="C859" s="8" t="s">
        <v>82</v>
      </c>
      <c r="D859" s="8" t="s">
        <v>83</v>
      </c>
      <c r="E859" s="8" t="s">
        <v>111</v>
      </c>
      <c r="F859" s="8" t="s">
        <v>159</v>
      </c>
      <c r="G859" s="6">
        <v>47</v>
      </c>
      <c r="H859" s="25">
        <v>11200</v>
      </c>
      <c r="I859" s="6">
        <v>5</v>
      </c>
      <c r="J859" s="6">
        <f t="shared" si="26"/>
        <v>526400</v>
      </c>
      <c r="K859" s="6">
        <f t="shared" si="27"/>
        <v>500080</v>
      </c>
      <c r="L859" s="8" t="s">
        <v>76</v>
      </c>
      <c r="M859" s="8" t="s">
        <v>91</v>
      </c>
      <c r="N859">
        <v>5</v>
      </c>
      <c r="O859">
        <v>2023</v>
      </c>
      <c r="P859" s="29" t="s">
        <v>730</v>
      </c>
      <c r="Q859" t="s">
        <v>736</v>
      </c>
      <c r="R859" t="s">
        <v>737</v>
      </c>
    </row>
    <row r="860" spans="1:18" x14ac:dyDescent="0.25">
      <c r="A860" s="9">
        <v>859</v>
      </c>
      <c r="B860" s="10">
        <v>45165</v>
      </c>
      <c r="C860" s="11" t="s">
        <v>114</v>
      </c>
      <c r="D860" s="11" t="s">
        <v>117</v>
      </c>
      <c r="E860" s="11" t="s">
        <v>102</v>
      </c>
      <c r="F860" s="11" t="s">
        <v>138</v>
      </c>
      <c r="G860" s="9">
        <v>29</v>
      </c>
      <c r="H860" s="26">
        <v>7400</v>
      </c>
      <c r="I860" s="9">
        <v>20</v>
      </c>
      <c r="J860" s="9">
        <f t="shared" si="26"/>
        <v>214600</v>
      </c>
      <c r="K860" s="9">
        <f t="shared" si="27"/>
        <v>171680</v>
      </c>
      <c r="L860" s="11" t="s">
        <v>187</v>
      </c>
      <c r="M860" s="11" t="s">
        <v>77</v>
      </c>
      <c r="N860">
        <v>8</v>
      </c>
      <c r="O860">
        <v>2023</v>
      </c>
      <c r="P860" s="29" t="s">
        <v>713</v>
      </c>
      <c r="Q860" t="s">
        <v>734</v>
      </c>
      <c r="R860" t="s">
        <v>739</v>
      </c>
    </row>
    <row r="861" spans="1:18" x14ac:dyDescent="0.25">
      <c r="A861" s="6">
        <v>860</v>
      </c>
      <c r="B861" s="7">
        <v>45096</v>
      </c>
      <c r="C861" s="8" t="s">
        <v>78</v>
      </c>
      <c r="D861" s="8" t="s">
        <v>93</v>
      </c>
      <c r="E861" s="8" t="s">
        <v>74</v>
      </c>
      <c r="F861" s="8" t="s">
        <v>118</v>
      </c>
      <c r="G861" s="6">
        <v>6</v>
      </c>
      <c r="H861" s="25">
        <v>29700</v>
      </c>
      <c r="I861" s="6">
        <v>10</v>
      </c>
      <c r="J861" s="6">
        <f t="shared" si="26"/>
        <v>178200</v>
      </c>
      <c r="K861" s="6">
        <f t="shared" si="27"/>
        <v>160380</v>
      </c>
      <c r="L861" s="8" t="s">
        <v>76</v>
      </c>
      <c r="M861" s="8" t="s">
        <v>77</v>
      </c>
      <c r="N861">
        <v>6</v>
      </c>
      <c r="O861">
        <v>2023</v>
      </c>
      <c r="P861" s="29" t="s">
        <v>723</v>
      </c>
      <c r="Q861" t="s">
        <v>736</v>
      </c>
      <c r="R861" t="s">
        <v>739</v>
      </c>
    </row>
    <row r="862" spans="1:18" x14ac:dyDescent="0.25">
      <c r="A862" s="9">
        <v>861</v>
      </c>
      <c r="B862" s="10">
        <v>45461</v>
      </c>
      <c r="C862" s="11" t="s">
        <v>106</v>
      </c>
      <c r="D862" s="11" t="s">
        <v>83</v>
      </c>
      <c r="E862" s="11" t="s">
        <v>102</v>
      </c>
      <c r="F862" s="11" t="s">
        <v>138</v>
      </c>
      <c r="G862" s="9">
        <v>35</v>
      </c>
      <c r="H862" s="26">
        <v>6000</v>
      </c>
      <c r="I862" s="9">
        <v>0</v>
      </c>
      <c r="J862" s="9">
        <f t="shared" si="26"/>
        <v>210000</v>
      </c>
      <c r="K862" s="9">
        <f t="shared" si="27"/>
        <v>210000</v>
      </c>
      <c r="L862" s="11" t="s">
        <v>76</v>
      </c>
      <c r="M862" s="11" t="s">
        <v>77</v>
      </c>
      <c r="N862">
        <v>6</v>
      </c>
      <c r="O862">
        <v>2024</v>
      </c>
      <c r="P862" s="29" t="s">
        <v>720</v>
      </c>
      <c r="Q862" t="s">
        <v>736</v>
      </c>
      <c r="R862" t="s">
        <v>737</v>
      </c>
    </row>
    <row r="863" spans="1:18" x14ac:dyDescent="0.25">
      <c r="A863" s="6">
        <v>862</v>
      </c>
      <c r="B863" s="7">
        <v>45137</v>
      </c>
      <c r="C863" s="8" t="s">
        <v>106</v>
      </c>
      <c r="D863" s="8" t="s">
        <v>93</v>
      </c>
      <c r="E863" s="8" t="s">
        <v>111</v>
      </c>
      <c r="F863" s="8" t="s">
        <v>112</v>
      </c>
      <c r="G863" s="6">
        <v>39</v>
      </c>
      <c r="H863" s="25">
        <v>71600</v>
      </c>
      <c r="I863" s="6">
        <v>5</v>
      </c>
      <c r="J863" s="6">
        <f t="shared" si="26"/>
        <v>2792400</v>
      </c>
      <c r="K863" s="6">
        <f t="shared" si="27"/>
        <v>2652780</v>
      </c>
      <c r="L863" s="8" t="s">
        <v>76</v>
      </c>
      <c r="M863" s="8" t="s">
        <v>77</v>
      </c>
      <c r="N863">
        <v>7</v>
      </c>
      <c r="O863">
        <v>2023</v>
      </c>
      <c r="P863" s="29" t="s">
        <v>724</v>
      </c>
      <c r="Q863" t="s">
        <v>734</v>
      </c>
      <c r="R863" t="s">
        <v>737</v>
      </c>
    </row>
    <row r="864" spans="1:18" x14ac:dyDescent="0.25">
      <c r="A864" s="9">
        <v>863</v>
      </c>
      <c r="B864" s="10">
        <v>44950</v>
      </c>
      <c r="C864" s="11" t="s">
        <v>88</v>
      </c>
      <c r="D864" s="30" t="s">
        <v>703</v>
      </c>
      <c r="E864" s="11" t="s">
        <v>84</v>
      </c>
      <c r="F864" s="11" t="s">
        <v>148</v>
      </c>
      <c r="G864" s="9">
        <v>34</v>
      </c>
      <c r="H864" s="26">
        <v>4300</v>
      </c>
      <c r="I864" s="9">
        <v>0</v>
      </c>
      <c r="J864" s="9">
        <f t="shared" si="26"/>
        <v>146200</v>
      </c>
      <c r="K864" s="9">
        <f t="shared" si="27"/>
        <v>146200</v>
      </c>
      <c r="L864" s="11" t="s">
        <v>76</v>
      </c>
      <c r="M864" s="11" t="s">
        <v>96</v>
      </c>
      <c r="N864">
        <v>1</v>
      </c>
      <c r="O864">
        <v>2023</v>
      </c>
      <c r="P864" s="29" t="s">
        <v>721</v>
      </c>
      <c r="Q864" t="s">
        <v>735</v>
      </c>
      <c r="R864" t="s">
        <v>739</v>
      </c>
    </row>
    <row r="865" spans="1:18" x14ac:dyDescent="0.25">
      <c r="A865" s="6">
        <v>864</v>
      </c>
      <c r="B865" s="7">
        <v>45044</v>
      </c>
      <c r="C865" s="8" t="s">
        <v>97</v>
      </c>
      <c r="D865" s="8" t="s">
        <v>93</v>
      </c>
      <c r="E865" s="8" t="s">
        <v>84</v>
      </c>
      <c r="F865" s="8" t="s">
        <v>134</v>
      </c>
      <c r="G865" s="6">
        <v>17</v>
      </c>
      <c r="H865" s="25">
        <v>9000</v>
      </c>
      <c r="I865" s="6">
        <v>0</v>
      </c>
      <c r="J865" s="6">
        <f t="shared" si="26"/>
        <v>153000</v>
      </c>
      <c r="K865" s="6">
        <f t="shared" si="27"/>
        <v>153000</v>
      </c>
      <c r="L865" s="8" t="s">
        <v>187</v>
      </c>
      <c r="M865" s="8" t="s">
        <v>81</v>
      </c>
      <c r="N865">
        <v>4</v>
      </c>
      <c r="O865">
        <v>2023</v>
      </c>
      <c r="P865" s="29" t="s">
        <v>716</v>
      </c>
      <c r="Q865" t="s">
        <v>736</v>
      </c>
      <c r="R865" t="s">
        <v>739</v>
      </c>
    </row>
    <row r="866" spans="1:18" x14ac:dyDescent="0.25">
      <c r="A866" s="9">
        <v>865</v>
      </c>
      <c r="B866" s="10">
        <v>45344</v>
      </c>
      <c r="C866" s="11" t="s">
        <v>108</v>
      </c>
      <c r="D866" s="11" t="s">
        <v>73</v>
      </c>
      <c r="E866" s="11" t="s">
        <v>102</v>
      </c>
      <c r="F866" s="11" t="s">
        <v>157</v>
      </c>
      <c r="G866" s="9">
        <v>46</v>
      </c>
      <c r="H866" s="26">
        <v>11300</v>
      </c>
      <c r="I866" s="9">
        <v>0</v>
      </c>
      <c r="J866" s="9">
        <f t="shared" si="26"/>
        <v>519800</v>
      </c>
      <c r="K866" s="9">
        <f t="shared" si="27"/>
        <v>519800</v>
      </c>
      <c r="L866" s="11" t="s">
        <v>76</v>
      </c>
      <c r="M866" s="11" t="s">
        <v>91</v>
      </c>
      <c r="N866">
        <v>2</v>
      </c>
      <c r="O866">
        <v>2024</v>
      </c>
      <c r="P866" s="29" t="s">
        <v>729</v>
      </c>
      <c r="Q866" t="s">
        <v>735</v>
      </c>
      <c r="R866" t="s">
        <v>737</v>
      </c>
    </row>
    <row r="867" spans="1:18" x14ac:dyDescent="0.25">
      <c r="A867" s="6">
        <v>866</v>
      </c>
      <c r="B867" s="7">
        <v>45254</v>
      </c>
      <c r="C867" s="8" t="s">
        <v>108</v>
      </c>
      <c r="D867" s="8" t="s">
        <v>83</v>
      </c>
      <c r="E867" s="8" t="s">
        <v>74</v>
      </c>
      <c r="F867" s="8" t="s">
        <v>190</v>
      </c>
      <c r="G867" s="6">
        <v>8</v>
      </c>
      <c r="H867" s="25">
        <v>31800</v>
      </c>
      <c r="I867" s="6">
        <v>20</v>
      </c>
      <c r="J867" s="6">
        <f t="shared" si="26"/>
        <v>254400</v>
      </c>
      <c r="K867" s="6">
        <f t="shared" si="27"/>
        <v>203520</v>
      </c>
      <c r="L867" s="8" t="s">
        <v>76</v>
      </c>
      <c r="M867" s="8" t="s">
        <v>81</v>
      </c>
      <c r="N867">
        <v>11</v>
      </c>
      <c r="O867">
        <v>2023</v>
      </c>
      <c r="P867" s="29" t="s">
        <v>718</v>
      </c>
      <c r="Q867" t="s">
        <v>733</v>
      </c>
      <c r="R867" t="s">
        <v>737</v>
      </c>
    </row>
    <row r="868" spans="1:18" x14ac:dyDescent="0.25">
      <c r="A868" s="9">
        <v>867</v>
      </c>
      <c r="B868" s="10">
        <v>45360</v>
      </c>
      <c r="C868" s="11" t="s">
        <v>124</v>
      </c>
      <c r="D868" s="11" t="s">
        <v>109</v>
      </c>
      <c r="E868" s="11" t="s">
        <v>111</v>
      </c>
      <c r="F868" s="11" t="s">
        <v>165</v>
      </c>
      <c r="G868" s="9">
        <v>18</v>
      </c>
      <c r="H868" s="26">
        <v>20500</v>
      </c>
      <c r="I868" s="9">
        <v>10</v>
      </c>
      <c r="J868" s="9">
        <f t="shared" si="26"/>
        <v>369000</v>
      </c>
      <c r="K868" s="9">
        <f t="shared" si="27"/>
        <v>332100</v>
      </c>
      <c r="L868" s="11" t="s">
        <v>76</v>
      </c>
      <c r="M868" s="11" t="s">
        <v>91</v>
      </c>
      <c r="N868">
        <v>3</v>
      </c>
      <c r="O868">
        <v>2024</v>
      </c>
      <c r="P868" s="29" t="s">
        <v>711</v>
      </c>
      <c r="Q868" t="s">
        <v>735</v>
      </c>
      <c r="R868" t="s">
        <v>737</v>
      </c>
    </row>
    <row r="869" spans="1:18" x14ac:dyDescent="0.25">
      <c r="A869" s="6">
        <v>868</v>
      </c>
      <c r="B869" s="7">
        <v>45343</v>
      </c>
      <c r="C869" s="8" t="s">
        <v>97</v>
      </c>
      <c r="D869" s="8" t="s">
        <v>83</v>
      </c>
      <c r="E869" s="8" t="s">
        <v>79</v>
      </c>
      <c r="F869" s="8" t="s">
        <v>115</v>
      </c>
      <c r="G869" s="6">
        <v>2</v>
      </c>
      <c r="H869" s="25">
        <v>9500</v>
      </c>
      <c r="I869" s="6">
        <v>0</v>
      </c>
      <c r="J869" s="6">
        <f t="shared" si="26"/>
        <v>19000</v>
      </c>
      <c r="K869" s="6">
        <f t="shared" si="27"/>
        <v>19000</v>
      </c>
      <c r="L869" s="8" t="s">
        <v>76</v>
      </c>
      <c r="M869" s="8" t="s">
        <v>77</v>
      </c>
      <c r="N869">
        <v>2</v>
      </c>
      <c r="O869">
        <v>2024</v>
      </c>
      <c r="P869" s="29" t="s">
        <v>729</v>
      </c>
      <c r="Q869" t="s">
        <v>735</v>
      </c>
      <c r="R869" t="s">
        <v>738</v>
      </c>
    </row>
    <row r="870" spans="1:18" x14ac:dyDescent="0.25">
      <c r="A870" s="9">
        <v>869</v>
      </c>
      <c r="B870" s="10">
        <v>45495</v>
      </c>
      <c r="C870" s="11" t="s">
        <v>108</v>
      </c>
      <c r="D870" s="11" t="s">
        <v>117</v>
      </c>
      <c r="E870" s="11" t="s">
        <v>102</v>
      </c>
      <c r="F870" s="11" t="s">
        <v>151</v>
      </c>
      <c r="G870" s="9">
        <v>41</v>
      </c>
      <c r="H870" s="26">
        <v>7600</v>
      </c>
      <c r="I870" s="9">
        <v>0</v>
      </c>
      <c r="J870" s="9">
        <f t="shared" si="26"/>
        <v>311600</v>
      </c>
      <c r="K870" s="9">
        <f t="shared" si="27"/>
        <v>311600</v>
      </c>
      <c r="L870" s="11" t="s">
        <v>76</v>
      </c>
      <c r="M870" s="31" t="s">
        <v>695</v>
      </c>
      <c r="N870">
        <v>7</v>
      </c>
      <c r="O870">
        <v>2024</v>
      </c>
      <c r="P870" s="29" t="s">
        <v>712</v>
      </c>
      <c r="Q870" t="s">
        <v>734</v>
      </c>
      <c r="R870" t="s">
        <v>737</v>
      </c>
    </row>
    <row r="871" spans="1:18" x14ac:dyDescent="0.25">
      <c r="A871" s="6">
        <v>870</v>
      </c>
      <c r="B871" s="7">
        <v>45480</v>
      </c>
      <c r="C871" s="8" t="s">
        <v>108</v>
      </c>
      <c r="D871" s="8" t="s">
        <v>109</v>
      </c>
      <c r="E871" s="8" t="s">
        <v>102</v>
      </c>
      <c r="F871" s="8" t="s">
        <v>151</v>
      </c>
      <c r="G871" s="6">
        <v>36</v>
      </c>
      <c r="H871" s="25">
        <v>8600</v>
      </c>
      <c r="I871" s="6">
        <v>20</v>
      </c>
      <c r="J871" s="6">
        <f t="shared" si="26"/>
        <v>309600</v>
      </c>
      <c r="K871" s="6">
        <f t="shared" si="27"/>
        <v>247680</v>
      </c>
      <c r="L871" s="8" t="s">
        <v>76</v>
      </c>
      <c r="M871" s="8" t="s">
        <v>77</v>
      </c>
      <c r="N871">
        <v>7</v>
      </c>
      <c r="O871">
        <v>2024</v>
      </c>
      <c r="P871" s="29" t="s">
        <v>712</v>
      </c>
      <c r="Q871" t="s">
        <v>734</v>
      </c>
      <c r="R871" t="s">
        <v>737</v>
      </c>
    </row>
    <row r="872" spans="1:18" x14ac:dyDescent="0.25">
      <c r="A872" s="9">
        <v>871</v>
      </c>
      <c r="B872" s="10">
        <v>45402</v>
      </c>
      <c r="C872" s="11" t="s">
        <v>124</v>
      </c>
      <c r="D872" s="11" t="s">
        <v>117</v>
      </c>
      <c r="E872" s="11" t="s">
        <v>84</v>
      </c>
      <c r="F872" s="11" t="s">
        <v>206</v>
      </c>
      <c r="G872" s="9">
        <v>31</v>
      </c>
      <c r="H872" s="26">
        <v>12800</v>
      </c>
      <c r="I872" s="9">
        <v>20</v>
      </c>
      <c r="J872" s="9">
        <f t="shared" si="26"/>
        <v>396800</v>
      </c>
      <c r="K872" s="9">
        <f t="shared" si="27"/>
        <v>317440</v>
      </c>
      <c r="L872" s="11" t="s">
        <v>76</v>
      </c>
      <c r="M872" s="11" t="s">
        <v>96</v>
      </c>
      <c r="N872">
        <v>4</v>
      </c>
      <c r="O872">
        <v>2024</v>
      </c>
      <c r="P872" s="29" t="s">
        <v>722</v>
      </c>
      <c r="Q872" t="s">
        <v>736</v>
      </c>
      <c r="R872" t="s">
        <v>737</v>
      </c>
    </row>
    <row r="873" spans="1:18" x14ac:dyDescent="0.25">
      <c r="A873" s="6">
        <v>872</v>
      </c>
      <c r="B873" s="7">
        <v>45623</v>
      </c>
      <c r="C873" s="8" t="s">
        <v>114</v>
      </c>
      <c r="D873" s="8" t="s">
        <v>117</v>
      </c>
      <c r="E873" s="8" t="s">
        <v>84</v>
      </c>
      <c r="F873" s="8" t="s">
        <v>134</v>
      </c>
      <c r="G873" s="6">
        <v>48</v>
      </c>
      <c r="H873" s="25">
        <v>8700</v>
      </c>
      <c r="I873" s="6">
        <v>0</v>
      </c>
      <c r="J873" s="6">
        <f t="shared" si="26"/>
        <v>417600</v>
      </c>
      <c r="K873" s="6">
        <f t="shared" si="27"/>
        <v>417600</v>
      </c>
      <c r="L873" s="8" t="s">
        <v>76</v>
      </c>
      <c r="M873" s="8" t="s">
        <v>77</v>
      </c>
      <c r="N873">
        <v>11</v>
      </c>
      <c r="O873">
        <v>2024</v>
      </c>
      <c r="P873" s="29" t="s">
        <v>714</v>
      </c>
      <c r="Q873" t="s">
        <v>733</v>
      </c>
      <c r="R873" t="s">
        <v>737</v>
      </c>
    </row>
    <row r="874" spans="1:18" x14ac:dyDescent="0.25">
      <c r="A874" s="9">
        <v>873</v>
      </c>
      <c r="B874" s="10">
        <v>44961</v>
      </c>
      <c r="C874" s="11" t="s">
        <v>114</v>
      </c>
      <c r="D874" s="11" t="s">
        <v>73</v>
      </c>
      <c r="E874" s="11" t="s">
        <v>84</v>
      </c>
      <c r="F874" s="11" t="s">
        <v>134</v>
      </c>
      <c r="G874" s="9">
        <v>14</v>
      </c>
      <c r="H874" s="26">
        <v>10700</v>
      </c>
      <c r="I874" s="9">
        <v>15</v>
      </c>
      <c r="J874" s="9">
        <f t="shared" si="26"/>
        <v>149800</v>
      </c>
      <c r="K874" s="9">
        <f t="shared" si="27"/>
        <v>127330</v>
      </c>
      <c r="L874" s="11" t="s">
        <v>76</v>
      </c>
      <c r="M874" s="11" t="s">
        <v>96</v>
      </c>
      <c r="N874">
        <v>2</v>
      </c>
      <c r="O874">
        <v>2023</v>
      </c>
      <c r="P874" s="29" t="s">
        <v>717</v>
      </c>
      <c r="Q874" t="s">
        <v>735</v>
      </c>
      <c r="R874" t="s">
        <v>739</v>
      </c>
    </row>
    <row r="875" spans="1:18" x14ac:dyDescent="0.25">
      <c r="A875" s="6">
        <v>874</v>
      </c>
      <c r="B875" s="7">
        <v>45277</v>
      </c>
      <c r="C875" s="8" t="s">
        <v>101</v>
      </c>
      <c r="D875" s="8" t="s">
        <v>83</v>
      </c>
      <c r="E875" s="8" t="s">
        <v>74</v>
      </c>
      <c r="F875" s="8" t="s">
        <v>75</v>
      </c>
      <c r="G875" s="6">
        <v>21</v>
      </c>
      <c r="H875" s="25">
        <v>23400</v>
      </c>
      <c r="I875" s="6">
        <v>10</v>
      </c>
      <c r="J875" s="6">
        <f t="shared" si="26"/>
        <v>491400</v>
      </c>
      <c r="K875" s="6">
        <f t="shared" si="27"/>
        <v>442260</v>
      </c>
      <c r="L875" s="8" t="s">
        <v>76</v>
      </c>
      <c r="M875" s="8" t="s">
        <v>91</v>
      </c>
      <c r="N875">
        <v>12</v>
      </c>
      <c r="O875">
        <v>2023</v>
      </c>
      <c r="P875" s="29" t="s">
        <v>725</v>
      </c>
      <c r="Q875" t="s">
        <v>733</v>
      </c>
      <c r="R875" t="s">
        <v>737</v>
      </c>
    </row>
    <row r="876" spans="1:18" x14ac:dyDescent="0.25">
      <c r="A876" s="9">
        <v>875</v>
      </c>
      <c r="B876" s="10">
        <v>44997</v>
      </c>
      <c r="C876" s="11" t="s">
        <v>78</v>
      </c>
      <c r="D876" s="11" t="s">
        <v>109</v>
      </c>
      <c r="E876" s="11" t="s">
        <v>79</v>
      </c>
      <c r="F876" s="11" t="s">
        <v>172</v>
      </c>
      <c r="G876" s="9">
        <v>1</v>
      </c>
      <c r="H876" s="26">
        <v>22500</v>
      </c>
      <c r="I876" s="9">
        <v>10</v>
      </c>
      <c r="J876" s="9">
        <f t="shared" si="26"/>
        <v>22500</v>
      </c>
      <c r="K876" s="9">
        <f t="shared" si="27"/>
        <v>20250</v>
      </c>
      <c r="L876" s="11" t="s">
        <v>187</v>
      </c>
      <c r="M876" s="11" t="s">
        <v>91</v>
      </c>
      <c r="N876">
        <v>3</v>
      </c>
      <c r="O876">
        <v>2023</v>
      </c>
      <c r="P876" s="29" t="s">
        <v>719</v>
      </c>
      <c r="Q876" t="s">
        <v>735</v>
      </c>
      <c r="R876" t="s">
        <v>738</v>
      </c>
    </row>
    <row r="877" spans="1:18" x14ac:dyDescent="0.25">
      <c r="A877" s="6">
        <v>876</v>
      </c>
      <c r="B877" s="7">
        <v>45640</v>
      </c>
      <c r="C877" s="8" t="s">
        <v>119</v>
      </c>
      <c r="D877" s="8" t="s">
        <v>83</v>
      </c>
      <c r="E877" s="8" t="s">
        <v>102</v>
      </c>
      <c r="F877" s="8" t="s">
        <v>137</v>
      </c>
      <c r="G877" s="6">
        <v>42</v>
      </c>
      <c r="H877" s="25">
        <v>2400</v>
      </c>
      <c r="I877" s="6">
        <v>20</v>
      </c>
      <c r="J877" s="6">
        <f t="shared" si="26"/>
        <v>100800</v>
      </c>
      <c r="K877" s="6">
        <f t="shared" si="27"/>
        <v>80640</v>
      </c>
      <c r="L877" s="8" t="s">
        <v>187</v>
      </c>
      <c r="M877" s="8" t="s">
        <v>77</v>
      </c>
      <c r="N877">
        <v>12</v>
      </c>
      <c r="O877">
        <v>2024</v>
      </c>
      <c r="P877" s="29" t="s">
        <v>728</v>
      </c>
      <c r="Q877" t="s">
        <v>733</v>
      </c>
      <c r="R877" t="s">
        <v>739</v>
      </c>
    </row>
    <row r="878" spans="1:18" x14ac:dyDescent="0.25">
      <c r="A878" s="9">
        <v>877</v>
      </c>
      <c r="B878" s="10">
        <v>45614</v>
      </c>
      <c r="C878" s="11" t="s">
        <v>119</v>
      </c>
      <c r="D878" s="11" t="s">
        <v>73</v>
      </c>
      <c r="E878" s="11" t="s">
        <v>74</v>
      </c>
      <c r="F878" s="11" t="s">
        <v>140</v>
      </c>
      <c r="G878" s="9">
        <v>23</v>
      </c>
      <c r="H878" s="26">
        <v>5000</v>
      </c>
      <c r="I878" s="9">
        <v>0</v>
      </c>
      <c r="J878" s="9">
        <f t="shared" si="26"/>
        <v>115000</v>
      </c>
      <c r="K878" s="9">
        <f t="shared" si="27"/>
        <v>115000</v>
      </c>
      <c r="L878" s="11" t="s">
        <v>76</v>
      </c>
      <c r="M878" s="11" t="s">
        <v>77</v>
      </c>
      <c r="N878">
        <v>11</v>
      </c>
      <c r="O878">
        <v>2024</v>
      </c>
      <c r="P878" s="29" t="s">
        <v>714</v>
      </c>
      <c r="Q878" t="s">
        <v>733</v>
      </c>
      <c r="R878" t="s">
        <v>739</v>
      </c>
    </row>
    <row r="879" spans="1:18" x14ac:dyDescent="0.25">
      <c r="A879" s="6">
        <v>878</v>
      </c>
      <c r="B879" s="7">
        <v>45400</v>
      </c>
      <c r="C879" s="8" t="s">
        <v>88</v>
      </c>
      <c r="D879" s="8" t="s">
        <v>109</v>
      </c>
      <c r="E879" s="8" t="s">
        <v>111</v>
      </c>
      <c r="F879" s="8" t="s">
        <v>192</v>
      </c>
      <c r="G879" s="6">
        <v>2</v>
      </c>
      <c r="H879" s="25">
        <v>90800</v>
      </c>
      <c r="I879" s="6">
        <v>0</v>
      </c>
      <c r="J879" s="6">
        <f t="shared" si="26"/>
        <v>181600</v>
      </c>
      <c r="K879" s="6">
        <f t="shared" si="27"/>
        <v>181600</v>
      </c>
      <c r="L879" s="8" t="s">
        <v>187</v>
      </c>
      <c r="M879" s="8" t="s">
        <v>96</v>
      </c>
      <c r="N879">
        <v>4</v>
      </c>
      <c r="O879">
        <v>2024</v>
      </c>
      <c r="P879" s="29" t="s">
        <v>722</v>
      </c>
      <c r="Q879" t="s">
        <v>736</v>
      </c>
      <c r="R879" t="s">
        <v>739</v>
      </c>
    </row>
    <row r="880" spans="1:18" x14ac:dyDescent="0.25">
      <c r="A880" s="9">
        <v>879</v>
      </c>
      <c r="B880" s="10">
        <v>44989</v>
      </c>
      <c r="C880" s="11" t="s">
        <v>124</v>
      </c>
      <c r="D880" s="11" t="s">
        <v>117</v>
      </c>
      <c r="E880" s="11" t="s">
        <v>84</v>
      </c>
      <c r="F880" s="11" t="s">
        <v>90</v>
      </c>
      <c r="G880" s="9">
        <v>24</v>
      </c>
      <c r="H880" s="26">
        <v>2100</v>
      </c>
      <c r="I880" s="9">
        <v>15</v>
      </c>
      <c r="J880" s="9">
        <f t="shared" si="26"/>
        <v>50400</v>
      </c>
      <c r="K880" s="9">
        <f t="shared" si="27"/>
        <v>42840</v>
      </c>
      <c r="L880" s="11" t="s">
        <v>76</v>
      </c>
      <c r="M880" s="11" t="s">
        <v>91</v>
      </c>
      <c r="N880">
        <v>3</v>
      </c>
      <c r="O880">
        <v>2023</v>
      </c>
      <c r="P880" s="29" t="s">
        <v>719</v>
      </c>
      <c r="Q880" t="s">
        <v>735</v>
      </c>
      <c r="R880" t="s">
        <v>738</v>
      </c>
    </row>
    <row r="881" spans="1:18" x14ac:dyDescent="0.25">
      <c r="A881" s="6">
        <v>880</v>
      </c>
      <c r="B881" s="7">
        <v>45650</v>
      </c>
      <c r="C881" s="8" t="s">
        <v>124</v>
      </c>
      <c r="D881" s="8" t="s">
        <v>109</v>
      </c>
      <c r="E881" s="8" t="s">
        <v>79</v>
      </c>
      <c r="F881" s="8" t="s">
        <v>80</v>
      </c>
      <c r="G881" s="6">
        <v>41</v>
      </c>
      <c r="H881" s="25">
        <v>9700</v>
      </c>
      <c r="I881" s="6">
        <v>10</v>
      </c>
      <c r="J881" s="6">
        <f t="shared" si="26"/>
        <v>397700</v>
      </c>
      <c r="K881" s="6">
        <f t="shared" si="27"/>
        <v>357930</v>
      </c>
      <c r="L881" s="8" t="s">
        <v>76</v>
      </c>
      <c r="M881" s="8" t="s">
        <v>96</v>
      </c>
      <c r="N881">
        <v>12</v>
      </c>
      <c r="O881">
        <v>2024</v>
      </c>
      <c r="P881" s="29" t="s">
        <v>728</v>
      </c>
      <c r="Q881" t="s">
        <v>733</v>
      </c>
      <c r="R881" t="s">
        <v>737</v>
      </c>
    </row>
    <row r="882" spans="1:18" x14ac:dyDescent="0.25">
      <c r="A882" s="9">
        <v>881</v>
      </c>
      <c r="B882" s="10">
        <v>45439</v>
      </c>
      <c r="C882" s="11" t="s">
        <v>119</v>
      </c>
      <c r="D882" s="11" t="s">
        <v>109</v>
      </c>
      <c r="E882" s="11" t="s">
        <v>102</v>
      </c>
      <c r="F882" s="11" t="s">
        <v>181</v>
      </c>
      <c r="G882" s="9">
        <v>37</v>
      </c>
      <c r="H882" s="26">
        <v>4800</v>
      </c>
      <c r="I882" s="9">
        <v>0</v>
      </c>
      <c r="J882" s="9">
        <f t="shared" si="26"/>
        <v>177600</v>
      </c>
      <c r="K882" s="9">
        <f t="shared" si="27"/>
        <v>177600</v>
      </c>
      <c r="L882" s="11" t="s">
        <v>187</v>
      </c>
      <c r="M882" s="11" t="s">
        <v>81</v>
      </c>
      <c r="N882">
        <v>5</v>
      </c>
      <c r="O882">
        <v>2024</v>
      </c>
      <c r="P882" s="29" t="s">
        <v>732</v>
      </c>
      <c r="Q882" t="s">
        <v>736</v>
      </c>
      <c r="R882" t="s">
        <v>739</v>
      </c>
    </row>
    <row r="883" spans="1:18" x14ac:dyDescent="0.25">
      <c r="A883" s="6">
        <v>882</v>
      </c>
      <c r="B883" s="7">
        <v>45529</v>
      </c>
      <c r="C883" s="8" t="s">
        <v>108</v>
      </c>
      <c r="D883" s="8" t="s">
        <v>73</v>
      </c>
      <c r="E883" s="8" t="s">
        <v>84</v>
      </c>
      <c r="F883" s="8" t="s">
        <v>134</v>
      </c>
      <c r="G883" s="6">
        <v>15</v>
      </c>
      <c r="H883" s="25">
        <v>10900</v>
      </c>
      <c r="I883" s="6">
        <v>0</v>
      </c>
      <c r="J883" s="6">
        <f t="shared" si="26"/>
        <v>163500</v>
      </c>
      <c r="K883" s="6">
        <f t="shared" si="27"/>
        <v>163500</v>
      </c>
      <c r="L883" s="8" t="s">
        <v>107</v>
      </c>
      <c r="M883" s="8" t="s">
        <v>96</v>
      </c>
      <c r="N883">
        <v>8</v>
      </c>
      <c r="O883">
        <v>2024</v>
      </c>
      <c r="P883" s="29" t="s">
        <v>710</v>
      </c>
      <c r="Q883" t="s">
        <v>734</v>
      </c>
      <c r="R883" t="s">
        <v>739</v>
      </c>
    </row>
    <row r="884" spans="1:18" x14ac:dyDescent="0.25">
      <c r="A884" s="9">
        <v>883</v>
      </c>
      <c r="B884" s="10">
        <v>45621</v>
      </c>
      <c r="C884" s="11" t="s">
        <v>78</v>
      </c>
      <c r="D884" s="11" t="s">
        <v>93</v>
      </c>
      <c r="E884" s="11" t="s">
        <v>102</v>
      </c>
      <c r="F884" s="11" t="s">
        <v>110</v>
      </c>
      <c r="G884" s="9">
        <v>30</v>
      </c>
      <c r="H884" s="26">
        <v>23500</v>
      </c>
      <c r="I884" s="9">
        <v>15</v>
      </c>
      <c r="J884" s="9">
        <f t="shared" si="26"/>
        <v>705000</v>
      </c>
      <c r="K884" s="9">
        <f t="shared" si="27"/>
        <v>599250</v>
      </c>
      <c r="L884" s="11" t="s">
        <v>76</v>
      </c>
      <c r="M884" s="11" t="s">
        <v>91</v>
      </c>
      <c r="N884">
        <v>11</v>
      </c>
      <c r="O884">
        <v>2024</v>
      </c>
      <c r="P884" s="29" t="s">
        <v>714</v>
      </c>
      <c r="Q884" t="s">
        <v>733</v>
      </c>
      <c r="R884" t="s">
        <v>737</v>
      </c>
    </row>
    <row r="885" spans="1:18" x14ac:dyDescent="0.25">
      <c r="A885" s="6">
        <v>884</v>
      </c>
      <c r="B885" s="7">
        <v>45616</v>
      </c>
      <c r="C885" s="8" t="s">
        <v>78</v>
      </c>
      <c r="D885" s="8" t="s">
        <v>117</v>
      </c>
      <c r="E885" s="8" t="s">
        <v>111</v>
      </c>
      <c r="F885" s="8" t="s">
        <v>165</v>
      </c>
      <c r="G885" s="6">
        <v>44</v>
      </c>
      <c r="H885" s="25">
        <v>17400</v>
      </c>
      <c r="I885" s="6">
        <v>0</v>
      </c>
      <c r="J885" s="6">
        <f t="shared" si="26"/>
        <v>765600</v>
      </c>
      <c r="K885" s="6">
        <f t="shared" si="27"/>
        <v>765600</v>
      </c>
      <c r="L885" s="8" t="s">
        <v>76</v>
      </c>
      <c r="M885" s="8" t="s">
        <v>91</v>
      </c>
      <c r="N885">
        <v>11</v>
      </c>
      <c r="O885">
        <v>2024</v>
      </c>
      <c r="P885" s="29" t="s">
        <v>714</v>
      </c>
      <c r="Q885" t="s">
        <v>733</v>
      </c>
      <c r="R885" t="s">
        <v>737</v>
      </c>
    </row>
    <row r="886" spans="1:18" x14ac:dyDescent="0.25">
      <c r="A886" s="9">
        <v>885</v>
      </c>
      <c r="B886" s="10">
        <v>45456</v>
      </c>
      <c r="C886" s="11" t="s">
        <v>78</v>
      </c>
      <c r="D886" s="11" t="s">
        <v>109</v>
      </c>
      <c r="E886" s="11" t="s">
        <v>79</v>
      </c>
      <c r="F886" s="11" t="s">
        <v>179</v>
      </c>
      <c r="G886" s="9">
        <v>35</v>
      </c>
      <c r="H886" s="26">
        <v>2800</v>
      </c>
      <c r="I886" s="9">
        <v>5</v>
      </c>
      <c r="J886" s="9">
        <f t="shared" si="26"/>
        <v>98000</v>
      </c>
      <c r="K886" s="9">
        <f t="shared" si="27"/>
        <v>93100</v>
      </c>
      <c r="L886" s="11" t="s">
        <v>76</v>
      </c>
      <c r="M886" s="11" t="s">
        <v>77</v>
      </c>
      <c r="N886">
        <v>6</v>
      </c>
      <c r="O886">
        <v>2024</v>
      </c>
      <c r="P886" s="29" t="s">
        <v>720</v>
      </c>
      <c r="Q886" t="s">
        <v>736</v>
      </c>
      <c r="R886" t="s">
        <v>739</v>
      </c>
    </row>
    <row r="887" spans="1:18" x14ac:dyDescent="0.25">
      <c r="A887" s="6">
        <v>886</v>
      </c>
      <c r="B887" s="7">
        <v>45126</v>
      </c>
      <c r="C887" s="8" t="s">
        <v>88</v>
      </c>
      <c r="D887" s="8" t="s">
        <v>73</v>
      </c>
      <c r="E887" s="8" t="s">
        <v>102</v>
      </c>
      <c r="F887" s="8" t="s">
        <v>138</v>
      </c>
      <c r="G887" s="6">
        <v>15</v>
      </c>
      <c r="H887" s="25">
        <v>7500</v>
      </c>
      <c r="I887" s="6">
        <v>0</v>
      </c>
      <c r="J887" s="6">
        <f t="shared" si="26"/>
        <v>112500</v>
      </c>
      <c r="K887" s="6">
        <f t="shared" si="27"/>
        <v>112500</v>
      </c>
      <c r="L887" s="8" t="s">
        <v>123</v>
      </c>
      <c r="M887" s="8" t="s">
        <v>91</v>
      </c>
      <c r="N887">
        <v>7</v>
      </c>
      <c r="O887">
        <v>2023</v>
      </c>
      <c r="P887" s="29" t="s">
        <v>724</v>
      </c>
      <c r="Q887" t="s">
        <v>734</v>
      </c>
      <c r="R887" t="s">
        <v>739</v>
      </c>
    </row>
    <row r="888" spans="1:18" x14ac:dyDescent="0.25">
      <c r="A888" s="9">
        <v>887</v>
      </c>
      <c r="B888" s="10">
        <v>45182</v>
      </c>
      <c r="C888" s="11" t="s">
        <v>106</v>
      </c>
      <c r="D888" s="11" t="s">
        <v>109</v>
      </c>
      <c r="E888" s="11" t="s">
        <v>74</v>
      </c>
      <c r="F888" s="11" t="s">
        <v>190</v>
      </c>
      <c r="G888" s="9">
        <v>41</v>
      </c>
      <c r="H888" s="26">
        <v>29300</v>
      </c>
      <c r="I888" s="9">
        <v>5</v>
      </c>
      <c r="J888" s="9">
        <f t="shared" si="26"/>
        <v>1201300</v>
      </c>
      <c r="K888" s="9">
        <f t="shared" si="27"/>
        <v>1141235</v>
      </c>
      <c r="L888" s="11" t="s">
        <v>76</v>
      </c>
      <c r="M888" s="31" t="s">
        <v>695</v>
      </c>
      <c r="N888">
        <v>9</v>
      </c>
      <c r="O888">
        <v>2023</v>
      </c>
      <c r="P888" s="29" t="s">
        <v>715</v>
      </c>
      <c r="Q888" t="s">
        <v>734</v>
      </c>
      <c r="R888" t="s">
        <v>737</v>
      </c>
    </row>
    <row r="889" spans="1:18" x14ac:dyDescent="0.25">
      <c r="A889" s="6">
        <v>888</v>
      </c>
      <c r="B889" s="7">
        <v>44951</v>
      </c>
      <c r="C889" s="8" t="s">
        <v>124</v>
      </c>
      <c r="D889" s="8" t="s">
        <v>117</v>
      </c>
      <c r="E889" s="8" t="s">
        <v>74</v>
      </c>
      <c r="F889" s="8" t="s">
        <v>75</v>
      </c>
      <c r="G889" s="6">
        <v>16</v>
      </c>
      <c r="H889" s="25">
        <v>20400</v>
      </c>
      <c r="I889" s="6">
        <v>20</v>
      </c>
      <c r="J889" s="6">
        <f t="shared" si="26"/>
        <v>326400</v>
      </c>
      <c r="K889" s="6">
        <f t="shared" si="27"/>
        <v>261120</v>
      </c>
      <c r="L889" s="8" t="s">
        <v>123</v>
      </c>
      <c r="M889" s="8" t="s">
        <v>77</v>
      </c>
      <c r="N889">
        <v>1</v>
      </c>
      <c r="O889">
        <v>2023</v>
      </c>
      <c r="P889" s="29" t="s">
        <v>721</v>
      </c>
      <c r="Q889" t="s">
        <v>735</v>
      </c>
      <c r="R889" t="s">
        <v>737</v>
      </c>
    </row>
    <row r="890" spans="1:18" x14ac:dyDescent="0.25">
      <c r="A890" s="9">
        <v>889</v>
      </c>
      <c r="B890" s="10">
        <v>45150</v>
      </c>
      <c r="C890" s="11" t="s">
        <v>82</v>
      </c>
      <c r="D890" s="11" t="s">
        <v>109</v>
      </c>
      <c r="E890" s="11" t="s">
        <v>79</v>
      </c>
      <c r="F890" s="11" t="s">
        <v>172</v>
      </c>
      <c r="G890" s="9">
        <v>41</v>
      </c>
      <c r="H890" s="26">
        <v>27300</v>
      </c>
      <c r="I890" s="9">
        <v>0</v>
      </c>
      <c r="J890" s="9">
        <f t="shared" si="26"/>
        <v>1119300</v>
      </c>
      <c r="K890" s="9">
        <f t="shared" si="27"/>
        <v>1119300</v>
      </c>
      <c r="L890" s="11" t="s">
        <v>76</v>
      </c>
      <c r="M890" s="11" t="s">
        <v>77</v>
      </c>
      <c r="N890">
        <v>8</v>
      </c>
      <c r="O890">
        <v>2023</v>
      </c>
      <c r="P890" s="29" t="s">
        <v>713</v>
      </c>
      <c r="Q890" t="s">
        <v>734</v>
      </c>
      <c r="R890" t="s">
        <v>737</v>
      </c>
    </row>
    <row r="891" spans="1:18" x14ac:dyDescent="0.25">
      <c r="A891" s="6">
        <v>890</v>
      </c>
      <c r="B891" s="7">
        <v>45019</v>
      </c>
      <c r="C891" s="8" t="s">
        <v>78</v>
      </c>
      <c r="D891" s="8" t="s">
        <v>83</v>
      </c>
      <c r="E891" s="8" t="s">
        <v>74</v>
      </c>
      <c r="F891" s="8" t="s">
        <v>118</v>
      </c>
      <c r="G891" s="6">
        <v>4</v>
      </c>
      <c r="H891" s="25">
        <v>30700</v>
      </c>
      <c r="I891" s="6">
        <v>0</v>
      </c>
      <c r="J891" s="6">
        <f t="shared" si="26"/>
        <v>122800</v>
      </c>
      <c r="K891" s="6">
        <f t="shared" si="27"/>
        <v>122800</v>
      </c>
      <c r="L891" s="8" t="s">
        <v>107</v>
      </c>
      <c r="M891" s="8" t="s">
        <v>91</v>
      </c>
      <c r="N891">
        <v>4</v>
      </c>
      <c r="O891">
        <v>2023</v>
      </c>
      <c r="P891" s="29" t="s">
        <v>716</v>
      </c>
      <c r="Q891" t="s">
        <v>736</v>
      </c>
      <c r="R891" t="s">
        <v>739</v>
      </c>
    </row>
    <row r="892" spans="1:18" x14ac:dyDescent="0.25">
      <c r="A892" s="9">
        <v>891</v>
      </c>
      <c r="B892" s="10">
        <v>45057</v>
      </c>
      <c r="C892" s="11" t="s">
        <v>124</v>
      </c>
      <c r="D892" s="11" t="s">
        <v>83</v>
      </c>
      <c r="E892" s="11" t="s">
        <v>79</v>
      </c>
      <c r="F892" s="11" t="s">
        <v>131</v>
      </c>
      <c r="G892" s="9">
        <v>36</v>
      </c>
      <c r="H892" s="26">
        <v>128300</v>
      </c>
      <c r="I892" s="9">
        <v>5</v>
      </c>
      <c r="J892" s="9">
        <f t="shared" si="26"/>
        <v>4618800</v>
      </c>
      <c r="K892" s="9">
        <f t="shared" si="27"/>
        <v>4387860</v>
      </c>
      <c r="L892" s="11" t="s">
        <v>76</v>
      </c>
      <c r="M892" s="11" t="s">
        <v>91</v>
      </c>
      <c r="N892">
        <v>5</v>
      </c>
      <c r="O892">
        <v>2023</v>
      </c>
      <c r="P892" s="29" t="s">
        <v>730</v>
      </c>
      <c r="Q892" t="s">
        <v>736</v>
      </c>
      <c r="R892" t="s">
        <v>737</v>
      </c>
    </row>
    <row r="893" spans="1:18" x14ac:dyDescent="0.25">
      <c r="A893" s="6">
        <v>892</v>
      </c>
      <c r="B893" s="7">
        <v>45173</v>
      </c>
      <c r="C893" s="8" t="s">
        <v>124</v>
      </c>
      <c r="D893" s="8" t="s">
        <v>83</v>
      </c>
      <c r="E893" s="8" t="s">
        <v>84</v>
      </c>
      <c r="F893" s="8" t="s">
        <v>206</v>
      </c>
      <c r="G893" s="6">
        <v>30</v>
      </c>
      <c r="H893" s="25">
        <v>14200</v>
      </c>
      <c r="I893" s="6">
        <v>0</v>
      </c>
      <c r="J893" s="6">
        <f t="shared" si="26"/>
        <v>426000</v>
      </c>
      <c r="K893" s="6">
        <f t="shared" si="27"/>
        <v>426000</v>
      </c>
      <c r="L893" s="8" t="s">
        <v>187</v>
      </c>
      <c r="M893" s="8" t="s">
        <v>77</v>
      </c>
      <c r="N893">
        <v>9</v>
      </c>
      <c r="O893">
        <v>2023</v>
      </c>
      <c r="P893" s="29" t="s">
        <v>715</v>
      </c>
      <c r="Q893" t="s">
        <v>734</v>
      </c>
      <c r="R893" t="s">
        <v>737</v>
      </c>
    </row>
    <row r="894" spans="1:18" x14ac:dyDescent="0.25">
      <c r="A894" s="9">
        <v>893</v>
      </c>
      <c r="B894" s="10">
        <v>45593</v>
      </c>
      <c r="C894" s="11" t="s">
        <v>78</v>
      </c>
      <c r="D894" s="11" t="s">
        <v>83</v>
      </c>
      <c r="E894" s="11" t="s">
        <v>102</v>
      </c>
      <c r="F894" s="11" t="s">
        <v>157</v>
      </c>
      <c r="G894" s="9">
        <v>7</v>
      </c>
      <c r="H894" s="26">
        <v>12600</v>
      </c>
      <c r="I894" s="9">
        <v>10</v>
      </c>
      <c r="J894" s="9">
        <f t="shared" si="26"/>
        <v>88200</v>
      </c>
      <c r="K894" s="9">
        <f t="shared" si="27"/>
        <v>79380</v>
      </c>
      <c r="L894" s="11" t="s">
        <v>76</v>
      </c>
      <c r="M894" s="11" t="s">
        <v>77</v>
      </c>
      <c r="N894">
        <v>10</v>
      </c>
      <c r="O894">
        <v>2024</v>
      </c>
      <c r="P894" s="29" t="s">
        <v>709</v>
      </c>
      <c r="Q894" t="s">
        <v>733</v>
      </c>
      <c r="R894" t="s">
        <v>739</v>
      </c>
    </row>
    <row r="895" spans="1:18" x14ac:dyDescent="0.25">
      <c r="A895" s="9">
        <v>894</v>
      </c>
      <c r="B895" s="10">
        <v>45125</v>
      </c>
      <c r="C895" s="11" t="s">
        <v>124</v>
      </c>
      <c r="D895" s="11" t="s">
        <v>109</v>
      </c>
      <c r="E895" s="11" t="s">
        <v>102</v>
      </c>
      <c r="F895" s="11" t="s">
        <v>110</v>
      </c>
      <c r="G895" s="9">
        <v>31</v>
      </c>
      <c r="H895" s="26">
        <v>21800</v>
      </c>
      <c r="I895" s="9">
        <v>0</v>
      </c>
      <c r="J895" s="9">
        <f t="shared" si="26"/>
        <v>675800</v>
      </c>
      <c r="K895" s="9">
        <f t="shared" si="27"/>
        <v>675800</v>
      </c>
      <c r="L895" s="11" t="s">
        <v>187</v>
      </c>
      <c r="M895" s="11" t="s">
        <v>91</v>
      </c>
      <c r="N895">
        <v>7</v>
      </c>
      <c r="O895">
        <v>2023</v>
      </c>
      <c r="P895" s="29" t="s">
        <v>724</v>
      </c>
      <c r="Q895" t="s">
        <v>734</v>
      </c>
      <c r="R895" t="s">
        <v>737</v>
      </c>
    </row>
    <row r="896" spans="1:18" x14ac:dyDescent="0.25">
      <c r="A896" s="6">
        <v>895</v>
      </c>
      <c r="B896" s="7">
        <v>45086</v>
      </c>
      <c r="C896" s="8" t="s">
        <v>108</v>
      </c>
      <c r="D896" s="8" t="s">
        <v>73</v>
      </c>
      <c r="E896" s="8" t="s">
        <v>79</v>
      </c>
      <c r="F896" s="8" t="s">
        <v>122</v>
      </c>
      <c r="G896" s="6">
        <v>28</v>
      </c>
      <c r="H896" s="25">
        <v>17600</v>
      </c>
      <c r="I896" s="6">
        <v>0</v>
      </c>
      <c r="J896" s="6">
        <f t="shared" si="26"/>
        <v>492800</v>
      </c>
      <c r="K896" s="6">
        <f t="shared" si="27"/>
        <v>492800</v>
      </c>
      <c r="L896" s="8" t="s">
        <v>76</v>
      </c>
      <c r="M896" s="8" t="s">
        <v>96</v>
      </c>
      <c r="N896">
        <v>6</v>
      </c>
      <c r="O896">
        <v>2023</v>
      </c>
      <c r="P896" s="29" t="s">
        <v>723</v>
      </c>
      <c r="Q896" t="s">
        <v>736</v>
      </c>
      <c r="R896" t="s">
        <v>737</v>
      </c>
    </row>
    <row r="897" spans="1:18" x14ac:dyDescent="0.25">
      <c r="A897" s="9">
        <v>896</v>
      </c>
      <c r="B897" s="10">
        <v>45524</v>
      </c>
      <c r="C897" s="11" t="s">
        <v>82</v>
      </c>
      <c r="D897" s="11" t="s">
        <v>109</v>
      </c>
      <c r="E897" s="11" t="s">
        <v>84</v>
      </c>
      <c r="F897" s="11" t="s">
        <v>85</v>
      </c>
      <c r="G897" s="9">
        <v>22</v>
      </c>
      <c r="H897" s="26">
        <v>5300</v>
      </c>
      <c r="I897" s="9">
        <v>10</v>
      </c>
      <c r="J897" s="9">
        <f t="shared" si="26"/>
        <v>116600</v>
      </c>
      <c r="K897" s="9">
        <f t="shared" si="27"/>
        <v>104940</v>
      </c>
      <c r="L897" s="11" t="s">
        <v>76</v>
      </c>
      <c r="M897" s="11" t="s">
        <v>77</v>
      </c>
      <c r="N897">
        <v>8</v>
      </c>
      <c r="O897">
        <v>2024</v>
      </c>
      <c r="P897" s="29" t="s">
        <v>710</v>
      </c>
      <c r="Q897" t="s">
        <v>734</v>
      </c>
      <c r="R897" t="s">
        <v>739</v>
      </c>
    </row>
    <row r="898" spans="1:18" x14ac:dyDescent="0.25">
      <c r="A898" s="6">
        <v>897</v>
      </c>
      <c r="B898" s="7">
        <v>45527</v>
      </c>
      <c r="C898" s="8" t="s">
        <v>108</v>
      </c>
      <c r="D898" s="8" t="s">
        <v>73</v>
      </c>
      <c r="E898" s="8" t="s">
        <v>84</v>
      </c>
      <c r="F898" s="8" t="s">
        <v>206</v>
      </c>
      <c r="G898" s="6">
        <v>13</v>
      </c>
      <c r="H898" s="25">
        <v>14100</v>
      </c>
      <c r="I898" s="6">
        <v>20</v>
      </c>
      <c r="J898" s="6">
        <f t="shared" ref="J898:J961" si="28">G898*H898</f>
        <v>183300</v>
      </c>
      <c r="K898" s="6">
        <f t="shared" ref="K898:K961" si="29">J898*(1-I898/100)</f>
        <v>146640</v>
      </c>
      <c r="L898" s="8" t="s">
        <v>123</v>
      </c>
      <c r="M898" s="8" t="s">
        <v>81</v>
      </c>
      <c r="N898">
        <v>8</v>
      </c>
      <c r="O898">
        <v>2024</v>
      </c>
      <c r="P898" s="29" t="s">
        <v>710</v>
      </c>
      <c r="Q898" t="s">
        <v>734</v>
      </c>
      <c r="R898" t="s">
        <v>739</v>
      </c>
    </row>
    <row r="899" spans="1:18" x14ac:dyDescent="0.25">
      <c r="A899" s="9">
        <v>898</v>
      </c>
      <c r="B899" s="10">
        <v>45263</v>
      </c>
      <c r="C899" s="11" t="s">
        <v>88</v>
      </c>
      <c r="D899" s="11" t="s">
        <v>109</v>
      </c>
      <c r="E899" s="11" t="s">
        <v>111</v>
      </c>
      <c r="F899" s="11" t="s">
        <v>159</v>
      </c>
      <c r="G899" s="9">
        <v>22</v>
      </c>
      <c r="H899" s="26">
        <v>12600</v>
      </c>
      <c r="I899" s="6">
        <v>0</v>
      </c>
      <c r="J899" s="9">
        <f t="shared" si="28"/>
        <v>277200</v>
      </c>
      <c r="K899" s="9">
        <f t="shared" si="29"/>
        <v>277200</v>
      </c>
      <c r="L899" s="11" t="s">
        <v>107</v>
      </c>
      <c r="M899" s="11" t="s">
        <v>96</v>
      </c>
      <c r="N899">
        <v>12</v>
      </c>
      <c r="O899">
        <v>2023</v>
      </c>
      <c r="P899" s="29" t="s">
        <v>725</v>
      </c>
      <c r="Q899" t="s">
        <v>733</v>
      </c>
      <c r="R899" t="s">
        <v>737</v>
      </c>
    </row>
    <row r="900" spans="1:18" x14ac:dyDescent="0.25">
      <c r="A900" s="6">
        <v>899</v>
      </c>
      <c r="B900" s="7">
        <v>44996</v>
      </c>
      <c r="C900" s="8" t="s">
        <v>114</v>
      </c>
      <c r="D900" s="8" t="s">
        <v>117</v>
      </c>
      <c r="E900" s="8" t="s">
        <v>84</v>
      </c>
      <c r="F900" s="8" t="s">
        <v>150</v>
      </c>
      <c r="G900" s="6">
        <v>3</v>
      </c>
      <c r="H900" s="25">
        <v>5600</v>
      </c>
      <c r="I900" s="6">
        <v>15</v>
      </c>
      <c r="J900" s="6">
        <f t="shared" si="28"/>
        <v>16800</v>
      </c>
      <c r="K900" s="6">
        <f t="shared" si="29"/>
        <v>14280</v>
      </c>
      <c r="L900" s="8" t="s">
        <v>76</v>
      </c>
      <c r="M900" s="8" t="s">
        <v>77</v>
      </c>
      <c r="N900">
        <v>3</v>
      </c>
      <c r="O900">
        <v>2023</v>
      </c>
      <c r="P900" s="29" t="s">
        <v>719</v>
      </c>
      <c r="Q900" t="s">
        <v>735</v>
      </c>
      <c r="R900" t="s">
        <v>738</v>
      </c>
    </row>
    <row r="901" spans="1:18" x14ac:dyDescent="0.25">
      <c r="A901" s="6">
        <v>900</v>
      </c>
      <c r="B901" s="7">
        <v>45155</v>
      </c>
      <c r="C901" s="8" t="s">
        <v>106</v>
      </c>
      <c r="D901" s="8" t="s">
        <v>83</v>
      </c>
      <c r="E901" s="8" t="s">
        <v>102</v>
      </c>
      <c r="F901" s="8" t="s">
        <v>181</v>
      </c>
      <c r="G901" s="6">
        <v>48</v>
      </c>
      <c r="H901" s="25">
        <v>4300</v>
      </c>
      <c r="I901" s="6">
        <v>20</v>
      </c>
      <c r="J901" s="6">
        <f t="shared" si="28"/>
        <v>206400</v>
      </c>
      <c r="K901" s="6">
        <f t="shared" si="29"/>
        <v>165120</v>
      </c>
      <c r="L901" s="8" t="s">
        <v>187</v>
      </c>
      <c r="M901" s="8" t="s">
        <v>96</v>
      </c>
      <c r="N901">
        <v>8</v>
      </c>
      <c r="O901">
        <v>2023</v>
      </c>
      <c r="P901" s="29" t="s">
        <v>713</v>
      </c>
      <c r="Q901" t="s">
        <v>734</v>
      </c>
      <c r="R901" t="s">
        <v>739</v>
      </c>
    </row>
    <row r="902" spans="1:18" x14ac:dyDescent="0.25">
      <c r="A902" s="9">
        <v>901</v>
      </c>
      <c r="B902" s="10">
        <v>45311</v>
      </c>
      <c r="C902" s="11" t="s">
        <v>106</v>
      </c>
      <c r="D902" s="11" t="s">
        <v>83</v>
      </c>
      <c r="E902" s="11" t="s">
        <v>84</v>
      </c>
      <c r="F902" s="11" t="s">
        <v>206</v>
      </c>
      <c r="G902" s="9">
        <v>5</v>
      </c>
      <c r="H902" s="26">
        <v>13900</v>
      </c>
      <c r="I902" s="9">
        <v>0</v>
      </c>
      <c r="J902" s="9">
        <f t="shared" si="28"/>
        <v>69500</v>
      </c>
      <c r="K902" s="9">
        <f t="shared" si="29"/>
        <v>69500</v>
      </c>
      <c r="L902" s="11" t="s">
        <v>76</v>
      </c>
      <c r="M902" s="11" t="s">
        <v>77</v>
      </c>
      <c r="N902">
        <v>1</v>
      </c>
      <c r="O902">
        <v>2024</v>
      </c>
      <c r="P902" s="29" t="s">
        <v>727</v>
      </c>
      <c r="Q902" t="s">
        <v>735</v>
      </c>
      <c r="R902" t="s">
        <v>739</v>
      </c>
    </row>
    <row r="903" spans="1:18" x14ac:dyDescent="0.25">
      <c r="A903" s="9">
        <v>902</v>
      </c>
      <c r="B903" s="10">
        <v>45224</v>
      </c>
      <c r="C903" s="11" t="s">
        <v>119</v>
      </c>
      <c r="D903" s="11" t="s">
        <v>109</v>
      </c>
      <c r="E903" s="11" t="s">
        <v>102</v>
      </c>
      <c r="F903" s="11" t="s">
        <v>157</v>
      </c>
      <c r="G903" s="9">
        <v>2</v>
      </c>
      <c r="H903" s="26">
        <v>10900</v>
      </c>
      <c r="I903" s="9">
        <v>0</v>
      </c>
      <c r="J903" s="9">
        <f t="shared" si="28"/>
        <v>21800</v>
      </c>
      <c r="K903" s="9">
        <f t="shared" si="29"/>
        <v>21800</v>
      </c>
      <c r="L903" s="11" t="s">
        <v>76</v>
      </c>
      <c r="M903" s="11" t="s">
        <v>96</v>
      </c>
      <c r="N903">
        <v>10</v>
      </c>
      <c r="O903">
        <v>2023</v>
      </c>
      <c r="P903" s="29" t="s">
        <v>726</v>
      </c>
      <c r="Q903" t="s">
        <v>733</v>
      </c>
      <c r="R903" t="s">
        <v>738</v>
      </c>
    </row>
    <row r="904" spans="1:18" x14ac:dyDescent="0.25">
      <c r="A904" s="6">
        <v>903</v>
      </c>
      <c r="B904" s="7">
        <v>45151</v>
      </c>
      <c r="C904" s="8" t="s">
        <v>101</v>
      </c>
      <c r="D904" s="8" t="s">
        <v>109</v>
      </c>
      <c r="E904" s="8" t="s">
        <v>74</v>
      </c>
      <c r="F904" s="8" t="s">
        <v>75</v>
      </c>
      <c r="G904" s="6">
        <v>2</v>
      </c>
      <c r="H904" s="25">
        <v>20800</v>
      </c>
      <c r="I904" s="6">
        <v>0</v>
      </c>
      <c r="J904" s="6">
        <f t="shared" si="28"/>
        <v>41600</v>
      </c>
      <c r="K904" s="6">
        <f t="shared" si="29"/>
        <v>41600</v>
      </c>
      <c r="L904" s="8" t="s">
        <v>76</v>
      </c>
      <c r="M904" s="8" t="s">
        <v>96</v>
      </c>
      <c r="N904">
        <v>8</v>
      </c>
      <c r="O904">
        <v>2023</v>
      </c>
      <c r="P904" s="29" t="s">
        <v>713</v>
      </c>
      <c r="Q904" t="s">
        <v>734</v>
      </c>
      <c r="R904" t="s">
        <v>738</v>
      </c>
    </row>
    <row r="905" spans="1:18" x14ac:dyDescent="0.25">
      <c r="A905" s="9">
        <v>904</v>
      </c>
      <c r="B905" s="10">
        <v>44948</v>
      </c>
      <c r="C905" s="11" t="s">
        <v>108</v>
      </c>
      <c r="D905" s="11" t="s">
        <v>83</v>
      </c>
      <c r="E905" s="11" t="s">
        <v>79</v>
      </c>
      <c r="F905" s="11" t="s">
        <v>120</v>
      </c>
      <c r="G905" s="9">
        <v>20</v>
      </c>
      <c r="H905" s="26">
        <v>6800</v>
      </c>
      <c r="I905" s="9">
        <v>20</v>
      </c>
      <c r="J905" s="9">
        <f t="shared" si="28"/>
        <v>136000</v>
      </c>
      <c r="K905" s="9">
        <f t="shared" si="29"/>
        <v>108800</v>
      </c>
      <c r="L905" s="11" t="s">
        <v>76</v>
      </c>
      <c r="M905" s="11" t="s">
        <v>96</v>
      </c>
      <c r="N905">
        <v>1</v>
      </c>
      <c r="O905">
        <v>2023</v>
      </c>
      <c r="P905" s="29" t="s">
        <v>721</v>
      </c>
      <c r="Q905" t="s">
        <v>735</v>
      </c>
      <c r="R905" t="s">
        <v>739</v>
      </c>
    </row>
    <row r="906" spans="1:18" x14ac:dyDescent="0.25">
      <c r="A906" s="6">
        <v>905</v>
      </c>
      <c r="B906" s="7">
        <v>45308</v>
      </c>
      <c r="C906" s="8" t="s">
        <v>108</v>
      </c>
      <c r="D906" s="8" t="s">
        <v>93</v>
      </c>
      <c r="E906" s="8" t="s">
        <v>102</v>
      </c>
      <c r="F906" s="8" t="s">
        <v>151</v>
      </c>
      <c r="G906" s="6">
        <v>5</v>
      </c>
      <c r="H906" s="25">
        <v>8400</v>
      </c>
      <c r="I906" s="6">
        <v>20</v>
      </c>
      <c r="J906" s="6">
        <f t="shared" si="28"/>
        <v>42000</v>
      </c>
      <c r="K906" s="6">
        <f t="shared" si="29"/>
        <v>33600</v>
      </c>
      <c r="L906" s="8" t="s">
        <v>76</v>
      </c>
      <c r="M906" s="8" t="s">
        <v>81</v>
      </c>
      <c r="N906">
        <v>1</v>
      </c>
      <c r="O906">
        <v>2024</v>
      </c>
      <c r="P906" s="29" t="s">
        <v>727</v>
      </c>
      <c r="Q906" t="s">
        <v>735</v>
      </c>
      <c r="R906" t="s">
        <v>738</v>
      </c>
    </row>
    <row r="907" spans="1:18" x14ac:dyDescent="0.25">
      <c r="A907" s="9">
        <v>906</v>
      </c>
      <c r="B907" s="10">
        <v>45121</v>
      </c>
      <c r="C907" s="11" t="s">
        <v>106</v>
      </c>
      <c r="D907" s="11" t="s">
        <v>93</v>
      </c>
      <c r="E907" s="11" t="s">
        <v>111</v>
      </c>
      <c r="F907" s="11" t="s">
        <v>132</v>
      </c>
      <c r="G907" s="9">
        <v>28</v>
      </c>
      <c r="H907" s="26">
        <v>7300</v>
      </c>
      <c r="I907" s="9">
        <v>0</v>
      </c>
      <c r="J907" s="9">
        <f t="shared" si="28"/>
        <v>204400</v>
      </c>
      <c r="K907" s="9">
        <f t="shared" si="29"/>
        <v>204400</v>
      </c>
      <c r="L907" s="11" t="s">
        <v>123</v>
      </c>
      <c r="M907" s="11" t="s">
        <v>81</v>
      </c>
      <c r="N907">
        <v>7</v>
      </c>
      <c r="O907">
        <v>2023</v>
      </c>
      <c r="P907" s="29" t="s">
        <v>724</v>
      </c>
      <c r="Q907" t="s">
        <v>734</v>
      </c>
      <c r="R907" t="s">
        <v>737</v>
      </c>
    </row>
    <row r="908" spans="1:18" x14ac:dyDescent="0.25">
      <c r="A908" s="6">
        <v>907</v>
      </c>
      <c r="B908" s="7">
        <v>45557</v>
      </c>
      <c r="C908" s="8" t="s">
        <v>124</v>
      </c>
      <c r="D908" s="8" t="s">
        <v>109</v>
      </c>
      <c r="E908" s="8" t="s">
        <v>102</v>
      </c>
      <c r="F908" s="8" t="s">
        <v>110</v>
      </c>
      <c r="G908" s="6">
        <v>21</v>
      </c>
      <c r="H908" s="25">
        <v>24100</v>
      </c>
      <c r="I908" s="6">
        <v>20</v>
      </c>
      <c r="J908" s="6">
        <f t="shared" si="28"/>
        <v>506100</v>
      </c>
      <c r="K908" s="6">
        <f t="shared" si="29"/>
        <v>404880</v>
      </c>
      <c r="L908" s="8" t="s">
        <v>76</v>
      </c>
      <c r="M908" s="8" t="s">
        <v>96</v>
      </c>
      <c r="N908">
        <v>9</v>
      </c>
      <c r="O908">
        <v>2024</v>
      </c>
      <c r="P908" s="29" t="s">
        <v>731</v>
      </c>
      <c r="Q908" t="s">
        <v>734</v>
      </c>
      <c r="R908" t="s">
        <v>737</v>
      </c>
    </row>
    <row r="909" spans="1:18" x14ac:dyDescent="0.25">
      <c r="A909" s="9">
        <v>908</v>
      </c>
      <c r="B909" s="10">
        <v>45204</v>
      </c>
      <c r="C909" s="11" t="s">
        <v>82</v>
      </c>
      <c r="D909" s="30" t="s">
        <v>703</v>
      </c>
      <c r="E909" s="11" t="s">
        <v>111</v>
      </c>
      <c r="F909" s="11" t="s">
        <v>156</v>
      </c>
      <c r="G909" s="9">
        <v>31</v>
      </c>
      <c r="H909" s="26">
        <v>45400</v>
      </c>
      <c r="I909" s="9">
        <v>0</v>
      </c>
      <c r="J909" s="9">
        <f t="shared" si="28"/>
        <v>1407400</v>
      </c>
      <c r="K909" s="9">
        <f t="shared" si="29"/>
        <v>1407400</v>
      </c>
      <c r="L909" s="11" t="s">
        <v>187</v>
      </c>
      <c r="M909" s="11" t="s">
        <v>77</v>
      </c>
      <c r="N909">
        <v>10</v>
      </c>
      <c r="O909">
        <v>2023</v>
      </c>
      <c r="P909" s="29" t="s">
        <v>726</v>
      </c>
      <c r="Q909" t="s">
        <v>733</v>
      </c>
      <c r="R909" t="s">
        <v>737</v>
      </c>
    </row>
    <row r="910" spans="1:18" x14ac:dyDescent="0.25">
      <c r="A910" s="6">
        <v>909</v>
      </c>
      <c r="B910" s="7">
        <v>45388</v>
      </c>
      <c r="C910" s="8" t="s">
        <v>114</v>
      </c>
      <c r="D910" s="8" t="s">
        <v>93</v>
      </c>
      <c r="E910" s="8" t="s">
        <v>74</v>
      </c>
      <c r="F910" s="8" t="s">
        <v>99</v>
      </c>
      <c r="G910" s="6">
        <v>12</v>
      </c>
      <c r="H910" s="25">
        <v>3600</v>
      </c>
      <c r="I910" s="6">
        <v>10</v>
      </c>
      <c r="J910" s="6">
        <f t="shared" si="28"/>
        <v>43200</v>
      </c>
      <c r="K910" s="6">
        <f t="shared" si="29"/>
        <v>38880</v>
      </c>
      <c r="L910" s="8" t="s">
        <v>76</v>
      </c>
      <c r="M910" s="8" t="s">
        <v>96</v>
      </c>
      <c r="N910">
        <v>4</v>
      </c>
      <c r="O910">
        <v>2024</v>
      </c>
      <c r="P910" s="29" t="s">
        <v>722</v>
      </c>
      <c r="Q910" t="s">
        <v>736</v>
      </c>
      <c r="R910" t="s">
        <v>738</v>
      </c>
    </row>
    <row r="911" spans="1:18" x14ac:dyDescent="0.25">
      <c r="A911" s="9">
        <v>910</v>
      </c>
      <c r="B911" s="10">
        <v>45638</v>
      </c>
      <c r="C911" s="11" t="s">
        <v>119</v>
      </c>
      <c r="D911" s="11" t="s">
        <v>83</v>
      </c>
      <c r="E911" s="11" t="s">
        <v>111</v>
      </c>
      <c r="F911" s="11" t="s">
        <v>135</v>
      </c>
      <c r="G911" s="9">
        <v>41</v>
      </c>
      <c r="H911" s="26">
        <v>120200</v>
      </c>
      <c r="I911" s="9">
        <v>0</v>
      </c>
      <c r="J911" s="9">
        <f t="shared" si="28"/>
        <v>4928200</v>
      </c>
      <c r="K911" s="9">
        <f t="shared" si="29"/>
        <v>4928200</v>
      </c>
      <c r="L911" s="11" t="s">
        <v>107</v>
      </c>
      <c r="M911" s="11" t="s">
        <v>77</v>
      </c>
      <c r="N911">
        <v>12</v>
      </c>
      <c r="O911">
        <v>2024</v>
      </c>
      <c r="P911" s="29" t="s">
        <v>728</v>
      </c>
      <c r="Q911" t="s">
        <v>733</v>
      </c>
      <c r="R911" t="s">
        <v>737</v>
      </c>
    </row>
    <row r="912" spans="1:18" x14ac:dyDescent="0.25">
      <c r="A912" s="6">
        <v>911</v>
      </c>
      <c r="B912" s="7">
        <v>45151</v>
      </c>
      <c r="C912" s="8" t="s">
        <v>106</v>
      </c>
      <c r="D912" s="8" t="s">
        <v>83</v>
      </c>
      <c r="E912" s="8" t="s">
        <v>84</v>
      </c>
      <c r="F912" s="8" t="s">
        <v>148</v>
      </c>
      <c r="G912" s="6">
        <v>28</v>
      </c>
      <c r="H912" s="25">
        <v>4600</v>
      </c>
      <c r="I912" s="6">
        <v>20</v>
      </c>
      <c r="J912" s="6">
        <f t="shared" si="28"/>
        <v>128800</v>
      </c>
      <c r="K912" s="6">
        <f t="shared" si="29"/>
        <v>103040</v>
      </c>
      <c r="L912" s="8" t="s">
        <v>107</v>
      </c>
      <c r="M912" s="8" t="s">
        <v>81</v>
      </c>
      <c r="N912">
        <v>8</v>
      </c>
      <c r="O912">
        <v>2023</v>
      </c>
      <c r="P912" s="29" t="s">
        <v>713</v>
      </c>
      <c r="Q912" t="s">
        <v>734</v>
      </c>
      <c r="R912" t="s">
        <v>739</v>
      </c>
    </row>
    <row r="913" spans="1:18" x14ac:dyDescent="0.25">
      <c r="A913" s="9">
        <v>912</v>
      </c>
      <c r="B913" s="10">
        <v>45310</v>
      </c>
      <c r="C913" s="11" t="s">
        <v>101</v>
      </c>
      <c r="D913" s="11" t="s">
        <v>93</v>
      </c>
      <c r="E913" s="11" t="s">
        <v>79</v>
      </c>
      <c r="F913" s="11" t="s">
        <v>122</v>
      </c>
      <c r="G913" s="9">
        <v>19</v>
      </c>
      <c r="H913" s="26">
        <v>19600</v>
      </c>
      <c r="I913" s="9">
        <v>0</v>
      </c>
      <c r="J913" s="9">
        <f t="shared" si="28"/>
        <v>372400</v>
      </c>
      <c r="K913" s="9">
        <f t="shared" si="29"/>
        <v>372400</v>
      </c>
      <c r="L913" s="11" t="s">
        <v>76</v>
      </c>
      <c r="M913" s="11" t="s">
        <v>96</v>
      </c>
      <c r="N913">
        <v>1</v>
      </c>
      <c r="O913">
        <v>2024</v>
      </c>
      <c r="P913" s="29" t="s">
        <v>727</v>
      </c>
      <c r="Q913" t="s">
        <v>735</v>
      </c>
      <c r="R913" t="s">
        <v>737</v>
      </c>
    </row>
    <row r="914" spans="1:18" x14ac:dyDescent="0.25">
      <c r="A914" s="6">
        <v>913</v>
      </c>
      <c r="B914" s="7">
        <v>45524</v>
      </c>
      <c r="C914" s="8" t="s">
        <v>78</v>
      </c>
      <c r="D914" s="8" t="s">
        <v>83</v>
      </c>
      <c r="E914" s="8" t="s">
        <v>102</v>
      </c>
      <c r="F914" s="8" t="s">
        <v>157</v>
      </c>
      <c r="G914" s="6">
        <v>30</v>
      </c>
      <c r="H914" s="25">
        <v>12100</v>
      </c>
      <c r="I914" s="6">
        <v>20</v>
      </c>
      <c r="J914" s="6">
        <f t="shared" si="28"/>
        <v>363000</v>
      </c>
      <c r="K914" s="6">
        <f t="shared" si="29"/>
        <v>290400</v>
      </c>
      <c r="L914" s="8" t="s">
        <v>76</v>
      </c>
      <c r="M914" s="8" t="s">
        <v>96</v>
      </c>
      <c r="N914">
        <v>8</v>
      </c>
      <c r="O914">
        <v>2024</v>
      </c>
      <c r="P914" s="29" t="s">
        <v>710</v>
      </c>
      <c r="Q914" t="s">
        <v>734</v>
      </c>
      <c r="R914" t="s">
        <v>737</v>
      </c>
    </row>
    <row r="915" spans="1:18" x14ac:dyDescent="0.25">
      <c r="A915" s="9">
        <v>914</v>
      </c>
      <c r="B915" s="10">
        <v>45436</v>
      </c>
      <c r="C915" s="11" t="s">
        <v>88</v>
      </c>
      <c r="D915" s="11" t="s">
        <v>117</v>
      </c>
      <c r="E915" s="11" t="s">
        <v>111</v>
      </c>
      <c r="F915" s="11" t="s">
        <v>192</v>
      </c>
      <c r="G915" s="9">
        <v>15</v>
      </c>
      <c r="H915" s="26">
        <v>89800</v>
      </c>
      <c r="I915" s="9">
        <v>0</v>
      </c>
      <c r="J915" s="9">
        <f t="shared" si="28"/>
        <v>1347000</v>
      </c>
      <c r="K915" s="9">
        <f t="shared" si="29"/>
        <v>1347000</v>
      </c>
      <c r="L915" s="11" t="s">
        <v>76</v>
      </c>
      <c r="M915" s="11" t="s">
        <v>77</v>
      </c>
      <c r="N915">
        <v>5</v>
      </c>
      <c r="O915">
        <v>2024</v>
      </c>
      <c r="P915" s="29" t="s">
        <v>732</v>
      </c>
      <c r="Q915" t="s">
        <v>736</v>
      </c>
      <c r="R915" t="s">
        <v>737</v>
      </c>
    </row>
    <row r="916" spans="1:18" x14ac:dyDescent="0.25">
      <c r="A916" s="6">
        <v>915</v>
      </c>
      <c r="B916" s="7">
        <v>45011</v>
      </c>
      <c r="C916" s="8" t="s">
        <v>101</v>
      </c>
      <c r="D916" s="8" t="s">
        <v>93</v>
      </c>
      <c r="E916" s="8" t="s">
        <v>102</v>
      </c>
      <c r="F916" s="8" t="s">
        <v>137</v>
      </c>
      <c r="G916" s="6">
        <v>15</v>
      </c>
      <c r="H916" s="25">
        <v>2400</v>
      </c>
      <c r="I916" s="6">
        <v>0</v>
      </c>
      <c r="J916" s="6">
        <f t="shared" si="28"/>
        <v>36000</v>
      </c>
      <c r="K916" s="6">
        <f t="shared" si="29"/>
        <v>36000</v>
      </c>
      <c r="L916" s="8" t="s">
        <v>76</v>
      </c>
      <c r="M916" s="8" t="s">
        <v>77</v>
      </c>
      <c r="N916">
        <v>3</v>
      </c>
      <c r="O916">
        <v>2023</v>
      </c>
      <c r="P916" s="29" t="s">
        <v>719</v>
      </c>
      <c r="Q916" t="s">
        <v>735</v>
      </c>
      <c r="R916" t="s">
        <v>738</v>
      </c>
    </row>
    <row r="917" spans="1:18" x14ac:dyDescent="0.25">
      <c r="A917" s="9">
        <v>916</v>
      </c>
      <c r="B917" s="10">
        <v>45171</v>
      </c>
      <c r="C917" s="11" t="s">
        <v>82</v>
      </c>
      <c r="D917" s="11" t="s">
        <v>109</v>
      </c>
      <c r="E917" s="11" t="s">
        <v>74</v>
      </c>
      <c r="F917" s="11" t="s">
        <v>75</v>
      </c>
      <c r="G917" s="9">
        <v>17</v>
      </c>
      <c r="H917" s="26">
        <v>23500</v>
      </c>
      <c r="I917" s="9">
        <v>0</v>
      </c>
      <c r="J917" s="9">
        <f t="shared" si="28"/>
        <v>399500</v>
      </c>
      <c r="K917" s="9">
        <f t="shared" si="29"/>
        <v>399500</v>
      </c>
      <c r="L917" s="11" t="s">
        <v>76</v>
      </c>
      <c r="M917" s="11" t="s">
        <v>96</v>
      </c>
      <c r="N917">
        <v>9</v>
      </c>
      <c r="O917">
        <v>2023</v>
      </c>
      <c r="P917" s="29" t="s">
        <v>715</v>
      </c>
      <c r="Q917" t="s">
        <v>734</v>
      </c>
      <c r="R917" t="s">
        <v>737</v>
      </c>
    </row>
    <row r="918" spans="1:18" x14ac:dyDescent="0.25">
      <c r="A918" s="6">
        <v>917</v>
      </c>
      <c r="B918" s="7">
        <v>45649</v>
      </c>
      <c r="C918" s="8" t="s">
        <v>124</v>
      </c>
      <c r="D918" s="8" t="s">
        <v>109</v>
      </c>
      <c r="E918" s="8" t="s">
        <v>102</v>
      </c>
      <c r="F918" s="8" t="s">
        <v>110</v>
      </c>
      <c r="G918" s="6">
        <v>20</v>
      </c>
      <c r="H918" s="25">
        <v>19800</v>
      </c>
      <c r="I918" s="6">
        <v>20</v>
      </c>
      <c r="J918" s="6">
        <f t="shared" si="28"/>
        <v>396000</v>
      </c>
      <c r="K918" s="6">
        <f t="shared" si="29"/>
        <v>316800</v>
      </c>
      <c r="L918" s="8" t="s">
        <v>76</v>
      </c>
      <c r="M918" s="8" t="s">
        <v>96</v>
      </c>
      <c r="N918">
        <v>12</v>
      </c>
      <c r="O918">
        <v>2024</v>
      </c>
      <c r="P918" s="29" t="s">
        <v>728</v>
      </c>
      <c r="Q918" t="s">
        <v>733</v>
      </c>
      <c r="R918" t="s">
        <v>737</v>
      </c>
    </row>
    <row r="919" spans="1:18" x14ac:dyDescent="0.25">
      <c r="A919" s="9">
        <v>918</v>
      </c>
      <c r="B919" s="10">
        <v>45340</v>
      </c>
      <c r="C919" s="11" t="s">
        <v>114</v>
      </c>
      <c r="D919" s="11" t="s">
        <v>93</v>
      </c>
      <c r="E919" s="11" t="s">
        <v>79</v>
      </c>
      <c r="F919" s="11" t="s">
        <v>172</v>
      </c>
      <c r="G919" s="9">
        <v>49</v>
      </c>
      <c r="H919" s="26">
        <v>26600</v>
      </c>
      <c r="I919" s="9">
        <v>0</v>
      </c>
      <c r="J919" s="9">
        <f t="shared" si="28"/>
        <v>1303400</v>
      </c>
      <c r="K919" s="9">
        <f t="shared" si="29"/>
        <v>1303400</v>
      </c>
      <c r="L919" s="11" t="s">
        <v>123</v>
      </c>
      <c r="M919" s="11" t="s">
        <v>91</v>
      </c>
      <c r="N919">
        <v>2</v>
      </c>
      <c r="O919">
        <v>2024</v>
      </c>
      <c r="P919" s="29" t="s">
        <v>729</v>
      </c>
      <c r="Q919" t="s">
        <v>735</v>
      </c>
      <c r="R919" t="s">
        <v>737</v>
      </c>
    </row>
    <row r="920" spans="1:18" x14ac:dyDescent="0.25">
      <c r="A920" s="6">
        <v>919</v>
      </c>
      <c r="B920" s="7">
        <v>45159</v>
      </c>
      <c r="C920" s="8" t="s">
        <v>106</v>
      </c>
      <c r="D920" s="8" t="s">
        <v>83</v>
      </c>
      <c r="E920" s="8" t="s">
        <v>84</v>
      </c>
      <c r="F920" s="8" t="s">
        <v>85</v>
      </c>
      <c r="G920" s="6">
        <v>30</v>
      </c>
      <c r="H920" s="25">
        <v>5800</v>
      </c>
      <c r="I920" s="6">
        <v>0</v>
      </c>
      <c r="J920" s="6">
        <f t="shared" si="28"/>
        <v>174000</v>
      </c>
      <c r="K920" s="6">
        <f t="shared" si="29"/>
        <v>174000</v>
      </c>
      <c r="L920" s="8" t="s">
        <v>76</v>
      </c>
      <c r="M920" s="8" t="s">
        <v>77</v>
      </c>
      <c r="N920">
        <v>8</v>
      </c>
      <c r="O920">
        <v>2023</v>
      </c>
      <c r="P920" s="29" t="s">
        <v>713</v>
      </c>
      <c r="Q920" t="s">
        <v>734</v>
      </c>
      <c r="R920" t="s">
        <v>739</v>
      </c>
    </row>
    <row r="921" spans="1:18" x14ac:dyDescent="0.25">
      <c r="A921" s="9">
        <v>920</v>
      </c>
      <c r="B921" s="10">
        <v>45267</v>
      </c>
      <c r="C921" s="11" t="s">
        <v>114</v>
      </c>
      <c r="D921" s="11" t="s">
        <v>83</v>
      </c>
      <c r="E921" s="11" t="s">
        <v>84</v>
      </c>
      <c r="F921" s="11" t="s">
        <v>85</v>
      </c>
      <c r="G921" s="9">
        <v>36</v>
      </c>
      <c r="H921" s="26">
        <v>5500</v>
      </c>
      <c r="I921" s="9">
        <v>10</v>
      </c>
      <c r="J921" s="9">
        <f t="shared" si="28"/>
        <v>198000</v>
      </c>
      <c r="K921" s="9">
        <f t="shared" si="29"/>
        <v>178200</v>
      </c>
      <c r="L921" s="11" t="s">
        <v>76</v>
      </c>
      <c r="M921" s="11" t="s">
        <v>81</v>
      </c>
      <c r="N921">
        <v>12</v>
      </c>
      <c r="O921">
        <v>2023</v>
      </c>
      <c r="P921" s="29" t="s">
        <v>725</v>
      </c>
      <c r="Q921" t="s">
        <v>733</v>
      </c>
      <c r="R921" t="s">
        <v>739</v>
      </c>
    </row>
    <row r="922" spans="1:18" x14ac:dyDescent="0.25">
      <c r="A922" s="6">
        <v>921</v>
      </c>
      <c r="B922" s="7">
        <v>45265</v>
      </c>
      <c r="C922" s="8" t="s">
        <v>101</v>
      </c>
      <c r="D922" s="8" t="s">
        <v>73</v>
      </c>
      <c r="E922" s="8" t="s">
        <v>111</v>
      </c>
      <c r="F922" s="8" t="s">
        <v>132</v>
      </c>
      <c r="G922" s="6">
        <v>27</v>
      </c>
      <c r="H922" s="25">
        <v>7400</v>
      </c>
      <c r="I922" s="6">
        <v>20</v>
      </c>
      <c r="J922" s="6">
        <f t="shared" si="28"/>
        <v>199800</v>
      </c>
      <c r="K922" s="6">
        <f t="shared" si="29"/>
        <v>159840</v>
      </c>
      <c r="L922" s="8" t="s">
        <v>76</v>
      </c>
      <c r="M922" s="8" t="s">
        <v>91</v>
      </c>
      <c r="N922">
        <v>12</v>
      </c>
      <c r="O922">
        <v>2023</v>
      </c>
      <c r="P922" s="29" t="s">
        <v>725</v>
      </c>
      <c r="Q922" t="s">
        <v>733</v>
      </c>
      <c r="R922" t="s">
        <v>739</v>
      </c>
    </row>
    <row r="923" spans="1:18" x14ac:dyDescent="0.25">
      <c r="A923" s="9">
        <v>922</v>
      </c>
      <c r="B923" s="10">
        <v>45516</v>
      </c>
      <c r="C923" s="11" t="s">
        <v>82</v>
      </c>
      <c r="D923" s="11" t="s">
        <v>117</v>
      </c>
      <c r="E923" s="11" t="s">
        <v>74</v>
      </c>
      <c r="F923" s="11" t="s">
        <v>94</v>
      </c>
      <c r="G923" s="9">
        <v>3</v>
      </c>
      <c r="H923" s="26">
        <v>36500</v>
      </c>
      <c r="I923" s="9">
        <v>0</v>
      </c>
      <c r="J923" s="9">
        <f t="shared" si="28"/>
        <v>109500</v>
      </c>
      <c r="K923" s="9">
        <f t="shared" si="29"/>
        <v>109500</v>
      </c>
      <c r="L923" s="11" t="s">
        <v>107</v>
      </c>
      <c r="M923" s="11" t="s">
        <v>81</v>
      </c>
      <c r="N923">
        <v>8</v>
      </c>
      <c r="O923">
        <v>2024</v>
      </c>
      <c r="P923" s="29" t="s">
        <v>710</v>
      </c>
      <c r="Q923" t="s">
        <v>734</v>
      </c>
      <c r="R923" t="s">
        <v>739</v>
      </c>
    </row>
    <row r="924" spans="1:18" x14ac:dyDescent="0.25">
      <c r="A924" s="6">
        <v>923</v>
      </c>
      <c r="B924" s="7">
        <v>45390</v>
      </c>
      <c r="C924" s="8" t="s">
        <v>124</v>
      </c>
      <c r="D924" s="8" t="s">
        <v>93</v>
      </c>
      <c r="E924" s="8" t="s">
        <v>102</v>
      </c>
      <c r="F924" s="8" t="s">
        <v>151</v>
      </c>
      <c r="G924" s="6">
        <v>14</v>
      </c>
      <c r="H924" s="25">
        <v>8600</v>
      </c>
      <c r="I924" s="6">
        <v>10</v>
      </c>
      <c r="J924" s="6">
        <f t="shared" si="28"/>
        <v>120400</v>
      </c>
      <c r="K924" s="6">
        <f t="shared" si="29"/>
        <v>108360</v>
      </c>
      <c r="L924" s="8" t="s">
        <v>123</v>
      </c>
      <c r="M924" s="8" t="s">
        <v>77</v>
      </c>
      <c r="N924">
        <v>4</v>
      </c>
      <c r="O924">
        <v>2024</v>
      </c>
      <c r="P924" s="29" t="s">
        <v>722</v>
      </c>
      <c r="Q924" t="s">
        <v>736</v>
      </c>
      <c r="R924" t="s">
        <v>739</v>
      </c>
    </row>
    <row r="925" spans="1:18" x14ac:dyDescent="0.25">
      <c r="A925" s="9">
        <v>924</v>
      </c>
      <c r="B925" s="10">
        <v>45322</v>
      </c>
      <c r="C925" s="11" t="s">
        <v>106</v>
      </c>
      <c r="D925" s="11" t="s">
        <v>83</v>
      </c>
      <c r="E925" s="11" t="s">
        <v>79</v>
      </c>
      <c r="F925" s="11" t="s">
        <v>120</v>
      </c>
      <c r="G925" s="9">
        <v>29</v>
      </c>
      <c r="H925" s="26">
        <v>6300</v>
      </c>
      <c r="I925" s="9">
        <v>0</v>
      </c>
      <c r="J925" s="9">
        <f t="shared" si="28"/>
        <v>182700</v>
      </c>
      <c r="K925" s="9">
        <f t="shared" si="29"/>
        <v>182700</v>
      </c>
      <c r="L925" s="11" t="s">
        <v>76</v>
      </c>
      <c r="M925" s="11" t="s">
        <v>96</v>
      </c>
      <c r="N925">
        <v>1</v>
      </c>
      <c r="O925">
        <v>2024</v>
      </c>
      <c r="P925" s="29" t="s">
        <v>727</v>
      </c>
      <c r="Q925" t="s">
        <v>735</v>
      </c>
      <c r="R925" t="s">
        <v>739</v>
      </c>
    </row>
    <row r="926" spans="1:18" x14ac:dyDescent="0.25">
      <c r="A926" s="6">
        <v>925</v>
      </c>
      <c r="B926" s="7">
        <v>45102</v>
      </c>
      <c r="C926" s="8" t="s">
        <v>97</v>
      </c>
      <c r="D926" s="8" t="s">
        <v>93</v>
      </c>
      <c r="E926" s="8" t="s">
        <v>84</v>
      </c>
      <c r="F926" s="8" t="s">
        <v>206</v>
      </c>
      <c r="G926" s="6">
        <v>39</v>
      </c>
      <c r="H926" s="25">
        <v>15500</v>
      </c>
      <c r="I926" s="6">
        <v>0</v>
      </c>
      <c r="J926" s="6">
        <f t="shared" si="28"/>
        <v>604500</v>
      </c>
      <c r="K926" s="6">
        <f t="shared" si="29"/>
        <v>604500</v>
      </c>
      <c r="L926" s="8" t="s">
        <v>76</v>
      </c>
      <c r="M926" s="8" t="s">
        <v>81</v>
      </c>
      <c r="N926">
        <v>6</v>
      </c>
      <c r="O926">
        <v>2023</v>
      </c>
      <c r="P926" s="29" t="s">
        <v>723</v>
      </c>
      <c r="Q926" t="s">
        <v>736</v>
      </c>
      <c r="R926" t="s">
        <v>737</v>
      </c>
    </row>
    <row r="927" spans="1:18" x14ac:dyDescent="0.25">
      <c r="A927" s="9">
        <v>926</v>
      </c>
      <c r="B927" s="10">
        <v>44998</v>
      </c>
      <c r="C927" s="11" t="s">
        <v>114</v>
      </c>
      <c r="D927" s="11" t="s">
        <v>117</v>
      </c>
      <c r="E927" s="11" t="s">
        <v>84</v>
      </c>
      <c r="F927" s="11" t="s">
        <v>90</v>
      </c>
      <c r="G927" s="9">
        <v>34</v>
      </c>
      <c r="H927" s="26">
        <v>1800</v>
      </c>
      <c r="I927" s="9">
        <v>0</v>
      </c>
      <c r="J927" s="9">
        <f t="shared" si="28"/>
        <v>61200</v>
      </c>
      <c r="K927" s="9">
        <f t="shared" si="29"/>
        <v>61200</v>
      </c>
      <c r="L927" s="11" t="s">
        <v>76</v>
      </c>
      <c r="M927" s="11" t="s">
        <v>77</v>
      </c>
      <c r="N927">
        <v>3</v>
      </c>
      <c r="O927">
        <v>2023</v>
      </c>
      <c r="P927" s="29" t="s">
        <v>719</v>
      </c>
      <c r="Q927" t="s">
        <v>735</v>
      </c>
      <c r="R927" t="s">
        <v>739</v>
      </c>
    </row>
    <row r="928" spans="1:18" x14ac:dyDescent="0.25">
      <c r="A928" s="6">
        <v>927</v>
      </c>
      <c r="B928" s="7">
        <v>45457</v>
      </c>
      <c r="C928" s="8" t="s">
        <v>78</v>
      </c>
      <c r="D928" s="8" t="s">
        <v>109</v>
      </c>
      <c r="E928" s="8" t="s">
        <v>74</v>
      </c>
      <c r="F928" s="8" t="s">
        <v>140</v>
      </c>
      <c r="G928" s="6">
        <v>8</v>
      </c>
      <c r="H928" s="25">
        <v>4500</v>
      </c>
      <c r="I928" s="6">
        <v>5</v>
      </c>
      <c r="J928" s="6">
        <f t="shared" si="28"/>
        <v>36000</v>
      </c>
      <c r="K928" s="6">
        <f t="shared" si="29"/>
        <v>34200</v>
      </c>
      <c r="L928" s="8" t="s">
        <v>76</v>
      </c>
      <c r="M928" s="8" t="s">
        <v>91</v>
      </c>
      <c r="N928">
        <v>6</v>
      </c>
      <c r="O928">
        <v>2024</v>
      </c>
      <c r="P928" s="29" t="s">
        <v>720</v>
      </c>
      <c r="Q928" t="s">
        <v>736</v>
      </c>
      <c r="R928" t="s">
        <v>738</v>
      </c>
    </row>
    <row r="929" spans="1:18" x14ac:dyDescent="0.25">
      <c r="A929" s="9">
        <v>928</v>
      </c>
      <c r="B929" s="10">
        <v>45263</v>
      </c>
      <c r="C929" s="11" t="s">
        <v>114</v>
      </c>
      <c r="D929" s="11" t="s">
        <v>109</v>
      </c>
      <c r="E929" s="11" t="s">
        <v>84</v>
      </c>
      <c r="F929" s="11" t="s">
        <v>90</v>
      </c>
      <c r="G929" s="9">
        <v>46</v>
      </c>
      <c r="H929" s="26">
        <v>1800</v>
      </c>
      <c r="I929" s="9">
        <v>10</v>
      </c>
      <c r="J929" s="9">
        <f t="shared" si="28"/>
        <v>82800</v>
      </c>
      <c r="K929" s="9">
        <f t="shared" si="29"/>
        <v>74520</v>
      </c>
      <c r="L929" s="11" t="s">
        <v>187</v>
      </c>
      <c r="M929" s="11" t="s">
        <v>81</v>
      </c>
      <c r="N929">
        <v>12</v>
      </c>
      <c r="O929">
        <v>2023</v>
      </c>
      <c r="P929" s="29" t="s">
        <v>725</v>
      </c>
      <c r="Q929" t="s">
        <v>733</v>
      </c>
      <c r="R929" t="s">
        <v>739</v>
      </c>
    </row>
    <row r="930" spans="1:18" x14ac:dyDescent="0.25">
      <c r="A930" s="6">
        <v>929</v>
      </c>
      <c r="B930" s="7">
        <v>45604</v>
      </c>
      <c r="C930" s="8" t="s">
        <v>101</v>
      </c>
      <c r="D930" s="8" t="s">
        <v>93</v>
      </c>
      <c r="E930" s="8" t="s">
        <v>84</v>
      </c>
      <c r="F930" s="8" t="s">
        <v>85</v>
      </c>
      <c r="G930" s="6">
        <v>1</v>
      </c>
      <c r="H930" s="25">
        <v>5200</v>
      </c>
      <c r="I930" s="6">
        <v>0</v>
      </c>
      <c r="J930" s="6">
        <f t="shared" si="28"/>
        <v>5200</v>
      </c>
      <c r="K930" s="6">
        <f t="shared" si="29"/>
        <v>5200</v>
      </c>
      <c r="L930" s="8" t="s">
        <v>123</v>
      </c>
      <c r="M930" s="8" t="s">
        <v>91</v>
      </c>
      <c r="N930">
        <v>11</v>
      </c>
      <c r="O930">
        <v>2024</v>
      </c>
      <c r="P930" s="29" t="s">
        <v>714</v>
      </c>
      <c r="Q930" t="s">
        <v>733</v>
      </c>
      <c r="R930" t="s">
        <v>738</v>
      </c>
    </row>
    <row r="931" spans="1:18" x14ac:dyDescent="0.25">
      <c r="A931" s="9">
        <v>930</v>
      </c>
      <c r="B931" s="10">
        <v>45335</v>
      </c>
      <c r="C931" s="11" t="s">
        <v>124</v>
      </c>
      <c r="D931" s="11" t="s">
        <v>109</v>
      </c>
      <c r="E931" s="11" t="s">
        <v>102</v>
      </c>
      <c r="F931" s="11" t="s">
        <v>157</v>
      </c>
      <c r="G931" s="9">
        <v>32</v>
      </c>
      <c r="H931" s="26">
        <v>13500</v>
      </c>
      <c r="I931" s="9">
        <v>15</v>
      </c>
      <c r="J931" s="9">
        <f t="shared" si="28"/>
        <v>432000</v>
      </c>
      <c r="K931" s="9">
        <f t="shared" si="29"/>
        <v>367200</v>
      </c>
      <c r="L931" s="11" t="s">
        <v>76</v>
      </c>
      <c r="M931" s="11" t="s">
        <v>77</v>
      </c>
      <c r="N931">
        <v>2</v>
      </c>
      <c r="O931">
        <v>2024</v>
      </c>
      <c r="P931" s="29" t="s">
        <v>729</v>
      </c>
      <c r="Q931" t="s">
        <v>735</v>
      </c>
      <c r="R931" t="s">
        <v>737</v>
      </c>
    </row>
    <row r="932" spans="1:18" x14ac:dyDescent="0.25">
      <c r="A932" s="6">
        <v>931</v>
      </c>
      <c r="B932" s="7">
        <v>45020</v>
      </c>
      <c r="C932" s="8" t="s">
        <v>101</v>
      </c>
      <c r="D932" s="8" t="s">
        <v>83</v>
      </c>
      <c r="E932" s="8" t="s">
        <v>74</v>
      </c>
      <c r="F932" s="8" t="s">
        <v>190</v>
      </c>
      <c r="G932" s="6">
        <v>12</v>
      </c>
      <c r="H932" s="25">
        <v>31900</v>
      </c>
      <c r="I932" s="6">
        <v>10</v>
      </c>
      <c r="J932" s="6">
        <f t="shared" si="28"/>
        <v>382800</v>
      </c>
      <c r="K932" s="6">
        <f t="shared" si="29"/>
        <v>344520</v>
      </c>
      <c r="L932" s="8" t="s">
        <v>76</v>
      </c>
      <c r="M932" s="8" t="s">
        <v>81</v>
      </c>
      <c r="N932">
        <v>4</v>
      </c>
      <c r="O932">
        <v>2023</v>
      </c>
      <c r="P932" s="29" t="s">
        <v>716</v>
      </c>
      <c r="Q932" t="s">
        <v>736</v>
      </c>
      <c r="R932" t="s">
        <v>737</v>
      </c>
    </row>
    <row r="933" spans="1:18" x14ac:dyDescent="0.25">
      <c r="A933" s="9">
        <v>932</v>
      </c>
      <c r="B933" s="10">
        <v>45369</v>
      </c>
      <c r="C933" s="11" t="s">
        <v>119</v>
      </c>
      <c r="D933" s="11" t="s">
        <v>83</v>
      </c>
      <c r="E933" s="11" t="s">
        <v>84</v>
      </c>
      <c r="F933" s="11" t="s">
        <v>150</v>
      </c>
      <c r="G933" s="9">
        <v>3</v>
      </c>
      <c r="H933" s="26">
        <v>5500</v>
      </c>
      <c r="I933" s="9">
        <v>0</v>
      </c>
      <c r="J933" s="9">
        <f t="shared" si="28"/>
        <v>16500</v>
      </c>
      <c r="K933" s="9">
        <f t="shared" si="29"/>
        <v>16500</v>
      </c>
      <c r="L933" s="11" t="s">
        <v>76</v>
      </c>
      <c r="M933" s="11" t="s">
        <v>81</v>
      </c>
      <c r="N933">
        <v>3</v>
      </c>
      <c r="O933">
        <v>2024</v>
      </c>
      <c r="P933" s="29" t="s">
        <v>711</v>
      </c>
      <c r="Q933" t="s">
        <v>735</v>
      </c>
      <c r="R933" t="s">
        <v>738</v>
      </c>
    </row>
    <row r="934" spans="1:18" x14ac:dyDescent="0.25">
      <c r="A934" s="6">
        <v>933</v>
      </c>
      <c r="B934" s="7">
        <v>45422</v>
      </c>
      <c r="C934" s="8" t="s">
        <v>82</v>
      </c>
      <c r="D934" s="8" t="s">
        <v>117</v>
      </c>
      <c r="E934" s="8" t="s">
        <v>79</v>
      </c>
      <c r="F934" s="8" t="s">
        <v>80</v>
      </c>
      <c r="G934" s="6">
        <v>27</v>
      </c>
      <c r="H934" s="25">
        <v>9600</v>
      </c>
      <c r="I934" s="6">
        <v>0</v>
      </c>
      <c r="J934" s="6">
        <f t="shared" si="28"/>
        <v>259200</v>
      </c>
      <c r="K934" s="6">
        <f t="shared" si="29"/>
        <v>259200</v>
      </c>
      <c r="L934" s="8" t="s">
        <v>123</v>
      </c>
      <c r="M934" s="8" t="s">
        <v>77</v>
      </c>
      <c r="N934">
        <v>5</v>
      </c>
      <c r="O934">
        <v>2024</v>
      </c>
      <c r="P934" s="29" t="s">
        <v>732</v>
      </c>
      <c r="Q934" t="s">
        <v>736</v>
      </c>
      <c r="R934" t="s">
        <v>737</v>
      </c>
    </row>
    <row r="935" spans="1:18" x14ac:dyDescent="0.25">
      <c r="A935" s="9">
        <v>934</v>
      </c>
      <c r="B935" s="10">
        <v>45005</v>
      </c>
      <c r="C935" s="11" t="s">
        <v>97</v>
      </c>
      <c r="D935" s="11" t="s">
        <v>93</v>
      </c>
      <c r="E935" s="11" t="s">
        <v>74</v>
      </c>
      <c r="F935" s="11" t="s">
        <v>140</v>
      </c>
      <c r="G935" s="9">
        <v>17</v>
      </c>
      <c r="H935" s="26">
        <v>4600</v>
      </c>
      <c r="I935" s="9">
        <v>5</v>
      </c>
      <c r="J935" s="9">
        <f t="shared" si="28"/>
        <v>78200</v>
      </c>
      <c r="K935" s="9">
        <f t="shared" si="29"/>
        <v>74290</v>
      </c>
      <c r="L935" s="11" t="s">
        <v>76</v>
      </c>
      <c r="M935" s="11" t="s">
        <v>77</v>
      </c>
      <c r="N935">
        <v>3</v>
      </c>
      <c r="O935">
        <v>2023</v>
      </c>
      <c r="P935" s="29" t="s">
        <v>719</v>
      </c>
      <c r="Q935" t="s">
        <v>735</v>
      </c>
      <c r="R935" t="s">
        <v>739</v>
      </c>
    </row>
    <row r="936" spans="1:18" x14ac:dyDescent="0.25">
      <c r="A936" s="6">
        <v>935</v>
      </c>
      <c r="B936" s="7">
        <v>44954</v>
      </c>
      <c r="C936" s="8" t="s">
        <v>97</v>
      </c>
      <c r="D936" s="8" t="s">
        <v>83</v>
      </c>
      <c r="E936" s="8" t="s">
        <v>111</v>
      </c>
      <c r="F936" s="8" t="s">
        <v>132</v>
      </c>
      <c r="G936" s="6">
        <v>13</v>
      </c>
      <c r="H936" s="25">
        <v>8100</v>
      </c>
      <c r="I936" s="6">
        <v>0</v>
      </c>
      <c r="J936" s="6">
        <f t="shared" si="28"/>
        <v>105300</v>
      </c>
      <c r="K936" s="6">
        <f t="shared" si="29"/>
        <v>105300</v>
      </c>
      <c r="L936" s="8" t="s">
        <v>76</v>
      </c>
      <c r="M936" s="8" t="s">
        <v>77</v>
      </c>
      <c r="N936">
        <v>1</v>
      </c>
      <c r="O936">
        <v>2023</v>
      </c>
      <c r="P936" s="29" t="s">
        <v>721</v>
      </c>
      <c r="Q936" t="s">
        <v>735</v>
      </c>
      <c r="R936" t="s">
        <v>739</v>
      </c>
    </row>
    <row r="937" spans="1:18" x14ac:dyDescent="0.25">
      <c r="A937" s="9">
        <v>936</v>
      </c>
      <c r="B937" s="10">
        <v>45044</v>
      </c>
      <c r="C937" s="11" t="s">
        <v>108</v>
      </c>
      <c r="D937" s="11" t="s">
        <v>117</v>
      </c>
      <c r="E937" s="11" t="s">
        <v>111</v>
      </c>
      <c r="F937" s="11" t="s">
        <v>159</v>
      </c>
      <c r="G937" s="9">
        <v>6</v>
      </c>
      <c r="H937" s="26">
        <v>12200</v>
      </c>
      <c r="I937" s="9">
        <v>15</v>
      </c>
      <c r="J937" s="9">
        <f t="shared" si="28"/>
        <v>73200</v>
      </c>
      <c r="K937" s="9">
        <f t="shared" si="29"/>
        <v>62220</v>
      </c>
      <c r="L937" s="11" t="s">
        <v>76</v>
      </c>
      <c r="M937" s="11" t="s">
        <v>81</v>
      </c>
      <c r="N937">
        <v>4</v>
      </c>
      <c r="O937">
        <v>2023</v>
      </c>
      <c r="P937" s="29" t="s">
        <v>716</v>
      </c>
      <c r="Q937" t="s">
        <v>736</v>
      </c>
      <c r="R937" t="s">
        <v>739</v>
      </c>
    </row>
    <row r="938" spans="1:18" x14ac:dyDescent="0.25">
      <c r="A938" s="6">
        <v>937</v>
      </c>
      <c r="B938" s="7">
        <v>45375</v>
      </c>
      <c r="C938" s="8" t="s">
        <v>108</v>
      </c>
      <c r="D938" s="8" t="s">
        <v>83</v>
      </c>
      <c r="E938" s="8" t="s">
        <v>74</v>
      </c>
      <c r="F938" s="8" t="s">
        <v>142</v>
      </c>
      <c r="G938" s="6">
        <v>2</v>
      </c>
      <c r="H938" s="25">
        <v>11300</v>
      </c>
      <c r="I938" s="6">
        <v>0</v>
      </c>
      <c r="J938" s="6">
        <f t="shared" si="28"/>
        <v>22600</v>
      </c>
      <c r="K938" s="6">
        <f t="shared" si="29"/>
        <v>22600</v>
      </c>
      <c r="L938" s="8" t="s">
        <v>76</v>
      </c>
      <c r="M938" s="8" t="s">
        <v>81</v>
      </c>
      <c r="N938">
        <v>3</v>
      </c>
      <c r="O938">
        <v>2024</v>
      </c>
      <c r="P938" s="29" t="s">
        <v>711</v>
      </c>
      <c r="Q938" t="s">
        <v>735</v>
      </c>
      <c r="R938" t="s">
        <v>738</v>
      </c>
    </row>
    <row r="939" spans="1:18" x14ac:dyDescent="0.25">
      <c r="A939" s="9">
        <v>938</v>
      </c>
      <c r="B939" s="10">
        <v>45143</v>
      </c>
      <c r="C939" s="11" t="s">
        <v>82</v>
      </c>
      <c r="D939" s="11" t="s">
        <v>83</v>
      </c>
      <c r="E939" s="11" t="s">
        <v>84</v>
      </c>
      <c r="F939" s="11" t="s">
        <v>150</v>
      </c>
      <c r="G939" s="9">
        <v>1</v>
      </c>
      <c r="H939" s="26">
        <v>5900</v>
      </c>
      <c r="I939" s="9">
        <v>5</v>
      </c>
      <c r="J939" s="9">
        <f t="shared" si="28"/>
        <v>5900</v>
      </c>
      <c r="K939" s="9">
        <f t="shared" si="29"/>
        <v>5605</v>
      </c>
      <c r="L939" s="11" t="s">
        <v>187</v>
      </c>
      <c r="M939" s="11" t="s">
        <v>81</v>
      </c>
      <c r="N939">
        <v>8</v>
      </c>
      <c r="O939">
        <v>2023</v>
      </c>
      <c r="P939" s="29" t="s">
        <v>713</v>
      </c>
      <c r="Q939" t="s">
        <v>734</v>
      </c>
      <c r="R939" t="s">
        <v>738</v>
      </c>
    </row>
    <row r="940" spans="1:18" x14ac:dyDescent="0.25">
      <c r="A940" s="6">
        <v>939</v>
      </c>
      <c r="B940" s="7">
        <v>45323</v>
      </c>
      <c r="C940" s="8" t="s">
        <v>108</v>
      </c>
      <c r="D940" s="8" t="s">
        <v>109</v>
      </c>
      <c r="E940" s="8" t="s">
        <v>79</v>
      </c>
      <c r="F940" s="8" t="s">
        <v>80</v>
      </c>
      <c r="G940" s="6">
        <v>4</v>
      </c>
      <c r="H940" s="25">
        <v>8600</v>
      </c>
      <c r="I940" s="6">
        <v>5</v>
      </c>
      <c r="J940" s="6">
        <f t="shared" si="28"/>
        <v>34400</v>
      </c>
      <c r="K940" s="6">
        <f t="shared" si="29"/>
        <v>32680</v>
      </c>
      <c r="L940" s="8" t="s">
        <v>187</v>
      </c>
      <c r="M940" s="8" t="s">
        <v>77</v>
      </c>
      <c r="N940">
        <v>2</v>
      </c>
      <c r="O940">
        <v>2024</v>
      </c>
      <c r="P940" s="29" t="s">
        <v>729</v>
      </c>
      <c r="Q940" t="s">
        <v>735</v>
      </c>
      <c r="R940" t="s">
        <v>738</v>
      </c>
    </row>
    <row r="941" spans="1:18" x14ac:dyDescent="0.25">
      <c r="A941" s="9">
        <v>940</v>
      </c>
      <c r="B941" s="10">
        <v>45485</v>
      </c>
      <c r="C941" s="11" t="s">
        <v>101</v>
      </c>
      <c r="D941" s="11" t="s">
        <v>83</v>
      </c>
      <c r="E941" s="11" t="s">
        <v>79</v>
      </c>
      <c r="F941" s="11" t="s">
        <v>136</v>
      </c>
      <c r="G941" s="9">
        <v>25</v>
      </c>
      <c r="H941" s="26">
        <v>77500</v>
      </c>
      <c r="I941" s="9">
        <v>0</v>
      </c>
      <c r="J941" s="9">
        <f t="shared" si="28"/>
        <v>1937500</v>
      </c>
      <c r="K941" s="9">
        <f t="shared" si="29"/>
        <v>1937500</v>
      </c>
      <c r="L941" s="11" t="s">
        <v>187</v>
      </c>
      <c r="M941" s="11" t="s">
        <v>81</v>
      </c>
      <c r="N941">
        <v>7</v>
      </c>
      <c r="O941">
        <v>2024</v>
      </c>
      <c r="P941" s="29" t="s">
        <v>712</v>
      </c>
      <c r="Q941" t="s">
        <v>734</v>
      </c>
      <c r="R941" t="s">
        <v>737</v>
      </c>
    </row>
    <row r="942" spans="1:18" x14ac:dyDescent="0.25">
      <c r="A942" s="6">
        <v>941</v>
      </c>
      <c r="B942" s="7">
        <v>44966</v>
      </c>
      <c r="C942" s="8" t="s">
        <v>106</v>
      </c>
      <c r="D942" s="8" t="s">
        <v>73</v>
      </c>
      <c r="E942" s="8" t="s">
        <v>79</v>
      </c>
      <c r="F942" s="8" t="s">
        <v>115</v>
      </c>
      <c r="G942" s="6">
        <v>1</v>
      </c>
      <c r="H942" s="25">
        <v>8200</v>
      </c>
      <c r="I942" s="6">
        <v>15</v>
      </c>
      <c r="J942" s="6">
        <f t="shared" si="28"/>
        <v>8200</v>
      </c>
      <c r="K942" s="6">
        <f t="shared" si="29"/>
        <v>6970</v>
      </c>
      <c r="L942" s="8" t="s">
        <v>76</v>
      </c>
      <c r="M942" s="8" t="s">
        <v>81</v>
      </c>
      <c r="N942">
        <v>2</v>
      </c>
      <c r="O942">
        <v>2023</v>
      </c>
      <c r="P942" s="29" t="s">
        <v>717</v>
      </c>
      <c r="Q942" t="s">
        <v>735</v>
      </c>
      <c r="R942" t="s">
        <v>738</v>
      </c>
    </row>
    <row r="943" spans="1:18" x14ac:dyDescent="0.25">
      <c r="A943" s="9">
        <v>942</v>
      </c>
      <c r="B943" s="10">
        <v>45612</v>
      </c>
      <c r="C943" s="11" t="s">
        <v>97</v>
      </c>
      <c r="D943" s="11" t="s">
        <v>109</v>
      </c>
      <c r="E943" s="11" t="s">
        <v>79</v>
      </c>
      <c r="F943" s="11" t="s">
        <v>122</v>
      </c>
      <c r="G943" s="9">
        <v>3</v>
      </c>
      <c r="H943" s="26">
        <v>19500</v>
      </c>
      <c r="I943" s="9">
        <v>20</v>
      </c>
      <c r="J943" s="9">
        <f t="shared" si="28"/>
        <v>58500</v>
      </c>
      <c r="K943" s="9">
        <f t="shared" si="29"/>
        <v>46800</v>
      </c>
      <c r="L943" s="11" t="s">
        <v>76</v>
      </c>
      <c r="M943" s="31" t="s">
        <v>695</v>
      </c>
      <c r="N943">
        <v>11</v>
      </c>
      <c r="O943">
        <v>2024</v>
      </c>
      <c r="P943" s="29" t="s">
        <v>714</v>
      </c>
      <c r="Q943" t="s">
        <v>733</v>
      </c>
      <c r="R943" t="s">
        <v>738</v>
      </c>
    </row>
    <row r="944" spans="1:18" x14ac:dyDescent="0.25">
      <c r="A944" s="6">
        <v>943</v>
      </c>
      <c r="B944" s="7">
        <v>44938</v>
      </c>
      <c r="C944" s="8" t="s">
        <v>88</v>
      </c>
      <c r="D944" s="8" t="s">
        <v>93</v>
      </c>
      <c r="E944" s="8" t="s">
        <v>84</v>
      </c>
      <c r="F944" s="8" t="s">
        <v>90</v>
      </c>
      <c r="G944" s="6">
        <v>26</v>
      </c>
      <c r="H944" s="25">
        <v>2000</v>
      </c>
      <c r="I944" s="6">
        <v>0</v>
      </c>
      <c r="J944" s="6">
        <f t="shared" si="28"/>
        <v>52000</v>
      </c>
      <c r="K944" s="6">
        <f t="shared" si="29"/>
        <v>52000</v>
      </c>
      <c r="L944" s="8" t="s">
        <v>123</v>
      </c>
      <c r="M944" s="8" t="s">
        <v>77</v>
      </c>
      <c r="N944">
        <v>1</v>
      </c>
      <c r="O944">
        <v>2023</v>
      </c>
      <c r="P944" s="29" t="s">
        <v>721</v>
      </c>
      <c r="Q944" t="s">
        <v>735</v>
      </c>
      <c r="R944" t="s">
        <v>739</v>
      </c>
    </row>
    <row r="945" spans="1:18" x14ac:dyDescent="0.25">
      <c r="A945" s="9">
        <v>944</v>
      </c>
      <c r="B945" s="10">
        <v>45115</v>
      </c>
      <c r="C945" s="11" t="s">
        <v>97</v>
      </c>
      <c r="D945" s="11" t="s">
        <v>117</v>
      </c>
      <c r="E945" s="11" t="s">
        <v>74</v>
      </c>
      <c r="F945" s="11" t="s">
        <v>142</v>
      </c>
      <c r="G945" s="9">
        <v>42</v>
      </c>
      <c r="H945" s="26">
        <v>10800</v>
      </c>
      <c r="I945" s="9">
        <v>0</v>
      </c>
      <c r="J945" s="9">
        <f t="shared" si="28"/>
        <v>453600</v>
      </c>
      <c r="K945" s="9">
        <f t="shared" si="29"/>
        <v>453600</v>
      </c>
      <c r="L945" s="11" t="s">
        <v>76</v>
      </c>
      <c r="M945" s="11" t="s">
        <v>91</v>
      </c>
      <c r="N945">
        <v>7</v>
      </c>
      <c r="O945">
        <v>2023</v>
      </c>
      <c r="P945" s="29" t="s">
        <v>724</v>
      </c>
      <c r="Q945" t="s">
        <v>734</v>
      </c>
      <c r="R945" t="s">
        <v>737</v>
      </c>
    </row>
    <row r="946" spans="1:18" x14ac:dyDescent="0.25">
      <c r="A946" s="6">
        <v>945</v>
      </c>
      <c r="B946" s="7">
        <v>45396</v>
      </c>
      <c r="C946" s="8" t="s">
        <v>106</v>
      </c>
      <c r="D946" s="8" t="s">
        <v>73</v>
      </c>
      <c r="E946" s="8" t="s">
        <v>74</v>
      </c>
      <c r="F946" s="8" t="s">
        <v>212</v>
      </c>
      <c r="G946" s="6">
        <v>14</v>
      </c>
      <c r="H946" s="25">
        <v>7300</v>
      </c>
      <c r="I946" s="6">
        <v>0</v>
      </c>
      <c r="J946" s="6">
        <f t="shared" si="28"/>
        <v>102200</v>
      </c>
      <c r="K946" s="6">
        <f t="shared" si="29"/>
        <v>102200</v>
      </c>
      <c r="L946" s="8" t="s">
        <v>76</v>
      </c>
      <c r="M946" s="8" t="s">
        <v>91</v>
      </c>
      <c r="N946">
        <v>4</v>
      </c>
      <c r="O946">
        <v>2024</v>
      </c>
      <c r="P946" s="29" t="s">
        <v>722</v>
      </c>
      <c r="Q946" t="s">
        <v>736</v>
      </c>
      <c r="R946" t="s">
        <v>739</v>
      </c>
    </row>
    <row r="947" spans="1:18" x14ac:dyDescent="0.25">
      <c r="A947" s="9">
        <v>946</v>
      </c>
      <c r="B947" s="10">
        <v>45656</v>
      </c>
      <c r="C947" s="11" t="s">
        <v>82</v>
      </c>
      <c r="D947" s="11" t="s">
        <v>93</v>
      </c>
      <c r="E947" s="11" t="s">
        <v>84</v>
      </c>
      <c r="F947" s="11" t="s">
        <v>134</v>
      </c>
      <c r="G947" s="9">
        <v>39</v>
      </c>
      <c r="H947" s="26">
        <v>10900</v>
      </c>
      <c r="I947" s="9">
        <v>15</v>
      </c>
      <c r="J947" s="9">
        <f t="shared" si="28"/>
        <v>425100</v>
      </c>
      <c r="K947" s="9">
        <f t="shared" si="29"/>
        <v>361335</v>
      </c>
      <c r="L947" s="11" t="s">
        <v>76</v>
      </c>
      <c r="M947" s="11" t="s">
        <v>91</v>
      </c>
      <c r="N947">
        <v>12</v>
      </c>
      <c r="O947">
        <v>2024</v>
      </c>
      <c r="P947" s="29" t="s">
        <v>728</v>
      </c>
      <c r="Q947" t="s">
        <v>733</v>
      </c>
      <c r="R947" t="s">
        <v>737</v>
      </c>
    </row>
    <row r="948" spans="1:18" x14ac:dyDescent="0.25">
      <c r="A948" s="6">
        <v>947</v>
      </c>
      <c r="B948" s="7">
        <v>45608</v>
      </c>
      <c r="C948" s="8" t="s">
        <v>108</v>
      </c>
      <c r="D948" s="8" t="s">
        <v>117</v>
      </c>
      <c r="E948" s="8" t="s">
        <v>84</v>
      </c>
      <c r="F948" s="8" t="s">
        <v>200</v>
      </c>
      <c r="G948" s="6">
        <v>43</v>
      </c>
      <c r="H948" s="25">
        <v>3700</v>
      </c>
      <c r="I948" s="6">
        <v>0</v>
      </c>
      <c r="J948" s="6">
        <f t="shared" si="28"/>
        <v>159100</v>
      </c>
      <c r="K948" s="6">
        <f t="shared" si="29"/>
        <v>159100</v>
      </c>
      <c r="L948" s="8" t="s">
        <v>76</v>
      </c>
      <c r="M948" s="8" t="s">
        <v>96</v>
      </c>
      <c r="N948">
        <v>11</v>
      </c>
      <c r="O948">
        <v>2024</v>
      </c>
      <c r="P948" s="29" t="s">
        <v>714</v>
      </c>
      <c r="Q948" t="s">
        <v>733</v>
      </c>
      <c r="R948" t="s">
        <v>739</v>
      </c>
    </row>
    <row r="949" spans="1:18" x14ac:dyDescent="0.25">
      <c r="A949" s="9">
        <v>948</v>
      </c>
      <c r="B949" s="10">
        <v>45550</v>
      </c>
      <c r="C949" s="11" t="s">
        <v>124</v>
      </c>
      <c r="D949" s="11" t="s">
        <v>83</v>
      </c>
      <c r="E949" s="11" t="s">
        <v>111</v>
      </c>
      <c r="F949" s="11" t="s">
        <v>156</v>
      </c>
      <c r="G949" s="9">
        <v>46</v>
      </c>
      <c r="H949" s="26">
        <v>43100</v>
      </c>
      <c r="I949" s="9">
        <v>0</v>
      </c>
      <c r="J949" s="9">
        <f t="shared" si="28"/>
        <v>1982600</v>
      </c>
      <c r="K949" s="9">
        <f t="shared" si="29"/>
        <v>1982600</v>
      </c>
      <c r="L949" s="11" t="s">
        <v>123</v>
      </c>
      <c r="M949" s="11" t="s">
        <v>81</v>
      </c>
      <c r="N949">
        <v>9</v>
      </c>
      <c r="O949">
        <v>2024</v>
      </c>
      <c r="P949" s="29" t="s">
        <v>731</v>
      </c>
      <c r="Q949" t="s">
        <v>734</v>
      </c>
      <c r="R949" t="s">
        <v>737</v>
      </c>
    </row>
    <row r="950" spans="1:18" x14ac:dyDescent="0.25">
      <c r="A950" s="6">
        <v>949</v>
      </c>
      <c r="B950" s="7">
        <v>45558</v>
      </c>
      <c r="C950" s="8" t="s">
        <v>97</v>
      </c>
      <c r="D950" s="8" t="s">
        <v>117</v>
      </c>
      <c r="E950" s="8" t="s">
        <v>84</v>
      </c>
      <c r="F950" s="8" t="s">
        <v>148</v>
      </c>
      <c r="G950" s="6">
        <v>40</v>
      </c>
      <c r="H950" s="25">
        <v>5200</v>
      </c>
      <c r="I950" s="6">
        <v>0</v>
      </c>
      <c r="J950" s="6">
        <f t="shared" si="28"/>
        <v>208000</v>
      </c>
      <c r="K950" s="6">
        <f t="shared" si="29"/>
        <v>208000</v>
      </c>
      <c r="L950" s="8" t="s">
        <v>76</v>
      </c>
      <c r="M950" s="8" t="s">
        <v>81</v>
      </c>
      <c r="N950">
        <v>9</v>
      </c>
      <c r="O950">
        <v>2024</v>
      </c>
      <c r="P950" s="29" t="s">
        <v>731</v>
      </c>
      <c r="Q950" t="s">
        <v>734</v>
      </c>
      <c r="R950" t="s">
        <v>737</v>
      </c>
    </row>
    <row r="951" spans="1:18" x14ac:dyDescent="0.25">
      <c r="A951" s="9">
        <v>950</v>
      </c>
      <c r="B951" s="10">
        <v>45437</v>
      </c>
      <c r="C951" s="11" t="s">
        <v>101</v>
      </c>
      <c r="D951" s="11" t="s">
        <v>109</v>
      </c>
      <c r="E951" s="11" t="s">
        <v>84</v>
      </c>
      <c r="F951" s="11" t="s">
        <v>148</v>
      </c>
      <c r="G951" s="9">
        <v>3</v>
      </c>
      <c r="H951" s="26">
        <v>4600</v>
      </c>
      <c r="I951" s="9">
        <v>15</v>
      </c>
      <c r="J951" s="9">
        <f t="shared" si="28"/>
        <v>13800</v>
      </c>
      <c r="K951" s="9">
        <f t="shared" si="29"/>
        <v>11730</v>
      </c>
      <c r="L951" s="11" t="s">
        <v>76</v>
      </c>
      <c r="M951" s="11" t="s">
        <v>91</v>
      </c>
      <c r="N951">
        <v>5</v>
      </c>
      <c r="O951">
        <v>2024</v>
      </c>
      <c r="P951" s="29" t="s">
        <v>732</v>
      </c>
      <c r="Q951" t="s">
        <v>736</v>
      </c>
      <c r="R951" t="s">
        <v>738</v>
      </c>
    </row>
    <row r="952" spans="1:18" x14ac:dyDescent="0.25">
      <c r="A952" s="6">
        <v>951</v>
      </c>
      <c r="B952" s="7">
        <v>44997</v>
      </c>
      <c r="C952" s="8" t="s">
        <v>108</v>
      </c>
      <c r="D952" s="8" t="s">
        <v>117</v>
      </c>
      <c r="E952" s="8" t="s">
        <v>74</v>
      </c>
      <c r="F952" s="8" t="s">
        <v>94</v>
      </c>
      <c r="G952" s="6">
        <v>27</v>
      </c>
      <c r="H952" s="25">
        <v>36100</v>
      </c>
      <c r="I952" s="6">
        <v>20</v>
      </c>
      <c r="J952" s="6">
        <f t="shared" si="28"/>
        <v>974700</v>
      </c>
      <c r="K952" s="6">
        <f t="shared" si="29"/>
        <v>779760</v>
      </c>
      <c r="L952" s="8" t="s">
        <v>76</v>
      </c>
      <c r="M952" s="8" t="s">
        <v>96</v>
      </c>
      <c r="N952">
        <v>3</v>
      </c>
      <c r="O952">
        <v>2023</v>
      </c>
      <c r="P952" s="29" t="s">
        <v>719</v>
      </c>
      <c r="Q952" t="s">
        <v>735</v>
      </c>
      <c r="R952" t="s">
        <v>737</v>
      </c>
    </row>
    <row r="953" spans="1:18" x14ac:dyDescent="0.25">
      <c r="A953" s="9">
        <v>952</v>
      </c>
      <c r="B953" s="10">
        <v>44951</v>
      </c>
      <c r="C953" s="11" t="s">
        <v>106</v>
      </c>
      <c r="D953" s="11" t="s">
        <v>117</v>
      </c>
      <c r="E953" s="11" t="s">
        <v>74</v>
      </c>
      <c r="F953" s="11" t="s">
        <v>75</v>
      </c>
      <c r="G953" s="9">
        <v>4</v>
      </c>
      <c r="H953" s="26">
        <v>20900</v>
      </c>
      <c r="I953" s="9">
        <v>20</v>
      </c>
      <c r="J953" s="9">
        <f t="shared" si="28"/>
        <v>83600</v>
      </c>
      <c r="K953" s="9">
        <f t="shared" si="29"/>
        <v>66880</v>
      </c>
      <c r="L953" s="11" t="s">
        <v>107</v>
      </c>
      <c r="M953" s="11" t="s">
        <v>81</v>
      </c>
      <c r="N953">
        <v>1</v>
      </c>
      <c r="O953">
        <v>2023</v>
      </c>
      <c r="P953" s="29" t="s">
        <v>721</v>
      </c>
      <c r="Q953" t="s">
        <v>735</v>
      </c>
      <c r="R953" t="s">
        <v>739</v>
      </c>
    </row>
    <row r="954" spans="1:18" x14ac:dyDescent="0.25">
      <c r="A954" s="6">
        <v>953</v>
      </c>
      <c r="B954" s="7">
        <v>45394</v>
      </c>
      <c r="C954" s="8" t="s">
        <v>106</v>
      </c>
      <c r="D954" s="8" t="s">
        <v>93</v>
      </c>
      <c r="E954" s="8" t="s">
        <v>111</v>
      </c>
      <c r="F954" s="8" t="s">
        <v>132</v>
      </c>
      <c r="G954" s="6">
        <v>41</v>
      </c>
      <c r="H954" s="25">
        <v>7100</v>
      </c>
      <c r="I954" s="6">
        <v>0</v>
      </c>
      <c r="J954" s="6">
        <f t="shared" si="28"/>
        <v>291100</v>
      </c>
      <c r="K954" s="6">
        <f t="shared" si="29"/>
        <v>291100</v>
      </c>
      <c r="L954" s="8" t="s">
        <v>76</v>
      </c>
      <c r="M954" s="8" t="s">
        <v>91</v>
      </c>
      <c r="N954">
        <v>4</v>
      </c>
      <c r="O954">
        <v>2024</v>
      </c>
      <c r="P954" s="29" t="s">
        <v>722</v>
      </c>
      <c r="Q954" t="s">
        <v>736</v>
      </c>
      <c r="R954" t="s">
        <v>737</v>
      </c>
    </row>
    <row r="955" spans="1:18" x14ac:dyDescent="0.25">
      <c r="A955" s="9">
        <v>954</v>
      </c>
      <c r="B955" s="10">
        <v>45124</v>
      </c>
      <c r="C955" s="11" t="s">
        <v>78</v>
      </c>
      <c r="D955" s="11" t="s">
        <v>109</v>
      </c>
      <c r="E955" s="11" t="s">
        <v>84</v>
      </c>
      <c r="F955" s="11" t="s">
        <v>128</v>
      </c>
      <c r="G955" s="9">
        <v>38</v>
      </c>
      <c r="H955" s="26">
        <v>3900</v>
      </c>
      <c r="I955" s="9">
        <v>0</v>
      </c>
      <c r="J955" s="9">
        <f t="shared" si="28"/>
        <v>148200</v>
      </c>
      <c r="K955" s="9">
        <f t="shared" si="29"/>
        <v>148200</v>
      </c>
      <c r="L955" s="11" t="s">
        <v>76</v>
      </c>
      <c r="M955" s="11" t="s">
        <v>81</v>
      </c>
      <c r="N955">
        <v>7</v>
      </c>
      <c r="O955">
        <v>2023</v>
      </c>
      <c r="P955" s="29" t="s">
        <v>724</v>
      </c>
      <c r="Q955" t="s">
        <v>734</v>
      </c>
      <c r="R955" t="s">
        <v>739</v>
      </c>
    </row>
    <row r="956" spans="1:18" x14ac:dyDescent="0.25">
      <c r="A956" s="6">
        <v>955</v>
      </c>
      <c r="B956" s="7">
        <v>45357</v>
      </c>
      <c r="C956" s="8" t="s">
        <v>97</v>
      </c>
      <c r="D956" s="8" t="s">
        <v>83</v>
      </c>
      <c r="E956" s="8" t="s">
        <v>111</v>
      </c>
      <c r="F956" s="8" t="s">
        <v>135</v>
      </c>
      <c r="G956" s="6">
        <v>13</v>
      </c>
      <c r="H956" s="25">
        <v>108200</v>
      </c>
      <c r="I956" s="6">
        <v>10</v>
      </c>
      <c r="J956" s="6">
        <f t="shared" si="28"/>
        <v>1406600</v>
      </c>
      <c r="K956" s="6">
        <f t="shared" si="29"/>
        <v>1265940</v>
      </c>
      <c r="L956" s="8" t="s">
        <v>76</v>
      </c>
      <c r="M956" s="8" t="s">
        <v>81</v>
      </c>
      <c r="N956">
        <v>3</v>
      </c>
      <c r="O956">
        <v>2024</v>
      </c>
      <c r="P956" s="29" t="s">
        <v>711</v>
      </c>
      <c r="Q956" t="s">
        <v>735</v>
      </c>
      <c r="R956" t="s">
        <v>737</v>
      </c>
    </row>
    <row r="957" spans="1:18" x14ac:dyDescent="0.25">
      <c r="A957" s="9">
        <v>956</v>
      </c>
      <c r="B957" s="10">
        <v>45269</v>
      </c>
      <c r="C957" s="11" t="s">
        <v>101</v>
      </c>
      <c r="D957" s="11" t="s">
        <v>117</v>
      </c>
      <c r="E957" s="11" t="s">
        <v>102</v>
      </c>
      <c r="F957" s="11" t="s">
        <v>197</v>
      </c>
      <c r="G957" s="9">
        <v>13</v>
      </c>
      <c r="H957" s="26">
        <v>4300</v>
      </c>
      <c r="I957" s="9">
        <v>0</v>
      </c>
      <c r="J957" s="9">
        <f t="shared" si="28"/>
        <v>55900</v>
      </c>
      <c r="K957" s="9">
        <f t="shared" si="29"/>
        <v>55900</v>
      </c>
      <c r="L957" s="11" t="s">
        <v>76</v>
      </c>
      <c r="M957" s="11" t="s">
        <v>91</v>
      </c>
      <c r="N957">
        <v>12</v>
      </c>
      <c r="O957">
        <v>2023</v>
      </c>
      <c r="P957" s="29" t="s">
        <v>725</v>
      </c>
      <c r="Q957" t="s">
        <v>733</v>
      </c>
      <c r="R957" t="s">
        <v>739</v>
      </c>
    </row>
    <row r="958" spans="1:18" x14ac:dyDescent="0.25">
      <c r="A958" s="6">
        <v>957</v>
      </c>
      <c r="B958" s="7">
        <v>45383</v>
      </c>
      <c r="C958" s="8" t="s">
        <v>114</v>
      </c>
      <c r="D958" s="8" t="s">
        <v>83</v>
      </c>
      <c r="E958" s="8" t="s">
        <v>84</v>
      </c>
      <c r="F958" s="8" t="s">
        <v>85</v>
      </c>
      <c r="G958" s="12">
        <v>33</v>
      </c>
      <c r="H958" s="25">
        <v>5500</v>
      </c>
      <c r="I958" s="6">
        <v>20</v>
      </c>
      <c r="J958" s="6">
        <f t="shared" si="28"/>
        <v>181500</v>
      </c>
      <c r="K958" s="6">
        <f t="shared" si="29"/>
        <v>145200</v>
      </c>
      <c r="L958" s="8" t="s">
        <v>76</v>
      </c>
      <c r="M958" s="8" t="s">
        <v>91</v>
      </c>
      <c r="N958">
        <v>4</v>
      </c>
      <c r="O958">
        <v>2024</v>
      </c>
      <c r="P958" s="29" t="s">
        <v>722</v>
      </c>
      <c r="Q958" t="s">
        <v>736</v>
      </c>
      <c r="R958" t="s">
        <v>739</v>
      </c>
    </row>
    <row r="959" spans="1:18" x14ac:dyDescent="0.25">
      <c r="A959" s="9">
        <v>958</v>
      </c>
      <c r="B959" s="10">
        <v>45175</v>
      </c>
      <c r="C959" s="11" t="s">
        <v>119</v>
      </c>
      <c r="D959" s="11" t="s">
        <v>73</v>
      </c>
      <c r="E959" s="11" t="s">
        <v>111</v>
      </c>
      <c r="F959" s="11" t="s">
        <v>165</v>
      </c>
      <c r="G959" s="9">
        <v>49</v>
      </c>
      <c r="H959" s="26">
        <v>20000</v>
      </c>
      <c r="I959" s="9">
        <v>10</v>
      </c>
      <c r="J959" s="9">
        <f t="shared" si="28"/>
        <v>980000</v>
      </c>
      <c r="K959" s="9">
        <f t="shared" si="29"/>
        <v>882000</v>
      </c>
      <c r="L959" s="11" t="s">
        <v>107</v>
      </c>
      <c r="M959" s="11" t="s">
        <v>96</v>
      </c>
      <c r="N959">
        <v>9</v>
      </c>
      <c r="O959">
        <v>2023</v>
      </c>
      <c r="P959" s="29" t="s">
        <v>715</v>
      </c>
      <c r="Q959" t="s">
        <v>734</v>
      </c>
      <c r="R959" t="s">
        <v>737</v>
      </c>
    </row>
    <row r="960" spans="1:18" x14ac:dyDescent="0.25">
      <c r="A960" s="6">
        <v>959</v>
      </c>
      <c r="B960" s="7">
        <v>45389</v>
      </c>
      <c r="C960" s="8" t="s">
        <v>108</v>
      </c>
      <c r="D960" s="8" t="s">
        <v>93</v>
      </c>
      <c r="E960" s="8" t="s">
        <v>84</v>
      </c>
      <c r="F960" s="8" t="s">
        <v>134</v>
      </c>
      <c r="G960" s="6">
        <v>20</v>
      </c>
      <c r="H960" s="25">
        <v>9600</v>
      </c>
      <c r="I960" s="6">
        <v>10</v>
      </c>
      <c r="J960" s="6">
        <f t="shared" si="28"/>
        <v>192000</v>
      </c>
      <c r="K960" s="6">
        <f t="shared" si="29"/>
        <v>172800</v>
      </c>
      <c r="L960" s="8" t="s">
        <v>76</v>
      </c>
      <c r="M960" s="31" t="s">
        <v>695</v>
      </c>
      <c r="N960">
        <v>4</v>
      </c>
      <c r="O960">
        <v>2024</v>
      </c>
      <c r="P960" s="29" t="s">
        <v>722</v>
      </c>
      <c r="Q960" t="s">
        <v>736</v>
      </c>
      <c r="R960" t="s">
        <v>739</v>
      </c>
    </row>
    <row r="961" spans="1:18" x14ac:dyDescent="0.25">
      <c r="A961" s="9">
        <v>960</v>
      </c>
      <c r="B961" s="10">
        <v>45635</v>
      </c>
      <c r="C961" s="11" t="s">
        <v>119</v>
      </c>
      <c r="D961" s="11" t="s">
        <v>73</v>
      </c>
      <c r="E961" s="11" t="s">
        <v>74</v>
      </c>
      <c r="F961" s="11" t="s">
        <v>142</v>
      </c>
      <c r="G961" s="9">
        <v>13</v>
      </c>
      <c r="H961" s="26">
        <v>12900</v>
      </c>
      <c r="I961" s="9">
        <v>0</v>
      </c>
      <c r="J961" s="9">
        <f t="shared" si="28"/>
        <v>167700</v>
      </c>
      <c r="K961" s="9">
        <f t="shared" si="29"/>
        <v>167700</v>
      </c>
      <c r="L961" s="11" t="s">
        <v>76</v>
      </c>
      <c r="M961" s="11" t="s">
        <v>81</v>
      </c>
      <c r="N961">
        <v>12</v>
      </c>
      <c r="O961">
        <v>2024</v>
      </c>
      <c r="P961" s="29" t="s">
        <v>728</v>
      </c>
      <c r="Q961" t="s">
        <v>733</v>
      </c>
      <c r="R961" t="s">
        <v>739</v>
      </c>
    </row>
    <row r="962" spans="1:18" x14ac:dyDescent="0.25">
      <c r="A962" s="6">
        <v>961</v>
      </c>
      <c r="B962" s="7">
        <v>44940</v>
      </c>
      <c r="C962" s="8" t="s">
        <v>82</v>
      </c>
      <c r="D962" s="8" t="s">
        <v>117</v>
      </c>
      <c r="E962" s="8" t="s">
        <v>111</v>
      </c>
      <c r="F962" s="8" t="s">
        <v>165</v>
      </c>
      <c r="G962" s="6">
        <v>26</v>
      </c>
      <c r="H962" s="25">
        <v>20400</v>
      </c>
      <c r="I962" s="6">
        <v>5</v>
      </c>
      <c r="J962" s="6">
        <f t="shared" ref="J962:J1025" si="30">G962*H962</f>
        <v>530400</v>
      </c>
      <c r="K962" s="6">
        <f t="shared" ref="K962:K1025" si="31">J962*(1-I962/100)</f>
        <v>503880</v>
      </c>
      <c r="L962" s="8" t="s">
        <v>123</v>
      </c>
      <c r="M962" s="8" t="s">
        <v>96</v>
      </c>
      <c r="N962">
        <v>1</v>
      </c>
      <c r="O962">
        <v>2023</v>
      </c>
      <c r="P962" s="29" t="s">
        <v>721</v>
      </c>
      <c r="Q962" t="s">
        <v>735</v>
      </c>
      <c r="R962" t="s">
        <v>737</v>
      </c>
    </row>
    <row r="963" spans="1:18" x14ac:dyDescent="0.25">
      <c r="A963" s="9">
        <v>962</v>
      </c>
      <c r="B963" s="10">
        <v>45428</v>
      </c>
      <c r="C963" s="11" t="s">
        <v>101</v>
      </c>
      <c r="D963" s="11" t="s">
        <v>93</v>
      </c>
      <c r="E963" s="11" t="s">
        <v>79</v>
      </c>
      <c r="F963" s="11" t="s">
        <v>115</v>
      </c>
      <c r="G963" s="9">
        <v>8</v>
      </c>
      <c r="H963" s="26">
        <v>10100</v>
      </c>
      <c r="I963" s="9">
        <v>0</v>
      </c>
      <c r="J963" s="9">
        <f t="shared" si="30"/>
        <v>80800</v>
      </c>
      <c r="K963" s="9">
        <f t="shared" si="31"/>
        <v>80800</v>
      </c>
      <c r="L963" s="11" t="s">
        <v>76</v>
      </c>
      <c r="M963" s="11" t="s">
        <v>81</v>
      </c>
      <c r="N963">
        <v>5</v>
      </c>
      <c r="O963">
        <v>2024</v>
      </c>
      <c r="P963" s="29" t="s">
        <v>732</v>
      </c>
      <c r="Q963" t="s">
        <v>736</v>
      </c>
      <c r="R963" t="s">
        <v>739</v>
      </c>
    </row>
    <row r="964" spans="1:18" x14ac:dyDescent="0.25">
      <c r="A964" s="6">
        <v>963</v>
      </c>
      <c r="B964" s="7">
        <v>45373</v>
      </c>
      <c r="C964" s="8" t="s">
        <v>101</v>
      </c>
      <c r="D964" s="8" t="s">
        <v>117</v>
      </c>
      <c r="E964" s="8" t="s">
        <v>102</v>
      </c>
      <c r="F964" s="8" t="s">
        <v>197</v>
      </c>
      <c r="G964" s="6">
        <v>24</v>
      </c>
      <c r="H964" s="25">
        <v>4000</v>
      </c>
      <c r="I964" s="6">
        <v>5</v>
      </c>
      <c r="J964" s="6">
        <f t="shared" si="30"/>
        <v>96000</v>
      </c>
      <c r="K964" s="6">
        <f t="shared" si="31"/>
        <v>91200</v>
      </c>
      <c r="L964" s="8" t="s">
        <v>187</v>
      </c>
      <c r="M964" s="8" t="s">
        <v>91</v>
      </c>
      <c r="N964">
        <v>3</v>
      </c>
      <c r="O964">
        <v>2024</v>
      </c>
      <c r="P964" s="29" t="s">
        <v>711</v>
      </c>
      <c r="Q964" t="s">
        <v>735</v>
      </c>
      <c r="R964" t="s">
        <v>739</v>
      </c>
    </row>
    <row r="965" spans="1:18" x14ac:dyDescent="0.25">
      <c r="A965" s="9">
        <v>964</v>
      </c>
      <c r="B965" s="10">
        <v>45208</v>
      </c>
      <c r="C965" s="11" t="s">
        <v>106</v>
      </c>
      <c r="D965" s="11" t="s">
        <v>83</v>
      </c>
      <c r="E965" s="11" t="s">
        <v>79</v>
      </c>
      <c r="F965" s="11" t="s">
        <v>120</v>
      </c>
      <c r="G965" s="9">
        <v>44</v>
      </c>
      <c r="H965" s="26">
        <v>6300</v>
      </c>
      <c r="I965" s="9">
        <v>0</v>
      </c>
      <c r="J965" s="9">
        <f t="shared" si="30"/>
        <v>277200</v>
      </c>
      <c r="K965" s="9">
        <f t="shared" si="31"/>
        <v>277200</v>
      </c>
      <c r="L965" s="11" t="s">
        <v>76</v>
      </c>
      <c r="M965" s="11" t="s">
        <v>81</v>
      </c>
      <c r="N965">
        <v>10</v>
      </c>
      <c r="O965">
        <v>2023</v>
      </c>
      <c r="P965" s="29" t="s">
        <v>726</v>
      </c>
      <c r="Q965" t="s">
        <v>733</v>
      </c>
      <c r="R965" t="s">
        <v>737</v>
      </c>
    </row>
    <row r="966" spans="1:18" x14ac:dyDescent="0.25">
      <c r="A966" s="6">
        <v>965</v>
      </c>
      <c r="B966" s="7">
        <v>45605</v>
      </c>
      <c r="C966" s="8" t="s">
        <v>119</v>
      </c>
      <c r="D966" s="8" t="s">
        <v>109</v>
      </c>
      <c r="E966" s="8" t="s">
        <v>74</v>
      </c>
      <c r="F966" s="8" t="s">
        <v>75</v>
      </c>
      <c r="G966" s="6">
        <v>43</v>
      </c>
      <c r="H966" s="25">
        <v>23100</v>
      </c>
      <c r="I966" s="6">
        <v>0</v>
      </c>
      <c r="J966" s="6">
        <f t="shared" si="30"/>
        <v>993300</v>
      </c>
      <c r="K966" s="6">
        <f t="shared" si="31"/>
        <v>993300</v>
      </c>
      <c r="L966" s="8" t="s">
        <v>187</v>
      </c>
      <c r="M966" s="8" t="s">
        <v>77</v>
      </c>
      <c r="N966">
        <v>11</v>
      </c>
      <c r="O966">
        <v>2024</v>
      </c>
      <c r="P966" s="29" t="s">
        <v>714</v>
      </c>
      <c r="Q966" t="s">
        <v>733</v>
      </c>
      <c r="R966" t="s">
        <v>737</v>
      </c>
    </row>
    <row r="967" spans="1:18" x14ac:dyDescent="0.25">
      <c r="A967" s="9">
        <v>966</v>
      </c>
      <c r="B967" s="10">
        <v>45050</v>
      </c>
      <c r="C967" s="11" t="s">
        <v>114</v>
      </c>
      <c r="D967" s="11" t="s">
        <v>83</v>
      </c>
      <c r="E967" s="11" t="s">
        <v>102</v>
      </c>
      <c r="F967" s="11" t="s">
        <v>137</v>
      </c>
      <c r="G967" s="9">
        <v>13</v>
      </c>
      <c r="H967" s="26">
        <v>2300</v>
      </c>
      <c r="I967" s="9">
        <v>20</v>
      </c>
      <c r="J967" s="9">
        <f t="shared" si="30"/>
        <v>29900</v>
      </c>
      <c r="K967" s="9">
        <f t="shared" si="31"/>
        <v>23920</v>
      </c>
      <c r="L967" s="11" t="s">
        <v>107</v>
      </c>
      <c r="M967" s="11" t="s">
        <v>81</v>
      </c>
      <c r="N967">
        <v>5</v>
      </c>
      <c r="O967">
        <v>2023</v>
      </c>
      <c r="P967" s="29" t="s">
        <v>730</v>
      </c>
      <c r="Q967" t="s">
        <v>736</v>
      </c>
      <c r="R967" t="s">
        <v>738</v>
      </c>
    </row>
    <row r="968" spans="1:18" x14ac:dyDescent="0.25">
      <c r="A968" s="6">
        <v>967</v>
      </c>
      <c r="B968" s="7">
        <v>45364</v>
      </c>
      <c r="C968" s="8" t="s">
        <v>101</v>
      </c>
      <c r="D968" s="8" t="s">
        <v>117</v>
      </c>
      <c r="E968" s="8" t="s">
        <v>102</v>
      </c>
      <c r="F968" s="8" t="s">
        <v>151</v>
      </c>
      <c r="G968" s="6">
        <v>47</v>
      </c>
      <c r="H968" s="25">
        <v>7800</v>
      </c>
      <c r="I968" s="6">
        <v>0</v>
      </c>
      <c r="J968" s="6">
        <f t="shared" si="30"/>
        <v>366600</v>
      </c>
      <c r="K968" s="6">
        <f t="shared" si="31"/>
        <v>366600</v>
      </c>
      <c r="L968" s="8" t="s">
        <v>76</v>
      </c>
      <c r="M968" s="8" t="s">
        <v>77</v>
      </c>
      <c r="N968">
        <v>3</v>
      </c>
      <c r="O968">
        <v>2024</v>
      </c>
      <c r="P968" s="29" t="s">
        <v>711</v>
      </c>
      <c r="Q968" t="s">
        <v>735</v>
      </c>
      <c r="R968" t="s">
        <v>737</v>
      </c>
    </row>
    <row r="969" spans="1:18" x14ac:dyDescent="0.25">
      <c r="A969" s="9">
        <v>968</v>
      </c>
      <c r="B969" s="10">
        <v>45578</v>
      </c>
      <c r="C969" s="11" t="s">
        <v>124</v>
      </c>
      <c r="D969" s="11" t="s">
        <v>117</v>
      </c>
      <c r="E969" s="11" t="s">
        <v>84</v>
      </c>
      <c r="F969" s="11" t="s">
        <v>134</v>
      </c>
      <c r="G969" s="9">
        <v>48</v>
      </c>
      <c r="H969" s="26">
        <v>10400</v>
      </c>
      <c r="I969" s="9">
        <v>0</v>
      </c>
      <c r="J969" s="9">
        <f t="shared" si="30"/>
        <v>499200</v>
      </c>
      <c r="K969" s="9">
        <f t="shared" si="31"/>
        <v>499200</v>
      </c>
      <c r="L969" s="11" t="s">
        <v>76</v>
      </c>
      <c r="M969" s="11" t="s">
        <v>96</v>
      </c>
      <c r="N969">
        <v>10</v>
      </c>
      <c r="O969">
        <v>2024</v>
      </c>
      <c r="P969" s="29" t="s">
        <v>709</v>
      </c>
      <c r="Q969" t="s">
        <v>733</v>
      </c>
      <c r="R969" t="s">
        <v>737</v>
      </c>
    </row>
    <row r="970" spans="1:18" x14ac:dyDescent="0.25">
      <c r="A970" s="6">
        <v>969</v>
      </c>
      <c r="B970" s="7">
        <v>45099</v>
      </c>
      <c r="C970" s="8" t="s">
        <v>119</v>
      </c>
      <c r="D970" s="8" t="s">
        <v>73</v>
      </c>
      <c r="E970" s="8" t="s">
        <v>79</v>
      </c>
      <c r="F970" s="8" t="s">
        <v>131</v>
      </c>
      <c r="G970" s="6">
        <v>27</v>
      </c>
      <c r="H970" s="25">
        <v>131200</v>
      </c>
      <c r="I970" s="6">
        <v>15</v>
      </c>
      <c r="J970" s="6">
        <f t="shared" si="30"/>
        <v>3542400</v>
      </c>
      <c r="K970" s="6">
        <f t="shared" si="31"/>
        <v>3011040</v>
      </c>
      <c r="L970" s="8" t="s">
        <v>76</v>
      </c>
      <c r="M970" s="8" t="s">
        <v>96</v>
      </c>
      <c r="N970">
        <v>6</v>
      </c>
      <c r="O970">
        <v>2023</v>
      </c>
      <c r="P970" s="29" t="s">
        <v>723</v>
      </c>
      <c r="Q970" t="s">
        <v>736</v>
      </c>
      <c r="R970" t="s">
        <v>737</v>
      </c>
    </row>
    <row r="971" spans="1:18" x14ac:dyDescent="0.25">
      <c r="A971" s="9">
        <v>970</v>
      </c>
      <c r="B971" s="10">
        <v>45368</v>
      </c>
      <c r="C971" s="11" t="s">
        <v>108</v>
      </c>
      <c r="D971" s="11" t="s">
        <v>109</v>
      </c>
      <c r="E971" s="11" t="s">
        <v>74</v>
      </c>
      <c r="F971" s="11" t="s">
        <v>142</v>
      </c>
      <c r="G971" s="9">
        <v>13</v>
      </c>
      <c r="H971" s="26">
        <v>12900</v>
      </c>
      <c r="I971" s="9">
        <v>5</v>
      </c>
      <c r="J971" s="9">
        <f t="shared" si="30"/>
        <v>167700</v>
      </c>
      <c r="K971" s="9">
        <f t="shared" si="31"/>
        <v>159315</v>
      </c>
      <c r="L971" s="11" t="s">
        <v>76</v>
      </c>
      <c r="M971" s="11" t="s">
        <v>77</v>
      </c>
      <c r="N971">
        <v>3</v>
      </c>
      <c r="O971">
        <v>2024</v>
      </c>
      <c r="P971" s="29" t="s">
        <v>711</v>
      </c>
      <c r="Q971" t="s">
        <v>735</v>
      </c>
      <c r="R971" t="s">
        <v>739</v>
      </c>
    </row>
    <row r="972" spans="1:18" x14ac:dyDescent="0.25">
      <c r="A972" s="6">
        <v>971</v>
      </c>
      <c r="B972" s="7">
        <v>45359</v>
      </c>
      <c r="C972" s="8" t="s">
        <v>106</v>
      </c>
      <c r="D972" s="8" t="s">
        <v>109</v>
      </c>
      <c r="E972" s="8" t="s">
        <v>84</v>
      </c>
      <c r="F972" s="8" t="s">
        <v>206</v>
      </c>
      <c r="G972" s="6">
        <v>49</v>
      </c>
      <c r="H972" s="25">
        <v>15200</v>
      </c>
      <c r="I972" s="6">
        <v>5</v>
      </c>
      <c r="J972" s="6">
        <f t="shared" si="30"/>
        <v>744800</v>
      </c>
      <c r="K972" s="6">
        <f t="shared" si="31"/>
        <v>707560</v>
      </c>
      <c r="L972" s="8" t="s">
        <v>76</v>
      </c>
      <c r="M972" s="8" t="s">
        <v>91</v>
      </c>
      <c r="N972">
        <v>3</v>
      </c>
      <c r="O972">
        <v>2024</v>
      </c>
      <c r="P972" s="29" t="s">
        <v>711</v>
      </c>
      <c r="Q972" t="s">
        <v>735</v>
      </c>
      <c r="R972" t="s">
        <v>737</v>
      </c>
    </row>
    <row r="973" spans="1:18" x14ac:dyDescent="0.25">
      <c r="A973" s="9">
        <v>972</v>
      </c>
      <c r="B973" s="10">
        <v>45361</v>
      </c>
      <c r="C973" s="11" t="s">
        <v>124</v>
      </c>
      <c r="D973" s="11" t="s">
        <v>73</v>
      </c>
      <c r="E973" s="11" t="s">
        <v>84</v>
      </c>
      <c r="F973" s="11" t="s">
        <v>150</v>
      </c>
      <c r="G973" s="9">
        <v>25</v>
      </c>
      <c r="H973" s="26">
        <v>5400</v>
      </c>
      <c r="I973" s="9">
        <v>0</v>
      </c>
      <c r="J973" s="9">
        <f t="shared" si="30"/>
        <v>135000</v>
      </c>
      <c r="K973" s="9">
        <f t="shared" si="31"/>
        <v>135000</v>
      </c>
      <c r="L973" s="11" t="s">
        <v>76</v>
      </c>
      <c r="M973" s="11" t="s">
        <v>77</v>
      </c>
      <c r="N973">
        <v>3</v>
      </c>
      <c r="O973">
        <v>2024</v>
      </c>
      <c r="P973" s="29" t="s">
        <v>711</v>
      </c>
      <c r="Q973" t="s">
        <v>735</v>
      </c>
      <c r="R973" t="s">
        <v>739</v>
      </c>
    </row>
    <row r="974" spans="1:18" x14ac:dyDescent="0.25">
      <c r="A974" s="6">
        <v>973</v>
      </c>
      <c r="B974" s="7">
        <v>44957</v>
      </c>
      <c r="C974" s="8" t="s">
        <v>124</v>
      </c>
      <c r="D974" s="8" t="s">
        <v>109</v>
      </c>
      <c r="E974" s="8" t="s">
        <v>111</v>
      </c>
      <c r="F974" s="8" t="s">
        <v>159</v>
      </c>
      <c r="G974" s="6">
        <v>7</v>
      </c>
      <c r="H974" s="25">
        <v>12800</v>
      </c>
      <c r="I974" s="6">
        <v>20</v>
      </c>
      <c r="J974" s="6">
        <f t="shared" si="30"/>
        <v>89600</v>
      </c>
      <c r="K974" s="6">
        <f t="shared" si="31"/>
        <v>71680</v>
      </c>
      <c r="L974" s="8" t="s">
        <v>76</v>
      </c>
      <c r="M974" s="8" t="s">
        <v>96</v>
      </c>
      <c r="N974">
        <v>1</v>
      </c>
      <c r="O974">
        <v>2023</v>
      </c>
      <c r="P974" s="29" t="s">
        <v>721</v>
      </c>
      <c r="Q974" t="s">
        <v>735</v>
      </c>
      <c r="R974" t="s">
        <v>739</v>
      </c>
    </row>
    <row r="975" spans="1:18" x14ac:dyDescent="0.25">
      <c r="A975" s="9">
        <v>974</v>
      </c>
      <c r="B975" s="10">
        <v>45139</v>
      </c>
      <c r="C975" s="11" t="s">
        <v>124</v>
      </c>
      <c r="D975" s="11" t="s">
        <v>73</v>
      </c>
      <c r="E975" s="11" t="s">
        <v>79</v>
      </c>
      <c r="F975" s="11" t="s">
        <v>80</v>
      </c>
      <c r="G975" s="9">
        <v>1</v>
      </c>
      <c r="H975" s="26">
        <v>8800</v>
      </c>
      <c r="I975" s="9">
        <v>5</v>
      </c>
      <c r="J975" s="9">
        <f t="shared" si="30"/>
        <v>8800</v>
      </c>
      <c r="K975" s="9">
        <f t="shared" si="31"/>
        <v>8360</v>
      </c>
      <c r="L975" s="11" t="s">
        <v>76</v>
      </c>
      <c r="M975" s="11" t="s">
        <v>96</v>
      </c>
      <c r="N975">
        <v>8</v>
      </c>
      <c r="O975">
        <v>2023</v>
      </c>
      <c r="P975" s="29" t="s">
        <v>713</v>
      </c>
      <c r="Q975" t="s">
        <v>734</v>
      </c>
      <c r="R975" t="s">
        <v>738</v>
      </c>
    </row>
    <row r="976" spans="1:18" x14ac:dyDescent="0.25">
      <c r="A976" s="6">
        <v>975</v>
      </c>
      <c r="B976" s="7">
        <v>45411</v>
      </c>
      <c r="C976" s="8" t="s">
        <v>88</v>
      </c>
      <c r="D976" s="8" t="s">
        <v>93</v>
      </c>
      <c r="E976" s="8" t="s">
        <v>111</v>
      </c>
      <c r="F976" s="8" t="s">
        <v>132</v>
      </c>
      <c r="G976" s="6">
        <v>22</v>
      </c>
      <c r="H976" s="25">
        <v>7400</v>
      </c>
      <c r="I976" s="6">
        <v>0</v>
      </c>
      <c r="J976" s="6">
        <f t="shared" si="30"/>
        <v>162800</v>
      </c>
      <c r="K976" s="6">
        <f t="shared" si="31"/>
        <v>162800</v>
      </c>
      <c r="L976" s="8" t="s">
        <v>123</v>
      </c>
      <c r="M976" s="8" t="s">
        <v>81</v>
      </c>
      <c r="N976">
        <v>4</v>
      </c>
      <c r="O976">
        <v>2024</v>
      </c>
      <c r="P976" s="29" t="s">
        <v>722</v>
      </c>
      <c r="Q976" t="s">
        <v>736</v>
      </c>
      <c r="R976" t="s">
        <v>739</v>
      </c>
    </row>
    <row r="977" spans="1:18" x14ac:dyDescent="0.25">
      <c r="A977" s="9">
        <v>976</v>
      </c>
      <c r="B977" s="10">
        <v>45637</v>
      </c>
      <c r="C977" s="11" t="s">
        <v>114</v>
      </c>
      <c r="D977" s="11" t="s">
        <v>83</v>
      </c>
      <c r="E977" s="11" t="s">
        <v>102</v>
      </c>
      <c r="F977" s="11" t="s">
        <v>138</v>
      </c>
      <c r="G977" s="9">
        <v>22</v>
      </c>
      <c r="H977" s="26">
        <v>7400</v>
      </c>
      <c r="I977" s="9">
        <v>5</v>
      </c>
      <c r="J977" s="9">
        <f t="shared" si="30"/>
        <v>162800</v>
      </c>
      <c r="K977" s="9">
        <f t="shared" si="31"/>
        <v>154660</v>
      </c>
      <c r="L977" s="11" t="s">
        <v>187</v>
      </c>
      <c r="M977" s="11" t="s">
        <v>77</v>
      </c>
      <c r="N977">
        <v>12</v>
      </c>
      <c r="O977">
        <v>2024</v>
      </c>
      <c r="P977" s="29" t="s">
        <v>728</v>
      </c>
      <c r="Q977" t="s">
        <v>733</v>
      </c>
      <c r="R977" t="s">
        <v>739</v>
      </c>
    </row>
    <row r="978" spans="1:18" x14ac:dyDescent="0.25">
      <c r="A978" s="9">
        <v>977</v>
      </c>
      <c r="B978" s="10">
        <v>45642</v>
      </c>
      <c r="C978" s="11" t="s">
        <v>114</v>
      </c>
      <c r="D978" s="11" t="s">
        <v>109</v>
      </c>
      <c r="E978" s="11" t="s">
        <v>79</v>
      </c>
      <c r="F978" s="11" t="s">
        <v>131</v>
      </c>
      <c r="G978" s="9">
        <v>18</v>
      </c>
      <c r="H978" s="26">
        <v>134100</v>
      </c>
      <c r="I978" s="9">
        <v>0</v>
      </c>
      <c r="J978" s="9">
        <f t="shared" si="30"/>
        <v>2413800</v>
      </c>
      <c r="K978" s="9">
        <f t="shared" si="31"/>
        <v>2413800</v>
      </c>
      <c r="L978" s="11" t="s">
        <v>123</v>
      </c>
      <c r="M978" s="11" t="s">
        <v>81</v>
      </c>
      <c r="N978">
        <v>12</v>
      </c>
      <c r="O978">
        <v>2024</v>
      </c>
      <c r="P978" s="29" t="s">
        <v>728</v>
      </c>
      <c r="Q978" t="s">
        <v>733</v>
      </c>
      <c r="R978" t="s">
        <v>737</v>
      </c>
    </row>
    <row r="979" spans="1:18" x14ac:dyDescent="0.25">
      <c r="A979" s="6">
        <v>978</v>
      </c>
      <c r="B979" s="7">
        <v>45477</v>
      </c>
      <c r="C979" s="8" t="s">
        <v>124</v>
      </c>
      <c r="D979" s="8" t="s">
        <v>83</v>
      </c>
      <c r="E979" s="8" t="s">
        <v>102</v>
      </c>
      <c r="F979" s="8" t="s">
        <v>151</v>
      </c>
      <c r="G979" s="6">
        <v>1</v>
      </c>
      <c r="H979" s="25">
        <v>8000</v>
      </c>
      <c r="I979" s="6">
        <v>0</v>
      </c>
      <c r="J979" s="6">
        <f t="shared" si="30"/>
        <v>8000</v>
      </c>
      <c r="K979" s="6">
        <f t="shared" si="31"/>
        <v>8000</v>
      </c>
      <c r="L979" s="8" t="s">
        <v>123</v>
      </c>
      <c r="M979" s="8" t="s">
        <v>96</v>
      </c>
      <c r="N979">
        <v>7</v>
      </c>
      <c r="O979">
        <v>2024</v>
      </c>
      <c r="P979" s="29" t="s">
        <v>712</v>
      </c>
      <c r="Q979" t="s">
        <v>734</v>
      </c>
      <c r="R979" t="s">
        <v>738</v>
      </c>
    </row>
    <row r="980" spans="1:18" x14ac:dyDescent="0.25">
      <c r="A980" s="9">
        <v>979</v>
      </c>
      <c r="B980" s="10">
        <v>45575</v>
      </c>
      <c r="C980" s="11" t="s">
        <v>88</v>
      </c>
      <c r="D980" s="11" t="s">
        <v>73</v>
      </c>
      <c r="E980" s="11" t="s">
        <v>74</v>
      </c>
      <c r="F980" s="11" t="s">
        <v>99</v>
      </c>
      <c r="G980" s="9">
        <v>32</v>
      </c>
      <c r="H980" s="26">
        <v>3400</v>
      </c>
      <c r="I980" s="9">
        <v>0</v>
      </c>
      <c r="J980" s="9">
        <f t="shared" si="30"/>
        <v>108800</v>
      </c>
      <c r="K980" s="9">
        <f t="shared" si="31"/>
        <v>108800</v>
      </c>
      <c r="L980" s="11" t="s">
        <v>76</v>
      </c>
      <c r="M980" s="11" t="s">
        <v>77</v>
      </c>
      <c r="N980">
        <v>10</v>
      </c>
      <c r="O980">
        <v>2024</v>
      </c>
      <c r="P980" s="29" t="s">
        <v>709</v>
      </c>
      <c r="Q980" t="s">
        <v>733</v>
      </c>
      <c r="R980" t="s">
        <v>739</v>
      </c>
    </row>
    <row r="981" spans="1:18" x14ac:dyDescent="0.25">
      <c r="A981" s="6">
        <v>980</v>
      </c>
      <c r="B981" s="7">
        <v>45365</v>
      </c>
      <c r="C981" s="8" t="s">
        <v>119</v>
      </c>
      <c r="D981" s="8" t="s">
        <v>73</v>
      </c>
      <c r="E981" s="8" t="s">
        <v>111</v>
      </c>
      <c r="F981" s="8" t="s">
        <v>135</v>
      </c>
      <c r="G981" s="6">
        <v>46</v>
      </c>
      <c r="H981" s="25">
        <v>121000</v>
      </c>
      <c r="I981" s="6">
        <v>0</v>
      </c>
      <c r="J981" s="6">
        <f t="shared" si="30"/>
        <v>5566000</v>
      </c>
      <c r="K981" s="6">
        <f t="shared" si="31"/>
        <v>5566000</v>
      </c>
      <c r="L981" s="8" t="s">
        <v>76</v>
      </c>
      <c r="M981" s="8" t="s">
        <v>77</v>
      </c>
      <c r="N981">
        <v>3</v>
      </c>
      <c r="O981">
        <v>2024</v>
      </c>
      <c r="P981" s="29" t="s">
        <v>711</v>
      </c>
      <c r="Q981" t="s">
        <v>735</v>
      </c>
      <c r="R981" t="s">
        <v>737</v>
      </c>
    </row>
    <row r="982" spans="1:18" x14ac:dyDescent="0.25">
      <c r="A982" s="9">
        <v>981</v>
      </c>
      <c r="B982" s="10">
        <v>45436</v>
      </c>
      <c r="C982" s="11" t="s">
        <v>97</v>
      </c>
      <c r="D982" s="11" t="s">
        <v>117</v>
      </c>
      <c r="E982" s="11" t="s">
        <v>102</v>
      </c>
      <c r="F982" s="11" t="s">
        <v>197</v>
      </c>
      <c r="G982" s="9">
        <v>29</v>
      </c>
      <c r="H982" s="26">
        <v>3600</v>
      </c>
      <c r="I982" s="9">
        <v>15</v>
      </c>
      <c r="J982" s="9">
        <f t="shared" si="30"/>
        <v>104400</v>
      </c>
      <c r="K982" s="9">
        <f t="shared" si="31"/>
        <v>88740</v>
      </c>
      <c r="L982" s="11" t="s">
        <v>123</v>
      </c>
      <c r="M982" s="11" t="s">
        <v>91</v>
      </c>
      <c r="N982">
        <v>5</v>
      </c>
      <c r="O982">
        <v>2024</v>
      </c>
      <c r="P982" s="29" t="s">
        <v>732</v>
      </c>
      <c r="Q982" t="s">
        <v>736</v>
      </c>
      <c r="R982" t="s">
        <v>739</v>
      </c>
    </row>
    <row r="983" spans="1:18" x14ac:dyDescent="0.25">
      <c r="A983" s="6">
        <v>982</v>
      </c>
      <c r="B983" s="7">
        <v>45480</v>
      </c>
      <c r="C983" s="8" t="s">
        <v>106</v>
      </c>
      <c r="D983" s="8" t="s">
        <v>109</v>
      </c>
      <c r="E983" s="8" t="s">
        <v>84</v>
      </c>
      <c r="F983" s="8" t="s">
        <v>128</v>
      </c>
      <c r="G983" s="6">
        <v>43</v>
      </c>
      <c r="H983" s="25">
        <v>4600</v>
      </c>
      <c r="I983" s="6">
        <v>5</v>
      </c>
      <c r="J983" s="6">
        <f t="shared" si="30"/>
        <v>197800</v>
      </c>
      <c r="K983" s="6">
        <f t="shared" si="31"/>
        <v>187910</v>
      </c>
      <c r="L983" s="8" t="s">
        <v>187</v>
      </c>
      <c r="M983" s="8" t="s">
        <v>77</v>
      </c>
      <c r="N983">
        <v>7</v>
      </c>
      <c r="O983">
        <v>2024</v>
      </c>
      <c r="P983" s="29" t="s">
        <v>712</v>
      </c>
      <c r="Q983" t="s">
        <v>734</v>
      </c>
      <c r="R983" t="s">
        <v>739</v>
      </c>
    </row>
    <row r="984" spans="1:18" x14ac:dyDescent="0.25">
      <c r="A984" s="9">
        <v>983</v>
      </c>
      <c r="B984" s="10">
        <v>44956</v>
      </c>
      <c r="C984" s="11" t="s">
        <v>108</v>
      </c>
      <c r="D984" s="11" t="s">
        <v>117</v>
      </c>
      <c r="E984" s="11" t="s">
        <v>111</v>
      </c>
      <c r="F984" s="11" t="s">
        <v>135</v>
      </c>
      <c r="G984" s="9">
        <v>17</v>
      </c>
      <c r="H984" s="26">
        <v>109800</v>
      </c>
      <c r="I984" s="9">
        <v>15</v>
      </c>
      <c r="J984" s="9">
        <f t="shared" si="30"/>
        <v>1866600</v>
      </c>
      <c r="K984" s="9">
        <f t="shared" si="31"/>
        <v>1586610</v>
      </c>
      <c r="L984" s="11" t="s">
        <v>187</v>
      </c>
      <c r="M984" s="31" t="s">
        <v>695</v>
      </c>
      <c r="N984">
        <v>1</v>
      </c>
      <c r="O984">
        <v>2023</v>
      </c>
      <c r="P984" s="29" t="s">
        <v>721</v>
      </c>
      <c r="Q984" t="s">
        <v>735</v>
      </c>
      <c r="R984" t="s">
        <v>737</v>
      </c>
    </row>
    <row r="985" spans="1:18" x14ac:dyDescent="0.25">
      <c r="A985" s="6">
        <v>984</v>
      </c>
      <c r="B985" s="7">
        <v>45066</v>
      </c>
      <c r="C985" s="8" t="s">
        <v>82</v>
      </c>
      <c r="D985" s="8" t="s">
        <v>83</v>
      </c>
      <c r="E985" s="8" t="s">
        <v>79</v>
      </c>
      <c r="F985" s="8" t="s">
        <v>120</v>
      </c>
      <c r="G985" s="6">
        <v>37</v>
      </c>
      <c r="H985" s="25">
        <v>6700</v>
      </c>
      <c r="I985" s="6">
        <v>15</v>
      </c>
      <c r="J985" s="6">
        <f t="shared" si="30"/>
        <v>247900</v>
      </c>
      <c r="K985" s="6">
        <f t="shared" si="31"/>
        <v>210715</v>
      </c>
      <c r="L985" s="8" t="s">
        <v>187</v>
      </c>
      <c r="M985" s="8" t="s">
        <v>77</v>
      </c>
      <c r="N985">
        <v>5</v>
      </c>
      <c r="O985">
        <v>2023</v>
      </c>
      <c r="P985" s="29" t="s">
        <v>730</v>
      </c>
      <c r="Q985" t="s">
        <v>736</v>
      </c>
      <c r="R985" t="s">
        <v>737</v>
      </c>
    </row>
    <row r="986" spans="1:18" x14ac:dyDescent="0.25">
      <c r="A986" s="9">
        <v>985</v>
      </c>
      <c r="B986" s="10">
        <v>45278</v>
      </c>
      <c r="C986" s="11" t="s">
        <v>114</v>
      </c>
      <c r="D986" s="11" t="s">
        <v>83</v>
      </c>
      <c r="E986" s="11" t="s">
        <v>102</v>
      </c>
      <c r="F986" s="11" t="s">
        <v>151</v>
      </c>
      <c r="G986" s="9">
        <v>15</v>
      </c>
      <c r="H986" s="26">
        <v>8300</v>
      </c>
      <c r="I986" s="9">
        <v>0</v>
      </c>
      <c r="J986" s="9">
        <f t="shared" si="30"/>
        <v>124500</v>
      </c>
      <c r="K986" s="9">
        <f t="shared" si="31"/>
        <v>124500</v>
      </c>
      <c r="L986" s="11" t="s">
        <v>76</v>
      </c>
      <c r="M986" s="11" t="s">
        <v>96</v>
      </c>
      <c r="N986">
        <v>12</v>
      </c>
      <c r="O986">
        <v>2023</v>
      </c>
      <c r="P986" s="29" t="s">
        <v>725</v>
      </c>
      <c r="Q986" t="s">
        <v>733</v>
      </c>
      <c r="R986" t="s">
        <v>739</v>
      </c>
    </row>
    <row r="987" spans="1:18" x14ac:dyDescent="0.25">
      <c r="A987" s="6">
        <v>986</v>
      </c>
      <c r="B987" s="7">
        <v>45041</v>
      </c>
      <c r="C987" s="8" t="s">
        <v>97</v>
      </c>
      <c r="D987" s="8" t="s">
        <v>117</v>
      </c>
      <c r="E987" s="8" t="s">
        <v>102</v>
      </c>
      <c r="F987" s="8" t="s">
        <v>181</v>
      </c>
      <c r="G987" s="6">
        <v>8</v>
      </c>
      <c r="H987" s="25">
        <v>4900</v>
      </c>
      <c r="I987" s="6">
        <v>20</v>
      </c>
      <c r="J987" s="6">
        <f t="shared" si="30"/>
        <v>39200</v>
      </c>
      <c r="K987" s="6">
        <f t="shared" si="31"/>
        <v>31360</v>
      </c>
      <c r="L987" s="8" t="s">
        <v>76</v>
      </c>
      <c r="M987" s="8" t="s">
        <v>81</v>
      </c>
      <c r="N987">
        <v>4</v>
      </c>
      <c r="O987">
        <v>2023</v>
      </c>
      <c r="P987" s="29" t="s">
        <v>716</v>
      </c>
      <c r="Q987" t="s">
        <v>736</v>
      </c>
      <c r="R987" t="s">
        <v>738</v>
      </c>
    </row>
    <row r="988" spans="1:18" x14ac:dyDescent="0.25">
      <c r="A988" s="9">
        <v>987</v>
      </c>
      <c r="B988" s="10">
        <v>45247</v>
      </c>
      <c r="C988" s="11" t="s">
        <v>114</v>
      </c>
      <c r="D988" s="11" t="s">
        <v>93</v>
      </c>
      <c r="E988" s="11" t="s">
        <v>79</v>
      </c>
      <c r="F988" s="11" t="s">
        <v>179</v>
      </c>
      <c r="G988" s="9">
        <v>35</v>
      </c>
      <c r="H988" s="26">
        <v>2300</v>
      </c>
      <c r="I988" s="9">
        <v>5</v>
      </c>
      <c r="J988" s="9">
        <f t="shared" si="30"/>
        <v>80500</v>
      </c>
      <c r="K988" s="9">
        <f t="shared" si="31"/>
        <v>76475</v>
      </c>
      <c r="L988" s="11" t="s">
        <v>76</v>
      </c>
      <c r="M988" s="11" t="s">
        <v>91</v>
      </c>
      <c r="N988">
        <v>11</v>
      </c>
      <c r="O988">
        <v>2023</v>
      </c>
      <c r="P988" s="29" t="s">
        <v>718</v>
      </c>
      <c r="Q988" t="s">
        <v>733</v>
      </c>
      <c r="R988" t="s">
        <v>739</v>
      </c>
    </row>
    <row r="989" spans="1:18" x14ac:dyDescent="0.25">
      <c r="A989" s="6">
        <v>988</v>
      </c>
      <c r="B989" s="7">
        <v>45254</v>
      </c>
      <c r="C989" s="8" t="s">
        <v>88</v>
      </c>
      <c r="D989" s="8" t="s">
        <v>109</v>
      </c>
      <c r="E989" s="8" t="s">
        <v>102</v>
      </c>
      <c r="F989" s="8" t="s">
        <v>181</v>
      </c>
      <c r="G989" s="6">
        <v>1</v>
      </c>
      <c r="H989" s="25">
        <v>4200</v>
      </c>
      <c r="I989" s="6">
        <v>0</v>
      </c>
      <c r="J989" s="6">
        <f t="shared" si="30"/>
        <v>4200</v>
      </c>
      <c r="K989" s="6">
        <f t="shared" si="31"/>
        <v>4200</v>
      </c>
      <c r="L989" s="8" t="s">
        <v>76</v>
      </c>
      <c r="M989" s="8" t="s">
        <v>91</v>
      </c>
      <c r="N989">
        <v>11</v>
      </c>
      <c r="O989">
        <v>2023</v>
      </c>
      <c r="P989" s="29" t="s">
        <v>718</v>
      </c>
      <c r="Q989" t="s">
        <v>733</v>
      </c>
      <c r="R989" t="s">
        <v>738</v>
      </c>
    </row>
    <row r="990" spans="1:18" x14ac:dyDescent="0.25">
      <c r="A990" s="9">
        <v>989</v>
      </c>
      <c r="B990" s="10">
        <v>45075</v>
      </c>
      <c r="C990" s="11" t="s">
        <v>101</v>
      </c>
      <c r="D990" s="30" t="s">
        <v>703</v>
      </c>
      <c r="E990" s="11" t="s">
        <v>111</v>
      </c>
      <c r="F990" s="11" t="s">
        <v>159</v>
      </c>
      <c r="G990" s="9">
        <v>19</v>
      </c>
      <c r="H990" s="26">
        <v>11200</v>
      </c>
      <c r="I990" s="9">
        <v>10</v>
      </c>
      <c r="J990" s="9">
        <f t="shared" si="30"/>
        <v>212800</v>
      </c>
      <c r="K990" s="9">
        <f t="shared" si="31"/>
        <v>191520</v>
      </c>
      <c r="L990" s="11" t="s">
        <v>76</v>
      </c>
      <c r="M990" s="11" t="s">
        <v>77</v>
      </c>
      <c r="N990">
        <v>5</v>
      </c>
      <c r="O990">
        <v>2023</v>
      </c>
      <c r="P990" s="29" t="s">
        <v>730</v>
      </c>
      <c r="Q990" t="s">
        <v>736</v>
      </c>
      <c r="R990" t="s">
        <v>739</v>
      </c>
    </row>
    <row r="991" spans="1:18" x14ac:dyDescent="0.25">
      <c r="A991" s="6">
        <v>990</v>
      </c>
      <c r="B991" s="7">
        <v>45254</v>
      </c>
      <c r="C991" s="8" t="s">
        <v>101</v>
      </c>
      <c r="D991" s="8" t="s">
        <v>93</v>
      </c>
      <c r="E991" s="8" t="s">
        <v>79</v>
      </c>
      <c r="F991" s="8" t="s">
        <v>179</v>
      </c>
      <c r="G991" s="6">
        <v>46</v>
      </c>
      <c r="H991" s="25">
        <v>2900</v>
      </c>
      <c r="I991" s="6">
        <v>5</v>
      </c>
      <c r="J991" s="6">
        <f t="shared" si="30"/>
        <v>133400</v>
      </c>
      <c r="K991" s="6">
        <f t="shared" si="31"/>
        <v>126730</v>
      </c>
      <c r="L991" s="8" t="s">
        <v>76</v>
      </c>
      <c r="M991" s="8" t="s">
        <v>81</v>
      </c>
      <c r="N991">
        <v>11</v>
      </c>
      <c r="O991">
        <v>2023</v>
      </c>
      <c r="P991" s="29" t="s">
        <v>718</v>
      </c>
      <c r="Q991" t="s">
        <v>733</v>
      </c>
      <c r="R991" t="s">
        <v>739</v>
      </c>
    </row>
    <row r="992" spans="1:18" x14ac:dyDescent="0.25">
      <c r="A992" s="9">
        <v>991</v>
      </c>
      <c r="B992" s="10">
        <v>45225</v>
      </c>
      <c r="C992" s="11" t="s">
        <v>114</v>
      </c>
      <c r="D992" s="11" t="s">
        <v>73</v>
      </c>
      <c r="E992" s="11" t="s">
        <v>74</v>
      </c>
      <c r="F992" s="11" t="s">
        <v>142</v>
      </c>
      <c r="G992" s="9">
        <v>14</v>
      </c>
      <c r="H992" s="26">
        <v>13300</v>
      </c>
      <c r="I992" s="9">
        <v>15</v>
      </c>
      <c r="J992" s="9">
        <f t="shared" si="30"/>
        <v>186200</v>
      </c>
      <c r="K992" s="9">
        <f t="shared" si="31"/>
        <v>158270</v>
      </c>
      <c r="L992" s="11" t="s">
        <v>187</v>
      </c>
      <c r="M992" s="11" t="s">
        <v>81</v>
      </c>
      <c r="N992">
        <v>10</v>
      </c>
      <c r="O992">
        <v>2023</v>
      </c>
      <c r="P992" s="29" t="s">
        <v>726</v>
      </c>
      <c r="Q992" t="s">
        <v>733</v>
      </c>
      <c r="R992" t="s">
        <v>739</v>
      </c>
    </row>
    <row r="993" spans="1:18" x14ac:dyDescent="0.25">
      <c r="A993" s="6">
        <v>992</v>
      </c>
      <c r="B993" s="7">
        <v>44980</v>
      </c>
      <c r="C993" s="8" t="s">
        <v>108</v>
      </c>
      <c r="D993" s="8" t="s">
        <v>83</v>
      </c>
      <c r="E993" s="8" t="s">
        <v>111</v>
      </c>
      <c r="F993" s="8" t="s">
        <v>135</v>
      </c>
      <c r="G993" s="6">
        <v>43</v>
      </c>
      <c r="H993" s="25">
        <v>131800</v>
      </c>
      <c r="I993" s="6">
        <v>0</v>
      </c>
      <c r="J993" s="6">
        <f t="shared" si="30"/>
        <v>5667400</v>
      </c>
      <c r="K993" s="6">
        <f t="shared" si="31"/>
        <v>5667400</v>
      </c>
      <c r="L993" s="8" t="s">
        <v>107</v>
      </c>
      <c r="M993" s="8" t="s">
        <v>81</v>
      </c>
      <c r="N993">
        <v>2</v>
      </c>
      <c r="O993">
        <v>2023</v>
      </c>
      <c r="P993" s="29" t="s">
        <v>717</v>
      </c>
      <c r="Q993" t="s">
        <v>735</v>
      </c>
      <c r="R993" t="s">
        <v>737</v>
      </c>
    </row>
    <row r="994" spans="1:18" x14ac:dyDescent="0.25">
      <c r="A994" s="9">
        <v>993</v>
      </c>
      <c r="B994" s="10">
        <v>45488</v>
      </c>
      <c r="C994" s="11" t="s">
        <v>114</v>
      </c>
      <c r="D994" s="11" t="s">
        <v>117</v>
      </c>
      <c r="E994" s="11" t="s">
        <v>111</v>
      </c>
      <c r="F994" s="11" t="s">
        <v>159</v>
      </c>
      <c r="G994" s="9">
        <v>49</v>
      </c>
      <c r="H994" s="26">
        <v>13800</v>
      </c>
      <c r="I994" s="9">
        <v>10</v>
      </c>
      <c r="J994" s="9">
        <f t="shared" si="30"/>
        <v>676200</v>
      </c>
      <c r="K994" s="9">
        <f t="shared" si="31"/>
        <v>608580</v>
      </c>
      <c r="L994" s="11" t="s">
        <v>76</v>
      </c>
      <c r="M994" s="11" t="s">
        <v>77</v>
      </c>
      <c r="N994">
        <v>7</v>
      </c>
      <c r="O994">
        <v>2024</v>
      </c>
      <c r="P994" s="29" t="s">
        <v>712</v>
      </c>
      <c r="Q994" t="s">
        <v>734</v>
      </c>
      <c r="R994" t="s">
        <v>737</v>
      </c>
    </row>
    <row r="995" spans="1:18" x14ac:dyDescent="0.25">
      <c r="A995" s="6">
        <v>994</v>
      </c>
      <c r="B995" s="7">
        <v>45216</v>
      </c>
      <c r="C995" s="8" t="s">
        <v>101</v>
      </c>
      <c r="D995" s="8" t="s">
        <v>109</v>
      </c>
      <c r="E995" s="8" t="s">
        <v>102</v>
      </c>
      <c r="F995" s="8" t="s">
        <v>151</v>
      </c>
      <c r="G995" s="6">
        <v>21</v>
      </c>
      <c r="H995" s="25">
        <v>6900</v>
      </c>
      <c r="I995" s="6">
        <v>20</v>
      </c>
      <c r="J995" s="6">
        <f t="shared" si="30"/>
        <v>144900</v>
      </c>
      <c r="K995" s="6">
        <f t="shared" si="31"/>
        <v>115920</v>
      </c>
      <c r="L995" s="8" t="s">
        <v>187</v>
      </c>
      <c r="M995" s="8" t="s">
        <v>77</v>
      </c>
      <c r="N995">
        <v>10</v>
      </c>
      <c r="O995">
        <v>2023</v>
      </c>
      <c r="P995" s="29" t="s">
        <v>726</v>
      </c>
      <c r="Q995" t="s">
        <v>733</v>
      </c>
      <c r="R995" t="s">
        <v>739</v>
      </c>
    </row>
    <row r="996" spans="1:18" x14ac:dyDescent="0.25">
      <c r="A996" s="9">
        <v>995</v>
      </c>
      <c r="B996" s="10">
        <v>45653</v>
      </c>
      <c r="C996" s="11" t="s">
        <v>101</v>
      </c>
      <c r="D996" s="11" t="s">
        <v>83</v>
      </c>
      <c r="E996" s="11" t="s">
        <v>84</v>
      </c>
      <c r="F996" s="11" t="s">
        <v>128</v>
      </c>
      <c r="G996" s="9">
        <v>31</v>
      </c>
      <c r="H996" s="26">
        <v>4200</v>
      </c>
      <c r="I996" s="9">
        <v>0</v>
      </c>
      <c r="J996" s="9">
        <f t="shared" si="30"/>
        <v>130200</v>
      </c>
      <c r="K996" s="9">
        <f t="shared" si="31"/>
        <v>130200</v>
      </c>
      <c r="L996" s="11" t="s">
        <v>76</v>
      </c>
      <c r="M996" s="11" t="s">
        <v>81</v>
      </c>
      <c r="N996">
        <v>12</v>
      </c>
      <c r="O996">
        <v>2024</v>
      </c>
      <c r="P996" s="29" t="s">
        <v>728</v>
      </c>
      <c r="Q996" t="s">
        <v>733</v>
      </c>
      <c r="R996" t="s">
        <v>739</v>
      </c>
    </row>
    <row r="997" spans="1:18" x14ac:dyDescent="0.25">
      <c r="A997" s="6">
        <v>996</v>
      </c>
      <c r="B997" s="7">
        <v>45268</v>
      </c>
      <c r="C997" s="8" t="s">
        <v>106</v>
      </c>
      <c r="D997" s="8" t="s">
        <v>73</v>
      </c>
      <c r="E997" s="8" t="s">
        <v>74</v>
      </c>
      <c r="F997" s="8" t="s">
        <v>118</v>
      </c>
      <c r="G997" s="6">
        <v>10</v>
      </c>
      <c r="H997" s="25">
        <v>29900</v>
      </c>
      <c r="I997" s="6">
        <v>15</v>
      </c>
      <c r="J997" s="6">
        <f t="shared" si="30"/>
        <v>299000</v>
      </c>
      <c r="K997" s="6">
        <f t="shared" si="31"/>
        <v>254150</v>
      </c>
      <c r="L997" s="8" t="s">
        <v>76</v>
      </c>
      <c r="M997" s="8" t="s">
        <v>91</v>
      </c>
      <c r="N997">
        <v>12</v>
      </c>
      <c r="O997">
        <v>2023</v>
      </c>
      <c r="P997" s="29" t="s">
        <v>725</v>
      </c>
      <c r="Q997" t="s">
        <v>733</v>
      </c>
      <c r="R997" t="s">
        <v>737</v>
      </c>
    </row>
    <row r="998" spans="1:18" x14ac:dyDescent="0.25">
      <c r="A998" s="9">
        <v>997</v>
      </c>
      <c r="B998" s="10">
        <v>45099</v>
      </c>
      <c r="C998" s="11" t="s">
        <v>78</v>
      </c>
      <c r="D998" s="11" t="s">
        <v>73</v>
      </c>
      <c r="E998" s="11" t="s">
        <v>74</v>
      </c>
      <c r="F998" s="11" t="s">
        <v>99</v>
      </c>
      <c r="G998" s="9">
        <v>4</v>
      </c>
      <c r="H998" s="26">
        <v>3300</v>
      </c>
      <c r="I998" s="9">
        <v>10</v>
      </c>
      <c r="J998" s="9">
        <f t="shared" si="30"/>
        <v>13200</v>
      </c>
      <c r="K998" s="9">
        <f t="shared" si="31"/>
        <v>11880</v>
      </c>
      <c r="L998" s="11" t="s">
        <v>76</v>
      </c>
      <c r="M998" s="11" t="s">
        <v>96</v>
      </c>
      <c r="N998">
        <v>6</v>
      </c>
      <c r="O998">
        <v>2023</v>
      </c>
      <c r="P998" s="29" t="s">
        <v>723</v>
      </c>
      <c r="Q998" t="s">
        <v>736</v>
      </c>
      <c r="R998" t="s">
        <v>738</v>
      </c>
    </row>
    <row r="999" spans="1:18" x14ac:dyDescent="0.25">
      <c r="A999" s="6">
        <v>998</v>
      </c>
      <c r="B999" s="7">
        <v>45371</v>
      </c>
      <c r="C999" s="8" t="s">
        <v>108</v>
      </c>
      <c r="D999" s="8" t="s">
        <v>83</v>
      </c>
      <c r="E999" s="8" t="s">
        <v>84</v>
      </c>
      <c r="F999" s="8" t="s">
        <v>206</v>
      </c>
      <c r="G999" s="6">
        <v>26</v>
      </c>
      <c r="H999" s="25">
        <v>13000</v>
      </c>
      <c r="I999" s="6">
        <v>15</v>
      </c>
      <c r="J999" s="6">
        <f t="shared" si="30"/>
        <v>338000</v>
      </c>
      <c r="K999" s="6">
        <f t="shared" si="31"/>
        <v>287300</v>
      </c>
      <c r="L999" s="8" t="s">
        <v>76</v>
      </c>
      <c r="M999" s="8" t="s">
        <v>81</v>
      </c>
      <c r="N999">
        <v>3</v>
      </c>
      <c r="O999">
        <v>2024</v>
      </c>
      <c r="P999" s="29" t="s">
        <v>711</v>
      </c>
      <c r="Q999" t="s">
        <v>735</v>
      </c>
      <c r="R999" t="s">
        <v>737</v>
      </c>
    </row>
    <row r="1000" spans="1:18" x14ac:dyDescent="0.25">
      <c r="A1000" s="9">
        <v>999</v>
      </c>
      <c r="B1000" s="10">
        <v>45311</v>
      </c>
      <c r="C1000" s="11" t="s">
        <v>97</v>
      </c>
      <c r="D1000" s="11" t="s">
        <v>83</v>
      </c>
      <c r="E1000" s="11" t="s">
        <v>111</v>
      </c>
      <c r="F1000" s="11" t="s">
        <v>135</v>
      </c>
      <c r="G1000" s="9">
        <v>29</v>
      </c>
      <c r="H1000" s="26">
        <v>121700</v>
      </c>
      <c r="I1000" s="9">
        <v>0</v>
      </c>
      <c r="J1000" s="9">
        <f t="shared" si="30"/>
        <v>3529300</v>
      </c>
      <c r="K1000" s="9">
        <f t="shared" si="31"/>
        <v>3529300</v>
      </c>
      <c r="L1000" s="11" t="s">
        <v>76</v>
      </c>
      <c r="M1000" s="11" t="s">
        <v>77</v>
      </c>
      <c r="N1000">
        <v>1</v>
      </c>
      <c r="O1000">
        <v>2024</v>
      </c>
      <c r="P1000" s="29" t="s">
        <v>727</v>
      </c>
      <c r="Q1000" t="s">
        <v>735</v>
      </c>
      <c r="R1000" t="s">
        <v>737</v>
      </c>
    </row>
    <row r="1001" spans="1:18" x14ac:dyDescent="0.25">
      <c r="A1001" s="6">
        <v>1000</v>
      </c>
      <c r="B1001" s="7">
        <v>45011</v>
      </c>
      <c r="C1001" s="8" t="s">
        <v>97</v>
      </c>
      <c r="D1001" s="8" t="s">
        <v>83</v>
      </c>
      <c r="E1001" s="8" t="s">
        <v>102</v>
      </c>
      <c r="F1001" s="8" t="s">
        <v>181</v>
      </c>
      <c r="G1001" s="6">
        <v>37</v>
      </c>
      <c r="H1001" s="25">
        <v>4100</v>
      </c>
      <c r="I1001" s="6">
        <v>0</v>
      </c>
      <c r="J1001" s="6">
        <f t="shared" si="30"/>
        <v>151700</v>
      </c>
      <c r="K1001" s="6">
        <f t="shared" si="31"/>
        <v>151700</v>
      </c>
      <c r="L1001" s="8" t="s">
        <v>123</v>
      </c>
      <c r="M1001" s="8" t="s">
        <v>91</v>
      </c>
      <c r="N1001">
        <v>3</v>
      </c>
      <c r="O1001">
        <v>2023</v>
      </c>
      <c r="P1001" s="29" t="s">
        <v>719</v>
      </c>
      <c r="Q1001" t="s">
        <v>735</v>
      </c>
      <c r="R1001" t="s">
        <v>739</v>
      </c>
    </row>
    <row r="1002" spans="1:18" x14ac:dyDescent="0.25">
      <c r="A1002" s="9">
        <v>1001</v>
      </c>
      <c r="B1002" s="10">
        <v>45608</v>
      </c>
      <c r="C1002" s="11" t="s">
        <v>97</v>
      </c>
      <c r="D1002" s="11" t="s">
        <v>93</v>
      </c>
      <c r="E1002" s="11" t="s">
        <v>84</v>
      </c>
      <c r="F1002" s="11" t="s">
        <v>148</v>
      </c>
      <c r="G1002" s="9">
        <v>42</v>
      </c>
      <c r="H1002" s="26">
        <v>4900</v>
      </c>
      <c r="I1002" s="9">
        <v>10</v>
      </c>
      <c r="J1002" s="9">
        <f t="shared" si="30"/>
        <v>205800</v>
      </c>
      <c r="K1002" s="9">
        <f t="shared" si="31"/>
        <v>185220</v>
      </c>
      <c r="L1002" s="11" t="s">
        <v>187</v>
      </c>
      <c r="M1002" s="11" t="s">
        <v>96</v>
      </c>
      <c r="N1002">
        <v>11</v>
      </c>
      <c r="O1002">
        <v>2024</v>
      </c>
      <c r="P1002" s="29" t="s">
        <v>714</v>
      </c>
      <c r="Q1002" t="s">
        <v>733</v>
      </c>
      <c r="R1002" t="s">
        <v>739</v>
      </c>
    </row>
    <row r="1003" spans="1:18" x14ac:dyDescent="0.25">
      <c r="A1003" s="6">
        <v>1002</v>
      </c>
      <c r="B1003" s="7">
        <v>45174</v>
      </c>
      <c r="C1003" s="8" t="s">
        <v>97</v>
      </c>
      <c r="D1003" s="8" t="s">
        <v>117</v>
      </c>
      <c r="E1003" s="8" t="s">
        <v>79</v>
      </c>
      <c r="F1003" s="8" t="s">
        <v>122</v>
      </c>
      <c r="G1003" s="6">
        <v>45</v>
      </c>
      <c r="H1003" s="25">
        <v>18000</v>
      </c>
      <c r="I1003" s="6">
        <v>0</v>
      </c>
      <c r="J1003" s="6">
        <f t="shared" si="30"/>
        <v>810000</v>
      </c>
      <c r="K1003" s="6">
        <f t="shared" si="31"/>
        <v>810000</v>
      </c>
      <c r="L1003" s="8" t="s">
        <v>76</v>
      </c>
      <c r="M1003" s="8" t="s">
        <v>91</v>
      </c>
      <c r="N1003">
        <v>9</v>
      </c>
      <c r="O1003">
        <v>2023</v>
      </c>
      <c r="P1003" s="29" t="s">
        <v>715</v>
      </c>
      <c r="Q1003" t="s">
        <v>734</v>
      </c>
      <c r="R1003" t="s">
        <v>737</v>
      </c>
    </row>
    <row r="1004" spans="1:18" x14ac:dyDescent="0.25">
      <c r="A1004" s="9">
        <v>1003</v>
      </c>
      <c r="B1004" s="10">
        <v>45458</v>
      </c>
      <c r="C1004" s="11" t="s">
        <v>124</v>
      </c>
      <c r="D1004" s="11" t="s">
        <v>93</v>
      </c>
      <c r="E1004" s="11" t="s">
        <v>79</v>
      </c>
      <c r="F1004" s="11" t="s">
        <v>80</v>
      </c>
      <c r="G1004" s="9">
        <v>8</v>
      </c>
      <c r="H1004" s="26">
        <v>9700</v>
      </c>
      <c r="I1004" s="9">
        <v>0</v>
      </c>
      <c r="J1004" s="9">
        <f t="shared" si="30"/>
        <v>77600</v>
      </c>
      <c r="K1004" s="9">
        <f t="shared" si="31"/>
        <v>77600</v>
      </c>
      <c r="L1004" s="11" t="s">
        <v>76</v>
      </c>
      <c r="M1004" s="11" t="s">
        <v>81</v>
      </c>
      <c r="N1004">
        <v>6</v>
      </c>
      <c r="O1004">
        <v>2024</v>
      </c>
      <c r="P1004" s="29" t="s">
        <v>720</v>
      </c>
      <c r="Q1004" t="s">
        <v>736</v>
      </c>
      <c r="R1004" t="s">
        <v>739</v>
      </c>
    </row>
    <row r="1005" spans="1:18" x14ac:dyDescent="0.25">
      <c r="A1005" s="6">
        <v>1004</v>
      </c>
      <c r="B1005" s="7">
        <v>45495</v>
      </c>
      <c r="C1005" s="8" t="s">
        <v>119</v>
      </c>
      <c r="D1005" s="8" t="s">
        <v>117</v>
      </c>
      <c r="E1005" s="8" t="s">
        <v>79</v>
      </c>
      <c r="F1005" s="8" t="s">
        <v>136</v>
      </c>
      <c r="G1005" s="6">
        <v>14</v>
      </c>
      <c r="H1005" s="25">
        <v>79200</v>
      </c>
      <c r="I1005" s="6">
        <v>10</v>
      </c>
      <c r="J1005" s="6">
        <f t="shared" si="30"/>
        <v>1108800</v>
      </c>
      <c r="K1005" s="6">
        <f t="shared" si="31"/>
        <v>997920</v>
      </c>
      <c r="L1005" s="8" t="s">
        <v>187</v>
      </c>
      <c r="M1005" s="8" t="s">
        <v>77</v>
      </c>
      <c r="N1005">
        <v>7</v>
      </c>
      <c r="O1005">
        <v>2024</v>
      </c>
      <c r="P1005" s="29" t="s">
        <v>712</v>
      </c>
      <c r="Q1005" t="s">
        <v>734</v>
      </c>
      <c r="R1005" t="s">
        <v>737</v>
      </c>
    </row>
    <row r="1006" spans="1:18" x14ac:dyDescent="0.25">
      <c r="A1006" s="9">
        <v>1005</v>
      </c>
      <c r="B1006" s="10">
        <v>45189</v>
      </c>
      <c r="C1006" s="11" t="s">
        <v>78</v>
      </c>
      <c r="D1006" s="11" t="s">
        <v>73</v>
      </c>
      <c r="E1006" s="11" t="s">
        <v>79</v>
      </c>
      <c r="F1006" s="11" t="s">
        <v>179</v>
      </c>
      <c r="G1006" s="9">
        <v>35</v>
      </c>
      <c r="H1006" s="26">
        <v>2500</v>
      </c>
      <c r="I1006" s="9">
        <v>0</v>
      </c>
      <c r="J1006" s="9">
        <f t="shared" si="30"/>
        <v>87500</v>
      </c>
      <c r="K1006" s="9">
        <f t="shared" si="31"/>
        <v>87500</v>
      </c>
      <c r="L1006" s="11" t="s">
        <v>76</v>
      </c>
      <c r="M1006" s="11" t="s">
        <v>77</v>
      </c>
      <c r="N1006">
        <v>9</v>
      </c>
      <c r="O1006">
        <v>2023</v>
      </c>
      <c r="P1006" s="29" t="s">
        <v>715</v>
      </c>
      <c r="Q1006" t="s">
        <v>734</v>
      </c>
      <c r="R1006" t="s">
        <v>739</v>
      </c>
    </row>
    <row r="1007" spans="1:18" x14ac:dyDescent="0.25">
      <c r="A1007" s="6">
        <v>1006</v>
      </c>
      <c r="B1007" s="7">
        <v>45027</v>
      </c>
      <c r="C1007" s="8" t="s">
        <v>78</v>
      </c>
      <c r="D1007" s="8" t="s">
        <v>93</v>
      </c>
      <c r="E1007" s="8" t="s">
        <v>74</v>
      </c>
      <c r="F1007" s="8" t="s">
        <v>99</v>
      </c>
      <c r="G1007" s="6">
        <v>32</v>
      </c>
      <c r="H1007" s="25">
        <v>3300</v>
      </c>
      <c r="I1007" s="6">
        <v>10</v>
      </c>
      <c r="J1007" s="6">
        <f t="shared" si="30"/>
        <v>105600</v>
      </c>
      <c r="K1007" s="6">
        <f t="shared" si="31"/>
        <v>95040</v>
      </c>
      <c r="L1007" s="8" t="s">
        <v>187</v>
      </c>
      <c r="M1007" s="8" t="s">
        <v>96</v>
      </c>
      <c r="N1007">
        <v>4</v>
      </c>
      <c r="O1007">
        <v>2023</v>
      </c>
      <c r="P1007" s="29" t="s">
        <v>716</v>
      </c>
      <c r="Q1007" t="s">
        <v>736</v>
      </c>
      <c r="R1007" t="s">
        <v>739</v>
      </c>
    </row>
    <row r="1008" spans="1:18" x14ac:dyDescent="0.25">
      <c r="A1008" s="9">
        <v>1007</v>
      </c>
      <c r="B1008" s="10">
        <v>45419</v>
      </c>
      <c r="C1008" s="11" t="s">
        <v>82</v>
      </c>
      <c r="D1008" s="11" t="s">
        <v>109</v>
      </c>
      <c r="E1008" s="11" t="s">
        <v>79</v>
      </c>
      <c r="F1008" s="11" t="s">
        <v>136</v>
      </c>
      <c r="G1008" s="9">
        <v>13</v>
      </c>
      <c r="H1008" s="26">
        <v>81500</v>
      </c>
      <c r="I1008" s="9">
        <v>0</v>
      </c>
      <c r="J1008" s="9">
        <f t="shared" si="30"/>
        <v>1059500</v>
      </c>
      <c r="K1008" s="9">
        <f t="shared" si="31"/>
        <v>1059500</v>
      </c>
      <c r="L1008" s="11" t="s">
        <v>76</v>
      </c>
      <c r="M1008" s="11" t="s">
        <v>81</v>
      </c>
      <c r="N1008">
        <v>5</v>
      </c>
      <c r="O1008">
        <v>2024</v>
      </c>
      <c r="P1008" s="29" t="s">
        <v>732</v>
      </c>
      <c r="Q1008" t="s">
        <v>736</v>
      </c>
      <c r="R1008" t="s">
        <v>737</v>
      </c>
    </row>
    <row r="1009" spans="1:18" x14ac:dyDescent="0.25">
      <c r="A1009" s="6">
        <v>1008</v>
      </c>
      <c r="B1009" s="7">
        <v>45513</v>
      </c>
      <c r="C1009" s="8" t="s">
        <v>82</v>
      </c>
      <c r="D1009" s="8" t="s">
        <v>109</v>
      </c>
      <c r="E1009" s="8" t="s">
        <v>102</v>
      </c>
      <c r="F1009" s="8" t="s">
        <v>157</v>
      </c>
      <c r="G1009" s="6">
        <v>47</v>
      </c>
      <c r="H1009" s="25">
        <v>11600</v>
      </c>
      <c r="I1009" s="6">
        <v>10</v>
      </c>
      <c r="J1009" s="6">
        <f t="shared" si="30"/>
        <v>545200</v>
      </c>
      <c r="K1009" s="6">
        <f t="shared" si="31"/>
        <v>490680</v>
      </c>
      <c r="L1009" s="8" t="s">
        <v>76</v>
      </c>
      <c r="M1009" s="8" t="s">
        <v>77</v>
      </c>
      <c r="N1009">
        <v>8</v>
      </c>
      <c r="O1009">
        <v>2024</v>
      </c>
      <c r="P1009" s="29" t="s">
        <v>710</v>
      </c>
      <c r="Q1009" t="s">
        <v>734</v>
      </c>
      <c r="R1009" t="s">
        <v>737</v>
      </c>
    </row>
    <row r="1010" spans="1:18" x14ac:dyDescent="0.25">
      <c r="A1010" s="9">
        <v>1009</v>
      </c>
      <c r="B1010" s="10">
        <v>45188</v>
      </c>
      <c r="C1010" s="11" t="s">
        <v>101</v>
      </c>
      <c r="D1010" s="11" t="s">
        <v>83</v>
      </c>
      <c r="E1010" s="11" t="s">
        <v>84</v>
      </c>
      <c r="F1010" s="11" t="s">
        <v>148</v>
      </c>
      <c r="G1010" s="9">
        <v>17</v>
      </c>
      <c r="H1010" s="26">
        <v>4900</v>
      </c>
      <c r="I1010" s="9">
        <v>10</v>
      </c>
      <c r="J1010" s="9">
        <f t="shared" si="30"/>
        <v>83300</v>
      </c>
      <c r="K1010" s="9">
        <f t="shared" si="31"/>
        <v>74970</v>
      </c>
      <c r="L1010" s="11" t="s">
        <v>187</v>
      </c>
      <c r="M1010" s="11" t="s">
        <v>81</v>
      </c>
      <c r="N1010">
        <v>9</v>
      </c>
      <c r="O1010">
        <v>2023</v>
      </c>
      <c r="P1010" s="29" t="s">
        <v>715</v>
      </c>
      <c r="Q1010" t="s">
        <v>734</v>
      </c>
      <c r="R1010" t="s">
        <v>739</v>
      </c>
    </row>
    <row r="1011" spans="1:18" x14ac:dyDescent="0.25">
      <c r="A1011" s="6">
        <v>1010</v>
      </c>
      <c r="B1011" s="7">
        <v>45135</v>
      </c>
      <c r="C1011" s="8" t="s">
        <v>97</v>
      </c>
      <c r="D1011" s="8" t="s">
        <v>117</v>
      </c>
      <c r="E1011" s="8" t="s">
        <v>84</v>
      </c>
      <c r="F1011" s="8" t="s">
        <v>200</v>
      </c>
      <c r="G1011" s="6">
        <v>42</v>
      </c>
      <c r="H1011" s="25">
        <v>3300</v>
      </c>
      <c r="I1011" s="6">
        <v>5</v>
      </c>
      <c r="J1011" s="6">
        <f t="shared" si="30"/>
        <v>138600</v>
      </c>
      <c r="K1011" s="6">
        <f t="shared" si="31"/>
        <v>131670</v>
      </c>
      <c r="L1011" s="8" t="s">
        <v>187</v>
      </c>
      <c r="M1011" s="8" t="s">
        <v>81</v>
      </c>
      <c r="N1011">
        <v>7</v>
      </c>
      <c r="O1011">
        <v>2023</v>
      </c>
      <c r="P1011" s="29" t="s">
        <v>724</v>
      </c>
      <c r="Q1011" t="s">
        <v>734</v>
      </c>
      <c r="R1011" t="s">
        <v>739</v>
      </c>
    </row>
    <row r="1012" spans="1:18" x14ac:dyDescent="0.25">
      <c r="A1012" s="9">
        <v>1011</v>
      </c>
      <c r="B1012" s="10">
        <v>45113</v>
      </c>
      <c r="C1012" s="11" t="s">
        <v>88</v>
      </c>
      <c r="D1012" s="11" t="s">
        <v>83</v>
      </c>
      <c r="E1012" s="11" t="s">
        <v>111</v>
      </c>
      <c r="F1012" s="11" t="s">
        <v>192</v>
      </c>
      <c r="G1012" s="9">
        <v>16</v>
      </c>
      <c r="H1012" s="26">
        <v>108400</v>
      </c>
      <c r="I1012" s="9">
        <v>10</v>
      </c>
      <c r="J1012" s="9">
        <f t="shared" si="30"/>
        <v>1734400</v>
      </c>
      <c r="K1012" s="9">
        <f t="shared" si="31"/>
        <v>1560960</v>
      </c>
      <c r="L1012" s="11" t="s">
        <v>76</v>
      </c>
      <c r="M1012" s="11" t="s">
        <v>77</v>
      </c>
      <c r="N1012">
        <v>7</v>
      </c>
      <c r="O1012">
        <v>2023</v>
      </c>
      <c r="P1012" s="29" t="s">
        <v>724</v>
      </c>
      <c r="Q1012" t="s">
        <v>734</v>
      </c>
      <c r="R1012" t="s">
        <v>737</v>
      </c>
    </row>
    <row r="1013" spans="1:18" x14ac:dyDescent="0.25">
      <c r="A1013" s="6">
        <v>1012</v>
      </c>
      <c r="B1013" s="7">
        <v>45039</v>
      </c>
      <c r="C1013" s="8" t="s">
        <v>82</v>
      </c>
      <c r="D1013" s="8" t="s">
        <v>83</v>
      </c>
      <c r="E1013" s="8" t="s">
        <v>79</v>
      </c>
      <c r="F1013" s="8" t="s">
        <v>120</v>
      </c>
      <c r="G1013" s="6">
        <v>24</v>
      </c>
      <c r="H1013" s="25">
        <v>6400</v>
      </c>
      <c r="I1013" s="6">
        <v>0</v>
      </c>
      <c r="J1013" s="6">
        <f t="shared" si="30"/>
        <v>153600</v>
      </c>
      <c r="K1013" s="6">
        <f t="shared" si="31"/>
        <v>153600</v>
      </c>
      <c r="L1013" s="8" t="s">
        <v>107</v>
      </c>
      <c r="M1013" s="8" t="s">
        <v>96</v>
      </c>
      <c r="N1013">
        <v>4</v>
      </c>
      <c r="O1013">
        <v>2023</v>
      </c>
      <c r="P1013" s="29" t="s">
        <v>716</v>
      </c>
      <c r="Q1013" t="s">
        <v>736</v>
      </c>
      <c r="R1013" t="s">
        <v>739</v>
      </c>
    </row>
    <row r="1014" spans="1:18" x14ac:dyDescent="0.25">
      <c r="A1014" s="9">
        <v>1013</v>
      </c>
      <c r="B1014" s="10">
        <v>45158</v>
      </c>
      <c r="C1014" s="11" t="s">
        <v>101</v>
      </c>
      <c r="D1014" s="11" t="s">
        <v>73</v>
      </c>
      <c r="E1014" s="11" t="s">
        <v>79</v>
      </c>
      <c r="F1014" s="11" t="s">
        <v>115</v>
      </c>
      <c r="G1014" s="9">
        <v>15</v>
      </c>
      <c r="H1014" s="26">
        <v>10300</v>
      </c>
      <c r="I1014" s="9">
        <v>20</v>
      </c>
      <c r="J1014" s="9">
        <f t="shared" si="30"/>
        <v>154500</v>
      </c>
      <c r="K1014" s="9">
        <f t="shared" si="31"/>
        <v>123600</v>
      </c>
      <c r="L1014" s="11" t="s">
        <v>76</v>
      </c>
      <c r="M1014" s="11" t="s">
        <v>77</v>
      </c>
      <c r="N1014">
        <v>8</v>
      </c>
      <c r="O1014">
        <v>2023</v>
      </c>
      <c r="P1014" s="29" t="s">
        <v>713</v>
      </c>
      <c r="Q1014" t="s">
        <v>734</v>
      </c>
      <c r="R1014" t="s">
        <v>739</v>
      </c>
    </row>
    <row r="1015" spans="1:18" x14ac:dyDescent="0.25">
      <c r="A1015" s="6">
        <v>1014</v>
      </c>
      <c r="B1015" s="7">
        <v>45112</v>
      </c>
      <c r="C1015" s="8" t="s">
        <v>108</v>
      </c>
      <c r="D1015" s="8" t="s">
        <v>93</v>
      </c>
      <c r="E1015" s="8" t="s">
        <v>74</v>
      </c>
      <c r="F1015" s="8" t="s">
        <v>99</v>
      </c>
      <c r="G1015" s="6">
        <v>23</v>
      </c>
      <c r="H1015" s="25">
        <v>3200</v>
      </c>
      <c r="I1015" s="6">
        <v>0</v>
      </c>
      <c r="J1015" s="6">
        <f t="shared" si="30"/>
        <v>73600</v>
      </c>
      <c r="K1015" s="6">
        <f t="shared" si="31"/>
        <v>73600</v>
      </c>
      <c r="L1015" s="8" t="s">
        <v>187</v>
      </c>
      <c r="M1015" s="8" t="s">
        <v>96</v>
      </c>
      <c r="N1015">
        <v>7</v>
      </c>
      <c r="O1015">
        <v>2023</v>
      </c>
      <c r="P1015" s="29" t="s">
        <v>724</v>
      </c>
      <c r="Q1015" t="s">
        <v>734</v>
      </c>
      <c r="R1015" t="s">
        <v>739</v>
      </c>
    </row>
    <row r="1016" spans="1:18" x14ac:dyDescent="0.25">
      <c r="A1016" s="9">
        <v>1015</v>
      </c>
      <c r="B1016" s="10">
        <v>45056</v>
      </c>
      <c r="C1016" s="11" t="s">
        <v>124</v>
      </c>
      <c r="D1016" s="11" t="s">
        <v>73</v>
      </c>
      <c r="E1016" s="11" t="s">
        <v>79</v>
      </c>
      <c r="F1016" s="11" t="s">
        <v>122</v>
      </c>
      <c r="G1016" s="9">
        <v>49</v>
      </c>
      <c r="H1016" s="26">
        <v>17600</v>
      </c>
      <c r="I1016" s="9">
        <v>20</v>
      </c>
      <c r="J1016" s="9">
        <f t="shared" si="30"/>
        <v>862400</v>
      </c>
      <c r="K1016" s="9">
        <f t="shared" si="31"/>
        <v>689920</v>
      </c>
      <c r="L1016" s="11" t="s">
        <v>76</v>
      </c>
      <c r="M1016" s="11" t="s">
        <v>96</v>
      </c>
      <c r="N1016">
        <v>5</v>
      </c>
      <c r="O1016">
        <v>2023</v>
      </c>
      <c r="P1016" s="29" t="s">
        <v>730</v>
      </c>
      <c r="Q1016" t="s">
        <v>736</v>
      </c>
      <c r="R1016" t="s">
        <v>737</v>
      </c>
    </row>
    <row r="1017" spans="1:18" x14ac:dyDescent="0.25">
      <c r="A1017" s="6">
        <v>1016</v>
      </c>
      <c r="B1017" s="7">
        <v>45621</v>
      </c>
      <c r="C1017" s="8" t="s">
        <v>82</v>
      </c>
      <c r="D1017" s="8" t="s">
        <v>93</v>
      </c>
      <c r="E1017" s="8" t="s">
        <v>102</v>
      </c>
      <c r="F1017" s="8" t="s">
        <v>151</v>
      </c>
      <c r="G1017" s="6">
        <v>9</v>
      </c>
      <c r="H1017" s="25">
        <v>7600</v>
      </c>
      <c r="I1017" s="6">
        <v>15</v>
      </c>
      <c r="J1017" s="6">
        <f t="shared" si="30"/>
        <v>68400</v>
      </c>
      <c r="K1017" s="6">
        <f t="shared" si="31"/>
        <v>58140</v>
      </c>
      <c r="L1017" s="8" t="s">
        <v>76</v>
      </c>
      <c r="M1017" s="8" t="s">
        <v>81</v>
      </c>
      <c r="N1017">
        <v>11</v>
      </c>
      <c r="O1017">
        <v>2024</v>
      </c>
      <c r="P1017" s="29" t="s">
        <v>714</v>
      </c>
      <c r="Q1017" t="s">
        <v>733</v>
      </c>
      <c r="R1017" t="s">
        <v>739</v>
      </c>
    </row>
    <row r="1018" spans="1:18" x14ac:dyDescent="0.25">
      <c r="A1018" s="9">
        <v>1017</v>
      </c>
      <c r="B1018" s="10">
        <v>45204</v>
      </c>
      <c r="C1018" s="11" t="s">
        <v>108</v>
      </c>
      <c r="D1018" s="11" t="s">
        <v>83</v>
      </c>
      <c r="E1018" s="11" t="s">
        <v>102</v>
      </c>
      <c r="F1018" s="11" t="s">
        <v>110</v>
      </c>
      <c r="G1018" s="9">
        <v>47</v>
      </c>
      <c r="H1018" s="26">
        <v>20100</v>
      </c>
      <c r="I1018" s="9">
        <v>15</v>
      </c>
      <c r="J1018" s="9">
        <f t="shared" si="30"/>
        <v>944700</v>
      </c>
      <c r="K1018" s="9">
        <f t="shared" si="31"/>
        <v>802995</v>
      </c>
      <c r="L1018" s="11" t="s">
        <v>76</v>
      </c>
      <c r="M1018" s="11" t="s">
        <v>96</v>
      </c>
      <c r="N1018">
        <v>10</v>
      </c>
      <c r="O1018">
        <v>2023</v>
      </c>
      <c r="P1018" s="29" t="s">
        <v>726</v>
      </c>
      <c r="Q1018" t="s">
        <v>733</v>
      </c>
      <c r="R1018" t="s">
        <v>737</v>
      </c>
    </row>
    <row r="1019" spans="1:18" x14ac:dyDescent="0.25">
      <c r="A1019" s="6">
        <v>1018</v>
      </c>
      <c r="B1019" s="7">
        <v>45182</v>
      </c>
      <c r="C1019" s="8" t="s">
        <v>124</v>
      </c>
      <c r="D1019" s="8" t="s">
        <v>83</v>
      </c>
      <c r="E1019" s="8" t="s">
        <v>111</v>
      </c>
      <c r="F1019" s="8" t="s">
        <v>166</v>
      </c>
      <c r="G1019" s="6">
        <v>23</v>
      </c>
      <c r="H1019" s="25">
        <v>28300</v>
      </c>
      <c r="I1019" s="6">
        <v>0</v>
      </c>
      <c r="J1019" s="6">
        <f t="shared" si="30"/>
        <v>650900</v>
      </c>
      <c r="K1019" s="6">
        <f t="shared" si="31"/>
        <v>650900</v>
      </c>
      <c r="L1019" s="8" t="s">
        <v>187</v>
      </c>
      <c r="M1019" s="8" t="s">
        <v>96</v>
      </c>
      <c r="N1019">
        <v>9</v>
      </c>
      <c r="O1019">
        <v>2023</v>
      </c>
      <c r="P1019" s="29" t="s">
        <v>715</v>
      </c>
      <c r="Q1019" t="s">
        <v>734</v>
      </c>
      <c r="R1019" t="s">
        <v>737</v>
      </c>
    </row>
    <row r="1020" spans="1:18" x14ac:dyDescent="0.25">
      <c r="A1020" s="9">
        <v>1019</v>
      </c>
      <c r="B1020" s="10">
        <v>45365</v>
      </c>
      <c r="C1020" s="11" t="s">
        <v>82</v>
      </c>
      <c r="D1020" s="11" t="s">
        <v>109</v>
      </c>
      <c r="E1020" s="11" t="s">
        <v>74</v>
      </c>
      <c r="F1020" s="11" t="s">
        <v>118</v>
      </c>
      <c r="G1020" s="9">
        <v>27</v>
      </c>
      <c r="H1020" s="26">
        <v>31800</v>
      </c>
      <c r="I1020" s="9">
        <v>15</v>
      </c>
      <c r="J1020" s="9">
        <f t="shared" si="30"/>
        <v>858600</v>
      </c>
      <c r="K1020" s="9">
        <f t="shared" si="31"/>
        <v>729810</v>
      </c>
      <c r="L1020" s="11" t="s">
        <v>187</v>
      </c>
      <c r="M1020" s="11" t="s">
        <v>77</v>
      </c>
      <c r="N1020">
        <v>3</v>
      </c>
      <c r="O1020">
        <v>2024</v>
      </c>
      <c r="P1020" s="29" t="s">
        <v>711</v>
      </c>
      <c r="Q1020" t="s">
        <v>735</v>
      </c>
      <c r="R1020" t="s">
        <v>737</v>
      </c>
    </row>
    <row r="1021" spans="1:18" x14ac:dyDescent="0.25">
      <c r="A1021" s="6">
        <v>1020</v>
      </c>
      <c r="B1021" s="7">
        <v>45008</v>
      </c>
      <c r="C1021" s="8" t="s">
        <v>97</v>
      </c>
      <c r="D1021" s="8" t="s">
        <v>109</v>
      </c>
      <c r="E1021" s="8" t="s">
        <v>79</v>
      </c>
      <c r="F1021" s="8" t="s">
        <v>122</v>
      </c>
      <c r="G1021" s="6">
        <v>6</v>
      </c>
      <c r="H1021" s="25">
        <v>18800</v>
      </c>
      <c r="I1021" s="6">
        <v>20</v>
      </c>
      <c r="J1021" s="6">
        <f t="shared" si="30"/>
        <v>112800</v>
      </c>
      <c r="K1021" s="6">
        <f t="shared" si="31"/>
        <v>90240</v>
      </c>
      <c r="L1021" s="8" t="s">
        <v>187</v>
      </c>
      <c r="M1021" s="8" t="s">
        <v>91</v>
      </c>
      <c r="N1021">
        <v>3</v>
      </c>
      <c r="O1021">
        <v>2023</v>
      </c>
      <c r="P1021" s="29" t="s">
        <v>719</v>
      </c>
      <c r="Q1021" t="s">
        <v>735</v>
      </c>
      <c r="R1021" t="s">
        <v>739</v>
      </c>
    </row>
    <row r="1022" spans="1:18" x14ac:dyDescent="0.25">
      <c r="A1022" s="9">
        <v>1021</v>
      </c>
      <c r="B1022" s="10">
        <v>45231</v>
      </c>
      <c r="C1022" s="11" t="s">
        <v>114</v>
      </c>
      <c r="D1022" s="11" t="s">
        <v>93</v>
      </c>
      <c r="E1022" s="11" t="s">
        <v>84</v>
      </c>
      <c r="F1022" s="11" t="s">
        <v>85</v>
      </c>
      <c r="G1022" s="9">
        <v>44</v>
      </c>
      <c r="H1022" s="26">
        <v>5500</v>
      </c>
      <c r="I1022" s="9">
        <v>5</v>
      </c>
      <c r="J1022" s="9">
        <f t="shared" si="30"/>
        <v>242000</v>
      </c>
      <c r="K1022" s="9">
        <f t="shared" si="31"/>
        <v>229900</v>
      </c>
      <c r="L1022" s="11" t="s">
        <v>123</v>
      </c>
      <c r="M1022" s="11" t="s">
        <v>77</v>
      </c>
      <c r="N1022">
        <v>11</v>
      </c>
      <c r="O1022">
        <v>2023</v>
      </c>
      <c r="P1022" s="29" t="s">
        <v>718</v>
      </c>
      <c r="Q1022" t="s">
        <v>733</v>
      </c>
      <c r="R1022" t="s">
        <v>737</v>
      </c>
    </row>
    <row r="1023" spans="1:18" x14ac:dyDescent="0.25">
      <c r="A1023" s="6">
        <v>1022</v>
      </c>
      <c r="B1023" s="7">
        <v>44941</v>
      </c>
      <c r="C1023" s="8" t="s">
        <v>124</v>
      </c>
      <c r="D1023" s="8" t="s">
        <v>109</v>
      </c>
      <c r="E1023" s="8" t="s">
        <v>79</v>
      </c>
      <c r="F1023" s="8" t="s">
        <v>115</v>
      </c>
      <c r="G1023" s="6">
        <v>48</v>
      </c>
      <c r="H1023" s="25">
        <v>9700</v>
      </c>
      <c r="I1023" s="6">
        <v>10</v>
      </c>
      <c r="J1023" s="6">
        <f t="shared" si="30"/>
        <v>465600</v>
      </c>
      <c r="K1023" s="6">
        <f t="shared" si="31"/>
        <v>419040</v>
      </c>
      <c r="L1023" s="8" t="s">
        <v>76</v>
      </c>
      <c r="M1023" s="8" t="s">
        <v>77</v>
      </c>
      <c r="N1023">
        <v>1</v>
      </c>
      <c r="O1023">
        <v>2023</v>
      </c>
      <c r="P1023" s="29" t="s">
        <v>721</v>
      </c>
      <c r="Q1023" t="s">
        <v>735</v>
      </c>
      <c r="R1023" t="s">
        <v>737</v>
      </c>
    </row>
    <row r="1024" spans="1:18" x14ac:dyDescent="0.25">
      <c r="A1024" s="9">
        <v>1023</v>
      </c>
      <c r="B1024" s="10">
        <v>45386</v>
      </c>
      <c r="C1024" s="11" t="s">
        <v>108</v>
      </c>
      <c r="D1024" s="11" t="s">
        <v>93</v>
      </c>
      <c r="E1024" s="11" t="s">
        <v>84</v>
      </c>
      <c r="F1024" s="11" t="s">
        <v>128</v>
      </c>
      <c r="G1024" s="9">
        <v>9</v>
      </c>
      <c r="H1024" s="26">
        <v>3900</v>
      </c>
      <c r="I1024" s="9">
        <v>5</v>
      </c>
      <c r="J1024" s="9">
        <f t="shared" si="30"/>
        <v>35100</v>
      </c>
      <c r="K1024" s="9">
        <f t="shared" si="31"/>
        <v>33345</v>
      </c>
      <c r="L1024" s="11" t="s">
        <v>76</v>
      </c>
      <c r="M1024" s="11" t="s">
        <v>77</v>
      </c>
      <c r="N1024">
        <v>4</v>
      </c>
      <c r="O1024">
        <v>2024</v>
      </c>
      <c r="P1024" s="29" t="s">
        <v>722</v>
      </c>
      <c r="Q1024" t="s">
        <v>736</v>
      </c>
      <c r="R1024" t="s">
        <v>738</v>
      </c>
    </row>
    <row r="1025" spans="1:18" x14ac:dyDescent="0.25">
      <c r="A1025" s="6">
        <v>1024</v>
      </c>
      <c r="B1025" s="7">
        <v>45434</v>
      </c>
      <c r="C1025" s="8" t="s">
        <v>114</v>
      </c>
      <c r="D1025" s="8" t="s">
        <v>109</v>
      </c>
      <c r="E1025" s="8" t="s">
        <v>74</v>
      </c>
      <c r="F1025" s="8" t="s">
        <v>118</v>
      </c>
      <c r="G1025" s="6">
        <v>44</v>
      </c>
      <c r="H1025" s="25">
        <v>27600</v>
      </c>
      <c r="I1025" s="6">
        <v>0</v>
      </c>
      <c r="J1025" s="6">
        <f t="shared" si="30"/>
        <v>1214400</v>
      </c>
      <c r="K1025" s="6">
        <f t="shared" si="31"/>
        <v>1214400</v>
      </c>
      <c r="L1025" s="8" t="s">
        <v>76</v>
      </c>
      <c r="M1025" s="8" t="s">
        <v>77</v>
      </c>
      <c r="N1025">
        <v>5</v>
      </c>
      <c r="O1025">
        <v>2024</v>
      </c>
      <c r="P1025" s="29" t="s">
        <v>732</v>
      </c>
      <c r="Q1025" t="s">
        <v>736</v>
      </c>
      <c r="R1025" t="s">
        <v>737</v>
      </c>
    </row>
    <row r="1026" spans="1:18" x14ac:dyDescent="0.25">
      <c r="A1026" s="9">
        <v>1025</v>
      </c>
      <c r="B1026" s="10">
        <v>44996</v>
      </c>
      <c r="C1026" s="11" t="s">
        <v>119</v>
      </c>
      <c r="D1026" s="11" t="s">
        <v>117</v>
      </c>
      <c r="E1026" s="11" t="s">
        <v>74</v>
      </c>
      <c r="F1026" s="11" t="s">
        <v>75</v>
      </c>
      <c r="G1026" s="9">
        <v>41</v>
      </c>
      <c r="H1026" s="26">
        <v>19800</v>
      </c>
      <c r="I1026" s="9">
        <v>0</v>
      </c>
      <c r="J1026" s="9">
        <f t="shared" ref="J1026:J1089" si="32">G1026*H1026</f>
        <v>811800</v>
      </c>
      <c r="K1026" s="9">
        <f t="shared" ref="K1026:K1089" si="33">J1026*(1-I1026/100)</f>
        <v>811800</v>
      </c>
      <c r="L1026" s="11" t="s">
        <v>76</v>
      </c>
      <c r="M1026" s="11" t="s">
        <v>81</v>
      </c>
      <c r="N1026">
        <v>3</v>
      </c>
      <c r="O1026">
        <v>2023</v>
      </c>
      <c r="P1026" s="29" t="s">
        <v>719</v>
      </c>
      <c r="Q1026" t="s">
        <v>735</v>
      </c>
      <c r="R1026" t="s">
        <v>737</v>
      </c>
    </row>
    <row r="1027" spans="1:18" x14ac:dyDescent="0.25">
      <c r="A1027" s="6">
        <v>1026</v>
      </c>
      <c r="B1027" s="7">
        <v>45585</v>
      </c>
      <c r="C1027" s="8" t="s">
        <v>82</v>
      </c>
      <c r="D1027" s="8" t="s">
        <v>73</v>
      </c>
      <c r="E1027" s="8" t="s">
        <v>111</v>
      </c>
      <c r="F1027" s="8" t="s">
        <v>159</v>
      </c>
      <c r="G1027" s="6">
        <v>1</v>
      </c>
      <c r="H1027" s="25">
        <v>11000</v>
      </c>
      <c r="I1027" s="6">
        <v>0</v>
      </c>
      <c r="J1027" s="6">
        <f t="shared" si="32"/>
        <v>11000</v>
      </c>
      <c r="K1027" s="6">
        <f t="shared" si="33"/>
        <v>11000</v>
      </c>
      <c r="L1027" s="8" t="s">
        <v>76</v>
      </c>
      <c r="M1027" s="8" t="s">
        <v>96</v>
      </c>
      <c r="N1027">
        <v>10</v>
      </c>
      <c r="O1027">
        <v>2024</v>
      </c>
      <c r="P1027" s="29" t="s">
        <v>709</v>
      </c>
      <c r="Q1027" t="s">
        <v>733</v>
      </c>
      <c r="R1027" t="s">
        <v>738</v>
      </c>
    </row>
    <row r="1028" spans="1:18" x14ac:dyDescent="0.25">
      <c r="A1028" s="9">
        <v>1027</v>
      </c>
      <c r="B1028" s="10">
        <v>45289</v>
      </c>
      <c r="C1028" s="11" t="s">
        <v>97</v>
      </c>
      <c r="D1028" s="11" t="s">
        <v>73</v>
      </c>
      <c r="E1028" s="11" t="s">
        <v>74</v>
      </c>
      <c r="F1028" s="11" t="s">
        <v>142</v>
      </c>
      <c r="G1028" s="9">
        <v>1</v>
      </c>
      <c r="H1028" s="26">
        <v>12000</v>
      </c>
      <c r="I1028" s="9">
        <v>0</v>
      </c>
      <c r="J1028" s="9">
        <f t="shared" si="32"/>
        <v>12000</v>
      </c>
      <c r="K1028" s="9">
        <f t="shared" si="33"/>
        <v>12000</v>
      </c>
      <c r="L1028" s="11" t="s">
        <v>76</v>
      </c>
      <c r="M1028" s="11" t="s">
        <v>91</v>
      </c>
      <c r="N1028">
        <v>12</v>
      </c>
      <c r="O1028">
        <v>2023</v>
      </c>
      <c r="P1028" s="29" t="s">
        <v>725</v>
      </c>
      <c r="Q1028" t="s">
        <v>733</v>
      </c>
      <c r="R1028" t="s">
        <v>738</v>
      </c>
    </row>
    <row r="1029" spans="1:18" x14ac:dyDescent="0.25">
      <c r="A1029" s="6">
        <v>1028</v>
      </c>
      <c r="B1029" s="7">
        <v>45013</v>
      </c>
      <c r="C1029" s="8" t="s">
        <v>82</v>
      </c>
      <c r="D1029" s="8" t="s">
        <v>93</v>
      </c>
      <c r="E1029" s="8" t="s">
        <v>84</v>
      </c>
      <c r="F1029" s="8" t="s">
        <v>148</v>
      </c>
      <c r="G1029" s="6">
        <v>32</v>
      </c>
      <c r="H1029" s="25">
        <v>4500</v>
      </c>
      <c r="I1029" s="6">
        <v>0</v>
      </c>
      <c r="J1029" s="6">
        <f t="shared" si="32"/>
        <v>144000</v>
      </c>
      <c r="K1029" s="6">
        <f t="shared" si="33"/>
        <v>144000</v>
      </c>
      <c r="L1029" s="8" t="s">
        <v>76</v>
      </c>
      <c r="M1029" s="8" t="s">
        <v>96</v>
      </c>
      <c r="N1029">
        <v>3</v>
      </c>
      <c r="O1029">
        <v>2023</v>
      </c>
      <c r="P1029" s="29" t="s">
        <v>719</v>
      </c>
      <c r="Q1029" t="s">
        <v>735</v>
      </c>
      <c r="R1029" t="s">
        <v>739</v>
      </c>
    </row>
    <row r="1030" spans="1:18" x14ac:dyDescent="0.25">
      <c r="A1030" s="9">
        <v>1029</v>
      </c>
      <c r="B1030" s="10">
        <v>45408</v>
      </c>
      <c r="C1030" s="11" t="s">
        <v>114</v>
      </c>
      <c r="D1030" s="11" t="s">
        <v>117</v>
      </c>
      <c r="E1030" s="11" t="s">
        <v>74</v>
      </c>
      <c r="F1030" s="11" t="s">
        <v>212</v>
      </c>
      <c r="G1030" s="9">
        <v>12</v>
      </c>
      <c r="H1030" s="26">
        <v>8100</v>
      </c>
      <c r="I1030" s="9">
        <v>0</v>
      </c>
      <c r="J1030" s="9">
        <f t="shared" si="32"/>
        <v>97200</v>
      </c>
      <c r="K1030" s="9">
        <f t="shared" si="33"/>
        <v>97200</v>
      </c>
      <c r="L1030" s="11" t="s">
        <v>76</v>
      </c>
      <c r="M1030" s="11" t="s">
        <v>96</v>
      </c>
      <c r="N1030">
        <v>4</v>
      </c>
      <c r="O1030">
        <v>2024</v>
      </c>
      <c r="P1030" s="29" t="s">
        <v>722</v>
      </c>
      <c r="Q1030" t="s">
        <v>736</v>
      </c>
      <c r="R1030" t="s">
        <v>739</v>
      </c>
    </row>
    <row r="1031" spans="1:18" x14ac:dyDescent="0.25">
      <c r="A1031" s="6">
        <v>1030</v>
      </c>
      <c r="B1031" s="7">
        <v>45376</v>
      </c>
      <c r="C1031" s="8" t="s">
        <v>119</v>
      </c>
      <c r="D1031" s="8" t="s">
        <v>109</v>
      </c>
      <c r="E1031" s="8" t="s">
        <v>84</v>
      </c>
      <c r="F1031" s="8" t="s">
        <v>200</v>
      </c>
      <c r="G1031" s="6">
        <v>1</v>
      </c>
      <c r="H1031" s="25">
        <v>3500</v>
      </c>
      <c r="I1031" s="6">
        <v>0</v>
      </c>
      <c r="J1031" s="6">
        <f t="shared" si="32"/>
        <v>3500</v>
      </c>
      <c r="K1031" s="6">
        <f t="shared" si="33"/>
        <v>3500</v>
      </c>
      <c r="L1031" s="8" t="s">
        <v>76</v>
      </c>
      <c r="M1031" s="8" t="s">
        <v>81</v>
      </c>
      <c r="N1031">
        <v>3</v>
      </c>
      <c r="O1031">
        <v>2024</v>
      </c>
      <c r="P1031" s="29" t="s">
        <v>711</v>
      </c>
      <c r="Q1031" t="s">
        <v>735</v>
      </c>
      <c r="R1031" t="s">
        <v>738</v>
      </c>
    </row>
    <row r="1032" spans="1:18" x14ac:dyDescent="0.25">
      <c r="A1032" s="9">
        <v>1031</v>
      </c>
      <c r="B1032" s="10">
        <v>45121</v>
      </c>
      <c r="C1032" s="11" t="s">
        <v>101</v>
      </c>
      <c r="D1032" s="11" t="s">
        <v>73</v>
      </c>
      <c r="E1032" s="11" t="s">
        <v>84</v>
      </c>
      <c r="F1032" s="11" t="s">
        <v>148</v>
      </c>
      <c r="G1032" s="9">
        <v>22</v>
      </c>
      <c r="H1032" s="26">
        <v>4800</v>
      </c>
      <c r="I1032" s="9">
        <v>15</v>
      </c>
      <c r="J1032" s="9">
        <f t="shared" si="32"/>
        <v>105600</v>
      </c>
      <c r="K1032" s="9">
        <f t="shared" si="33"/>
        <v>89760</v>
      </c>
      <c r="L1032" s="11" t="s">
        <v>107</v>
      </c>
      <c r="M1032" s="11" t="s">
        <v>81</v>
      </c>
      <c r="N1032">
        <v>7</v>
      </c>
      <c r="O1032">
        <v>2023</v>
      </c>
      <c r="P1032" s="29" t="s">
        <v>724</v>
      </c>
      <c r="Q1032" t="s">
        <v>734</v>
      </c>
      <c r="R1032" t="s">
        <v>739</v>
      </c>
    </row>
    <row r="1033" spans="1:18" x14ac:dyDescent="0.25">
      <c r="A1033" s="6">
        <v>1032</v>
      </c>
      <c r="B1033" s="7">
        <v>45130</v>
      </c>
      <c r="C1033" s="8" t="s">
        <v>119</v>
      </c>
      <c r="D1033" s="8" t="s">
        <v>117</v>
      </c>
      <c r="E1033" s="8" t="s">
        <v>79</v>
      </c>
      <c r="F1033" s="8" t="s">
        <v>115</v>
      </c>
      <c r="G1033" s="6">
        <v>32</v>
      </c>
      <c r="H1033" s="25">
        <v>9200</v>
      </c>
      <c r="I1033" s="6">
        <v>0</v>
      </c>
      <c r="J1033" s="6">
        <f t="shared" si="32"/>
        <v>294400</v>
      </c>
      <c r="K1033" s="6">
        <f t="shared" si="33"/>
        <v>294400</v>
      </c>
      <c r="L1033" s="8" t="s">
        <v>187</v>
      </c>
      <c r="M1033" s="8" t="s">
        <v>81</v>
      </c>
      <c r="N1033">
        <v>7</v>
      </c>
      <c r="O1033">
        <v>2023</v>
      </c>
      <c r="P1033" s="29" t="s">
        <v>724</v>
      </c>
      <c r="Q1033" t="s">
        <v>734</v>
      </c>
      <c r="R1033" t="s">
        <v>737</v>
      </c>
    </row>
    <row r="1034" spans="1:18" x14ac:dyDescent="0.25">
      <c r="A1034" s="9">
        <v>1033</v>
      </c>
      <c r="B1034" s="10">
        <v>45336</v>
      </c>
      <c r="C1034" s="11" t="s">
        <v>82</v>
      </c>
      <c r="D1034" s="11" t="s">
        <v>83</v>
      </c>
      <c r="E1034" s="11" t="s">
        <v>84</v>
      </c>
      <c r="F1034" s="11" t="s">
        <v>150</v>
      </c>
      <c r="G1034" s="9">
        <v>2</v>
      </c>
      <c r="H1034" s="26">
        <v>6300</v>
      </c>
      <c r="I1034" s="9">
        <v>10</v>
      </c>
      <c r="J1034" s="9">
        <f t="shared" si="32"/>
        <v>12600</v>
      </c>
      <c r="K1034" s="9">
        <f t="shared" si="33"/>
        <v>11340</v>
      </c>
      <c r="L1034" s="11" t="s">
        <v>76</v>
      </c>
      <c r="M1034" s="11" t="s">
        <v>96</v>
      </c>
      <c r="N1034">
        <v>2</v>
      </c>
      <c r="O1034">
        <v>2024</v>
      </c>
      <c r="P1034" s="29" t="s">
        <v>729</v>
      </c>
      <c r="Q1034" t="s">
        <v>735</v>
      </c>
      <c r="R1034" t="s">
        <v>738</v>
      </c>
    </row>
    <row r="1035" spans="1:18" x14ac:dyDescent="0.25">
      <c r="A1035" s="6">
        <v>1034</v>
      </c>
      <c r="B1035" s="7">
        <v>44940</v>
      </c>
      <c r="C1035" s="8" t="s">
        <v>106</v>
      </c>
      <c r="D1035" s="8" t="s">
        <v>73</v>
      </c>
      <c r="E1035" s="8" t="s">
        <v>74</v>
      </c>
      <c r="F1035" s="8" t="s">
        <v>140</v>
      </c>
      <c r="G1035" s="6">
        <v>48</v>
      </c>
      <c r="H1035" s="25">
        <v>5100</v>
      </c>
      <c r="I1035" s="6">
        <v>0</v>
      </c>
      <c r="J1035" s="6">
        <f t="shared" si="32"/>
        <v>244800</v>
      </c>
      <c r="K1035" s="6">
        <f t="shared" si="33"/>
        <v>244800</v>
      </c>
      <c r="L1035" s="8" t="s">
        <v>76</v>
      </c>
      <c r="M1035" s="8" t="s">
        <v>91</v>
      </c>
      <c r="N1035">
        <v>1</v>
      </c>
      <c r="O1035">
        <v>2023</v>
      </c>
      <c r="P1035" s="29" t="s">
        <v>721</v>
      </c>
      <c r="Q1035" t="s">
        <v>735</v>
      </c>
      <c r="R1035" t="s">
        <v>737</v>
      </c>
    </row>
    <row r="1036" spans="1:18" x14ac:dyDescent="0.25">
      <c r="A1036" s="9">
        <v>1035</v>
      </c>
      <c r="B1036" s="10">
        <v>45215</v>
      </c>
      <c r="C1036" s="11" t="s">
        <v>119</v>
      </c>
      <c r="D1036" s="11" t="s">
        <v>73</v>
      </c>
      <c r="E1036" s="11" t="s">
        <v>111</v>
      </c>
      <c r="F1036" s="11" t="s">
        <v>156</v>
      </c>
      <c r="G1036" s="9">
        <v>47</v>
      </c>
      <c r="H1036" s="26">
        <v>44300</v>
      </c>
      <c r="I1036" s="9">
        <v>0</v>
      </c>
      <c r="J1036" s="9">
        <f t="shared" si="32"/>
        <v>2082100</v>
      </c>
      <c r="K1036" s="9">
        <f t="shared" si="33"/>
        <v>2082100</v>
      </c>
      <c r="L1036" s="11" t="s">
        <v>76</v>
      </c>
      <c r="M1036" s="11" t="s">
        <v>81</v>
      </c>
      <c r="N1036">
        <v>10</v>
      </c>
      <c r="O1036">
        <v>2023</v>
      </c>
      <c r="P1036" s="29" t="s">
        <v>726</v>
      </c>
      <c r="Q1036" t="s">
        <v>733</v>
      </c>
      <c r="R1036" t="s">
        <v>737</v>
      </c>
    </row>
    <row r="1037" spans="1:18" x14ac:dyDescent="0.25">
      <c r="A1037" s="6">
        <v>1036</v>
      </c>
      <c r="B1037" s="7">
        <v>45044</v>
      </c>
      <c r="C1037" s="8" t="s">
        <v>101</v>
      </c>
      <c r="D1037" s="8" t="s">
        <v>109</v>
      </c>
      <c r="E1037" s="8" t="s">
        <v>111</v>
      </c>
      <c r="F1037" s="8" t="s">
        <v>156</v>
      </c>
      <c r="G1037" s="6">
        <v>7</v>
      </c>
      <c r="H1037" s="25">
        <v>42800</v>
      </c>
      <c r="I1037" s="6">
        <v>0</v>
      </c>
      <c r="J1037" s="6">
        <f t="shared" si="32"/>
        <v>299600</v>
      </c>
      <c r="K1037" s="6">
        <f t="shared" si="33"/>
        <v>299600</v>
      </c>
      <c r="L1037" s="8" t="s">
        <v>187</v>
      </c>
      <c r="M1037" s="8" t="s">
        <v>81</v>
      </c>
      <c r="N1037">
        <v>4</v>
      </c>
      <c r="O1037">
        <v>2023</v>
      </c>
      <c r="P1037" s="29" t="s">
        <v>716</v>
      </c>
      <c r="Q1037" t="s">
        <v>736</v>
      </c>
      <c r="R1037" t="s">
        <v>737</v>
      </c>
    </row>
    <row r="1038" spans="1:18" x14ac:dyDescent="0.25">
      <c r="A1038" s="9">
        <v>1037</v>
      </c>
      <c r="B1038" s="10">
        <v>45532</v>
      </c>
      <c r="C1038" s="11" t="s">
        <v>108</v>
      </c>
      <c r="D1038" s="11" t="s">
        <v>109</v>
      </c>
      <c r="E1038" s="11" t="s">
        <v>79</v>
      </c>
      <c r="F1038" s="11" t="s">
        <v>122</v>
      </c>
      <c r="G1038" s="9">
        <v>18</v>
      </c>
      <c r="H1038" s="26">
        <v>18000</v>
      </c>
      <c r="I1038" s="9">
        <v>5</v>
      </c>
      <c r="J1038" s="9">
        <f t="shared" si="32"/>
        <v>324000</v>
      </c>
      <c r="K1038" s="9">
        <f t="shared" si="33"/>
        <v>307800</v>
      </c>
      <c r="L1038" s="11" t="s">
        <v>123</v>
      </c>
      <c r="M1038" s="11" t="s">
        <v>81</v>
      </c>
      <c r="N1038">
        <v>8</v>
      </c>
      <c r="O1038">
        <v>2024</v>
      </c>
      <c r="P1038" s="29" t="s">
        <v>710</v>
      </c>
      <c r="Q1038" t="s">
        <v>734</v>
      </c>
      <c r="R1038" t="s">
        <v>737</v>
      </c>
    </row>
    <row r="1039" spans="1:18" x14ac:dyDescent="0.25">
      <c r="A1039" s="6">
        <v>1038</v>
      </c>
      <c r="B1039" s="7">
        <v>44945</v>
      </c>
      <c r="C1039" s="8" t="s">
        <v>124</v>
      </c>
      <c r="D1039" s="8" t="s">
        <v>109</v>
      </c>
      <c r="E1039" s="8" t="s">
        <v>79</v>
      </c>
      <c r="F1039" s="8" t="s">
        <v>136</v>
      </c>
      <c r="G1039" s="6">
        <v>34</v>
      </c>
      <c r="H1039" s="25">
        <v>84600</v>
      </c>
      <c r="I1039" s="6">
        <v>0</v>
      </c>
      <c r="J1039" s="6">
        <f t="shared" si="32"/>
        <v>2876400</v>
      </c>
      <c r="K1039" s="6">
        <f t="shared" si="33"/>
        <v>2876400</v>
      </c>
      <c r="L1039" s="8" t="s">
        <v>76</v>
      </c>
      <c r="M1039" s="8" t="s">
        <v>81</v>
      </c>
      <c r="N1039">
        <v>1</v>
      </c>
      <c r="O1039">
        <v>2023</v>
      </c>
      <c r="P1039" s="29" t="s">
        <v>721</v>
      </c>
      <c r="Q1039" t="s">
        <v>735</v>
      </c>
      <c r="R1039" t="s">
        <v>737</v>
      </c>
    </row>
    <row r="1040" spans="1:18" x14ac:dyDescent="0.25">
      <c r="A1040" s="6">
        <v>1039</v>
      </c>
      <c r="B1040" s="7">
        <v>45242</v>
      </c>
      <c r="C1040" s="8" t="s">
        <v>114</v>
      </c>
      <c r="D1040" s="8" t="s">
        <v>83</v>
      </c>
      <c r="E1040" s="8" t="s">
        <v>79</v>
      </c>
      <c r="F1040" s="8" t="s">
        <v>115</v>
      </c>
      <c r="G1040" s="6">
        <v>20</v>
      </c>
      <c r="H1040" s="25">
        <v>9500</v>
      </c>
      <c r="I1040" s="6">
        <v>0</v>
      </c>
      <c r="J1040" s="6">
        <f t="shared" si="32"/>
        <v>190000</v>
      </c>
      <c r="K1040" s="6">
        <f t="shared" si="33"/>
        <v>190000</v>
      </c>
      <c r="L1040" s="8" t="s">
        <v>76</v>
      </c>
      <c r="M1040" s="8" t="s">
        <v>96</v>
      </c>
      <c r="N1040">
        <v>11</v>
      </c>
      <c r="O1040">
        <v>2023</v>
      </c>
      <c r="P1040" s="29" t="s">
        <v>718</v>
      </c>
      <c r="Q1040" t="s">
        <v>733</v>
      </c>
      <c r="R1040" t="s">
        <v>739</v>
      </c>
    </row>
    <row r="1041" spans="1:18" x14ac:dyDescent="0.25">
      <c r="A1041" s="9">
        <v>1040</v>
      </c>
      <c r="B1041" s="10">
        <v>45286</v>
      </c>
      <c r="C1041" s="11" t="s">
        <v>114</v>
      </c>
      <c r="D1041" s="11" t="s">
        <v>109</v>
      </c>
      <c r="E1041" s="11" t="s">
        <v>74</v>
      </c>
      <c r="F1041" s="11" t="s">
        <v>94</v>
      </c>
      <c r="G1041" s="9">
        <v>1</v>
      </c>
      <c r="H1041" s="26">
        <v>33100</v>
      </c>
      <c r="I1041" s="9">
        <v>0</v>
      </c>
      <c r="J1041" s="9">
        <f t="shared" si="32"/>
        <v>33100</v>
      </c>
      <c r="K1041" s="9">
        <f t="shared" si="33"/>
        <v>33100</v>
      </c>
      <c r="L1041" s="11" t="s">
        <v>76</v>
      </c>
      <c r="M1041" s="11" t="s">
        <v>96</v>
      </c>
      <c r="N1041">
        <v>12</v>
      </c>
      <c r="O1041">
        <v>2023</v>
      </c>
      <c r="P1041" s="29" t="s">
        <v>725</v>
      </c>
      <c r="Q1041" t="s">
        <v>733</v>
      </c>
      <c r="R1041" t="s">
        <v>738</v>
      </c>
    </row>
    <row r="1042" spans="1:18" x14ac:dyDescent="0.25">
      <c r="A1042" s="6">
        <v>1041</v>
      </c>
      <c r="B1042" s="7">
        <v>45219</v>
      </c>
      <c r="C1042" s="8" t="s">
        <v>119</v>
      </c>
      <c r="D1042" s="8" t="s">
        <v>117</v>
      </c>
      <c r="E1042" s="8" t="s">
        <v>102</v>
      </c>
      <c r="F1042" s="8" t="s">
        <v>137</v>
      </c>
      <c r="G1042" s="6">
        <v>17</v>
      </c>
      <c r="H1042" s="25">
        <v>2200</v>
      </c>
      <c r="I1042" s="6">
        <v>0</v>
      </c>
      <c r="J1042" s="6">
        <f t="shared" si="32"/>
        <v>37400</v>
      </c>
      <c r="K1042" s="6">
        <f t="shared" si="33"/>
        <v>37400</v>
      </c>
      <c r="L1042" s="8" t="s">
        <v>123</v>
      </c>
      <c r="M1042" s="8" t="s">
        <v>96</v>
      </c>
      <c r="N1042">
        <v>10</v>
      </c>
      <c r="O1042">
        <v>2023</v>
      </c>
      <c r="P1042" s="29" t="s">
        <v>726</v>
      </c>
      <c r="Q1042" t="s">
        <v>733</v>
      </c>
      <c r="R1042" t="s">
        <v>738</v>
      </c>
    </row>
    <row r="1043" spans="1:18" x14ac:dyDescent="0.25">
      <c r="A1043" s="9">
        <v>1042</v>
      </c>
      <c r="B1043" s="10">
        <v>45149</v>
      </c>
      <c r="C1043" s="11" t="s">
        <v>97</v>
      </c>
      <c r="D1043" s="11" t="s">
        <v>73</v>
      </c>
      <c r="E1043" s="11" t="s">
        <v>79</v>
      </c>
      <c r="F1043" s="11" t="s">
        <v>122</v>
      </c>
      <c r="G1043" s="9">
        <v>48</v>
      </c>
      <c r="H1043" s="26">
        <v>17700</v>
      </c>
      <c r="I1043" s="9">
        <v>0</v>
      </c>
      <c r="J1043" s="9">
        <f t="shared" si="32"/>
        <v>849600</v>
      </c>
      <c r="K1043" s="9">
        <f t="shared" si="33"/>
        <v>849600</v>
      </c>
      <c r="L1043" s="11" t="s">
        <v>187</v>
      </c>
      <c r="M1043" s="11" t="s">
        <v>96</v>
      </c>
      <c r="N1043">
        <v>8</v>
      </c>
      <c r="O1043">
        <v>2023</v>
      </c>
      <c r="P1043" s="29" t="s">
        <v>713</v>
      </c>
      <c r="Q1043" t="s">
        <v>734</v>
      </c>
      <c r="R1043" t="s">
        <v>737</v>
      </c>
    </row>
    <row r="1044" spans="1:18" x14ac:dyDescent="0.25">
      <c r="A1044" s="6">
        <v>1043</v>
      </c>
      <c r="B1044" s="7">
        <v>45592</v>
      </c>
      <c r="C1044" s="8" t="s">
        <v>101</v>
      </c>
      <c r="D1044" s="8" t="s">
        <v>109</v>
      </c>
      <c r="E1044" s="8" t="s">
        <v>102</v>
      </c>
      <c r="F1044" s="8" t="s">
        <v>151</v>
      </c>
      <c r="G1044" s="6">
        <v>7</v>
      </c>
      <c r="H1044" s="25">
        <v>6900</v>
      </c>
      <c r="I1044" s="6">
        <v>0</v>
      </c>
      <c r="J1044" s="6">
        <f t="shared" si="32"/>
        <v>48300</v>
      </c>
      <c r="K1044" s="6">
        <f t="shared" si="33"/>
        <v>48300</v>
      </c>
      <c r="L1044" s="8" t="s">
        <v>76</v>
      </c>
      <c r="M1044" s="8" t="s">
        <v>77</v>
      </c>
      <c r="N1044">
        <v>10</v>
      </c>
      <c r="O1044">
        <v>2024</v>
      </c>
      <c r="P1044" s="29" t="s">
        <v>709</v>
      </c>
      <c r="Q1044" t="s">
        <v>733</v>
      </c>
      <c r="R1044" t="s">
        <v>738</v>
      </c>
    </row>
    <row r="1045" spans="1:18" x14ac:dyDescent="0.25">
      <c r="A1045" s="9">
        <v>1044</v>
      </c>
      <c r="B1045" s="10">
        <v>45527</v>
      </c>
      <c r="C1045" s="11" t="s">
        <v>106</v>
      </c>
      <c r="D1045" s="11" t="s">
        <v>109</v>
      </c>
      <c r="E1045" s="11" t="s">
        <v>111</v>
      </c>
      <c r="F1045" s="11" t="s">
        <v>112</v>
      </c>
      <c r="G1045" s="9">
        <v>35</v>
      </c>
      <c r="H1045" s="26">
        <v>59700</v>
      </c>
      <c r="I1045" s="9">
        <v>15</v>
      </c>
      <c r="J1045" s="9">
        <f t="shared" si="32"/>
        <v>2089500</v>
      </c>
      <c r="K1045" s="9">
        <f t="shared" si="33"/>
        <v>1776075</v>
      </c>
      <c r="L1045" s="11" t="s">
        <v>76</v>
      </c>
      <c r="M1045" s="11" t="s">
        <v>96</v>
      </c>
      <c r="N1045">
        <v>8</v>
      </c>
      <c r="O1045">
        <v>2024</v>
      </c>
      <c r="P1045" s="29" t="s">
        <v>710</v>
      </c>
      <c r="Q1045" t="s">
        <v>734</v>
      </c>
      <c r="R1045" t="s">
        <v>737</v>
      </c>
    </row>
    <row r="1046" spans="1:18" x14ac:dyDescent="0.25">
      <c r="A1046" s="6">
        <v>1045</v>
      </c>
      <c r="B1046" s="7">
        <v>45412</v>
      </c>
      <c r="C1046" s="8" t="s">
        <v>106</v>
      </c>
      <c r="D1046" s="8" t="s">
        <v>93</v>
      </c>
      <c r="E1046" s="8" t="s">
        <v>84</v>
      </c>
      <c r="F1046" s="8" t="s">
        <v>206</v>
      </c>
      <c r="G1046" s="6">
        <v>27</v>
      </c>
      <c r="H1046" s="25">
        <v>13000</v>
      </c>
      <c r="I1046" s="6">
        <v>20</v>
      </c>
      <c r="J1046" s="6">
        <f t="shared" si="32"/>
        <v>351000</v>
      </c>
      <c r="K1046" s="6">
        <f t="shared" si="33"/>
        <v>280800</v>
      </c>
      <c r="L1046" s="8" t="s">
        <v>76</v>
      </c>
      <c r="M1046" s="8" t="s">
        <v>96</v>
      </c>
      <c r="N1046">
        <v>4</v>
      </c>
      <c r="O1046">
        <v>2024</v>
      </c>
      <c r="P1046" s="29" t="s">
        <v>722</v>
      </c>
      <c r="Q1046" t="s">
        <v>736</v>
      </c>
      <c r="R1046" t="s">
        <v>737</v>
      </c>
    </row>
    <row r="1047" spans="1:18" x14ac:dyDescent="0.25">
      <c r="A1047" s="9">
        <v>1046</v>
      </c>
      <c r="B1047" s="10">
        <v>45500</v>
      </c>
      <c r="C1047" s="11" t="s">
        <v>88</v>
      </c>
      <c r="D1047" s="11" t="s">
        <v>117</v>
      </c>
      <c r="E1047" s="11" t="s">
        <v>111</v>
      </c>
      <c r="F1047" s="11" t="s">
        <v>112</v>
      </c>
      <c r="G1047" s="9">
        <v>5</v>
      </c>
      <c r="H1047" s="26">
        <v>73300</v>
      </c>
      <c r="I1047" s="9">
        <v>0</v>
      </c>
      <c r="J1047" s="9">
        <f t="shared" si="32"/>
        <v>366500</v>
      </c>
      <c r="K1047" s="9">
        <f t="shared" si="33"/>
        <v>366500</v>
      </c>
      <c r="L1047" s="11" t="s">
        <v>76</v>
      </c>
      <c r="M1047" s="11" t="s">
        <v>77</v>
      </c>
      <c r="N1047">
        <v>7</v>
      </c>
      <c r="O1047">
        <v>2024</v>
      </c>
      <c r="P1047" s="29" t="s">
        <v>712</v>
      </c>
      <c r="Q1047" t="s">
        <v>734</v>
      </c>
      <c r="R1047" t="s">
        <v>737</v>
      </c>
    </row>
    <row r="1048" spans="1:18" x14ac:dyDescent="0.25">
      <c r="A1048" s="6">
        <v>1047</v>
      </c>
      <c r="B1048" s="7">
        <v>45421</v>
      </c>
      <c r="C1048" s="8" t="s">
        <v>101</v>
      </c>
      <c r="D1048" s="8" t="s">
        <v>109</v>
      </c>
      <c r="E1048" s="8" t="s">
        <v>74</v>
      </c>
      <c r="F1048" s="8" t="s">
        <v>94</v>
      </c>
      <c r="G1048" s="6">
        <v>4</v>
      </c>
      <c r="H1048" s="25">
        <v>39900</v>
      </c>
      <c r="I1048" s="6">
        <v>15</v>
      </c>
      <c r="J1048" s="6">
        <f t="shared" si="32"/>
        <v>159600</v>
      </c>
      <c r="K1048" s="6">
        <f t="shared" si="33"/>
        <v>135660</v>
      </c>
      <c r="L1048" s="8" t="s">
        <v>187</v>
      </c>
      <c r="M1048" s="8" t="s">
        <v>81</v>
      </c>
      <c r="N1048">
        <v>5</v>
      </c>
      <c r="O1048">
        <v>2024</v>
      </c>
      <c r="P1048" s="29" t="s">
        <v>732</v>
      </c>
      <c r="Q1048" t="s">
        <v>736</v>
      </c>
      <c r="R1048" t="s">
        <v>739</v>
      </c>
    </row>
    <row r="1049" spans="1:18" x14ac:dyDescent="0.25">
      <c r="A1049" s="9">
        <v>1048</v>
      </c>
      <c r="B1049" s="10">
        <v>45628</v>
      </c>
      <c r="C1049" s="11" t="s">
        <v>119</v>
      </c>
      <c r="D1049" s="11" t="s">
        <v>93</v>
      </c>
      <c r="E1049" s="11" t="s">
        <v>102</v>
      </c>
      <c r="F1049" s="11" t="s">
        <v>137</v>
      </c>
      <c r="G1049" s="9">
        <v>49</v>
      </c>
      <c r="H1049" s="26">
        <v>2100</v>
      </c>
      <c r="I1049" s="9">
        <v>5</v>
      </c>
      <c r="J1049" s="9">
        <f t="shared" si="32"/>
        <v>102900</v>
      </c>
      <c r="K1049" s="9">
        <f t="shared" si="33"/>
        <v>97755</v>
      </c>
      <c r="L1049" s="11" t="s">
        <v>76</v>
      </c>
      <c r="M1049" s="11" t="s">
        <v>91</v>
      </c>
      <c r="N1049">
        <v>12</v>
      </c>
      <c r="O1049">
        <v>2024</v>
      </c>
      <c r="P1049" s="29" t="s">
        <v>728</v>
      </c>
      <c r="Q1049" t="s">
        <v>733</v>
      </c>
      <c r="R1049" t="s">
        <v>739</v>
      </c>
    </row>
    <row r="1050" spans="1:18" x14ac:dyDescent="0.25">
      <c r="A1050" s="6">
        <v>1049</v>
      </c>
      <c r="B1050" s="7">
        <v>45548</v>
      </c>
      <c r="C1050" s="8" t="s">
        <v>101</v>
      </c>
      <c r="D1050" s="30" t="s">
        <v>703</v>
      </c>
      <c r="E1050" s="8" t="s">
        <v>84</v>
      </c>
      <c r="F1050" s="8" t="s">
        <v>206</v>
      </c>
      <c r="G1050" s="6">
        <v>14</v>
      </c>
      <c r="H1050" s="25">
        <v>13200</v>
      </c>
      <c r="I1050" s="6">
        <v>20</v>
      </c>
      <c r="J1050" s="6">
        <f t="shared" si="32"/>
        <v>184800</v>
      </c>
      <c r="K1050" s="6">
        <f t="shared" si="33"/>
        <v>147840</v>
      </c>
      <c r="L1050" s="8" t="s">
        <v>76</v>
      </c>
      <c r="M1050" s="8" t="s">
        <v>77</v>
      </c>
      <c r="N1050">
        <v>9</v>
      </c>
      <c r="O1050">
        <v>2024</v>
      </c>
      <c r="P1050" s="29" t="s">
        <v>731</v>
      </c>
      <c r="Q1050" t="s">
        <v>734</v>
      </c>
      <c r="R1050" t="s">
        <v>739</v>
      </c>
    </row>
    <row r="1051" spans="1:18" x14ac:dyDescent="0.25">
      <c r="A1051" s="9">
        <v>1050</v>
      </c>
      <c r="B1051" s="10">
        <v>45541</v>
      </c>
      <c r="C1051" s="11" t="s">
        <v>119</v>
      </c>
      <c r="D1051" s="11" t="s">
        <v>93</v>
      </c>
      <c r="E1051" s="11" t="s">
        <v>102</v>
      </c>
      <c r="F1051" s="11" t="s">
        <v>110</v>
      </c>
      <c r="G1051" s="9">
        <v>15</v>
      </c>
      <c r="H1051" s="26">
        <v>21500</v>
      </c>
      <c r="I1051" s="6">
        <v>0</v>
      </c>
      <c r="J1051" s="9">
        <f t="shared" si="32"/>
        <v>322500</v>
      </c>
      <c r="K1051" s="9">
        <f t="shared" si="33"/>
        <v>322500</v>
      </c>
      <c r="L1051" s="11" t="s">
        <v>76</v>
      </c>
      <c r="M1051" s="11" t="s">
        <v>96</v>
      </c>
      <c r="N1051">
        <v>9</v>
      </c>
      <c r="O1051">
        <v>2024</v>
      </c>
      <c r="P1051" s="29" t="s">
        <v>731</v>
      </c>
      <c r="Q1051" t="s">
        <v>734</v>
      </c>
      <c r="R1051" t="s">
        <v>737</v>
      </c>
    </row>
    <row r="1052" spans="1:18" x14ac:dyDescent="0.25">
      <c r="A1052" s="6">
        <v>1051</v>
      </c>
      <c r="B1052" s="7">
        <v>44962</v>
      </c>
      <c r="C1052" s="8" t="s">
        <v>108</v>
      </c>
      <c r="D1052" s="8" t="s">
        <v>109</v>
      </c>
      <c r="E1052" s="8" t="s">
        <v>79</v>
      </c>
      <c r="F1052" s="8" t="s">
        <v>80</v>
      </c>
      <c r="G1052" s="6">
        <v>41</v>
      </c>
      <c r="H1052" s="25">
        <v>8300</v>
      </c>
      <c r="I1052" s="6">
        <v>0</v>
      </c>
      <c r="J1052" s="6">
        <f t="shared" si="32"/>
        <v>340300</v>
      </c>
      <c r="K1052" s="6">
        <f t="shared" si="33"/>
        <v>340300</v>
      </c>
      <c r="L1052" s="8" t="s">
        <v>76</v>
      </c>
      <c r="M1052" s="31" t="s">
        <v>695</v>
      </c>
      <c r="N1052">
        <v>2</v>
      </c>
      <c r="O1052">
        <v>2023</v>
      </c>
      <c r="P1052" s="29" t="s">
        <v>717</v>
      </c>
      <c r="Q1052" t="s">
        <v>735</v>
      </c>
      <c r="R1052" t="s">
        <v>737</v>
      </c>
    </row>
    <row r="1053" spans="1:18" x14ac:dyDescent="0.25">
      <c r="A1053" s="9">
        <v>1052</v>
      </c>
      <c r="B1053" s="10">
        <v>45026</v>
      </c>
      <c r="C1053" s="11" t="s">
        <v>78</v>
      </c>
      <c r="D1053" s="11" t="s">
        <v>109</v>
      </c>
      <c r="E1053" s="11" t="s">
        <v>84</v>
      </c>
      <c r="F1053" s="11" t="s">
        <v>150</v>
      </c>
      <c r="G1053" s="9">
        <v>23</v>
      </c>
      <c r="H1053" s="26">
        <v>5000</v>
      </c>
      <c r="I1053" s="9">
        <v>0</v>
      </c>
      <c r="J1053" s="9">
        <f t="shared" si="32"/>
        <v>115000</v>
      </c>
      <c r="K1053" s="9">
        <f t="shared" si="33"/>
        <v>115000</v>
      </c>
      <c r="L1053" s="11" t="s">
        <v>76</v>
      </c>
      <c r="M1053" s="11" t="s">
        <v>96</v>
      </c>
      <c r="N1053">
        <v>4</v>
      </c>
      <c r="O1053">
        <v>2023</v>
      </c>
      <c r="P1053" s="29" t="s">
        <v>716</v>
      </c>
      <c r="Q1053" t="s">
        <v>736</v>
      </c>
      <c r="R1053" t="s">
        <v>739</v>
      </c>
    </row>
    <row r="1054" spans="1:18" x14ac:dyDescent="0.25">
      <c r="A1054" s="6">
        <v>1053</v>
      </c>
      <c r="B1054" s="7">
        <v>45012</v>
      </c>
      <c r="C1054" s="8" t="s">
        <v>82</v>
      </c>
      <c r="D1054" s="8" t="s">
        <v>117</v>
      </c>
      <c r="E1054" s="8" t="s">
        <v>84</v>
      </c>
      <c r="F1054" s="8" t="s">
        <v>148</v>
      </c>
      <c r="G1054" s="6">
        <v>19</v>
      </c>
      <c r="H1054" s="25">
        <v>5400</v>
      </c>
      <c r="I1054" s="6">
        <v>15</v>
      </c>
      <c r="J1054" s="6">
        <f t="shared" si="32"/>
        <v>102600</v>
      </c>
      <c r="K1054" s="6">
        <f t="shared" si="33"/>
        <v>87210</v>
      </c>
      <c r="L1054" s="8" t="s">
        <v>76</v>
      </c>
      <c r="M1054" s="8" t="s">
        <v>77</v>
      </c>
      <c r="N1054">
        <v>3</v>
      </c>
      <c r="O1054">
        <v>2023</v>
      </c>
      <c r="P1054" s="29" t="s">
        <v>719</v>
      </c>
      <c r="Q1054" t="s">
        <v>735</v>
      </c>
      <c r="R1054" t="s">
        <v>739</v>
      </c>
    </row>
    <row r="1055" spans="1:18" x14ac:dyDescent="0.25">
      <c r="A1055" s="9">
        <v>1054</v>
      </c>
      <c r="B1055" s="10">
        <v>45231</v>
      </c>
      <c r="C1055" s="11" t="s">
        <v>88</v>
      </c>
      <c r="D1055" s="11" t="s">
        <v>109</v>
      </c>
      <c r="E1055" s="11" t="s">
        <v>74</v>
      </c>
      <c r="F1055" s="11" t="s">
        <v>142</v>
      </c>
      <c r="G1055" s="9">
        <v>2</v>
      </c>
      <c r="H1055" s="26">
        <v>11600</v>
      </c>
      <c r="I1055" s="9">
        <v>15</v>
      </c>
      <c r="J1055" s="9">
        <f t="shared" si="32"/>
        <v>23200</v>
      </c>
      <c r="K1055" s="9">
        <f t="shared" si="33"/>
        <v>19720</v>
      </c>
      <c r="L1055" s="11" t="s">
        <v>76</v>
      </c>
      <c r="M1055" s="11" t="s">
        <v>77</v>
      </c>
      <c r="N1055">
        <v>11</v>
      </c>
      <c r="O1055">
        <v>2023</v>
      </c>
      <c r="P1055" s="29" t="s">
        <v>718</v>
      </c>
      <c r="Q1055" t="s">
        <v>733</v>
      </c>
      <c r="R1055" t="s">
        <v>738</v>
      </c>
    </row>
    <row r="1056" spans="1:18" x14ac:dyDescent="0.25">
      <c r="A1056" s="6">
        <v>1055</v>
      </c>
      <c r="B1056" s="7">
        <v>45424</v>
      </c>
      <c r="C1056" s="8" t="s">
        <v>114</v>
      </c>
      <c r="D1056" s="8" t="s">
        <v>117</v>
      </c>
      <c r="E1056" s="8" t="s">
        <v>102</v>
      </c>
      <c r="F1056" s="8" t="s">
        <v>181</v>
      </c>
      <c r="G1056" s="6">
        <v>15</v>
      </c>
      <c r="H1056" s="25">
        <v>5000</v>
      </c>
      <c r="I1056" s="6">
        <v>10</v>
      </c>
      <c r="J1056" s="6">
        <f t="shared" si="32"/>
        <v>75000</v>
      </c>
      <c r="K1056" s="6">
        <f t="shared" si="33"/>
        <v>67500</v>
      </c>
      <c r="L1056" s="8" t="s">
        <v>76</v>
      </c>
      <c r="M1056" s="8" t="s">
        <v>81</v>
      </c>
      <c r="N1056">
        <v>5</v>
      </c>
      <c r="O1056">
        <v>2024</v>
      </c>
      <c r="P1056" s="29" t="s">
        <v>732</v>
      </c>
      <c r="Q1056" t="s">
        <v>736</v>
      </c>
      <c r="R1056" t="s">
        <v>739</v>
      </c>
    </row>
    <row r="1057" spans="1:18" x14ac:dyDescent="0.25">
      <c r="A1057" s="9">
        <v>1056</v>
      </c>
      <c r="B1057" s="10">
        <v>45453</v>
      </c>
      <c r="C1057" s="11" t="s">
        <v>114</v>
      </c>
      <c r="D1057" s="11" t="s">
        <v>109</v>
      </c>
      <c r="E1057" s="11" t="s">
        <v>111</v>
      </c>
      <c r="F1057" s="11" t="s">
        <v>156</v>
      </c>
      <c r="G1057" s="9">
        <v>28</v>
      </c>
      <c r="H1057" s="26">
        <v>45500</v>
      </c>
      <c r="I1057" s="9">
        <v>0</v>
      </c>
      <c r="J1057" s="9">
        <f t="shared" si="32"/>
        <v>1274000</v>
      </c>
      <c r="K1057" s="9">
        <f t="shared" si="33"/>
        <v>1274000</v>
      </c>
      <c r="L1057" s="11" t="s">
        <v>76</v>
      </c>
      <c r="M1057" s="11" t="s">
        <v>91</v>
      </c>
      <c r="N1057">
        <v>6</v>
      </c>
      <c r="O1057">
        <v>2024</v>
      </c>
      <c r="P1057" s="29" t="s">
        <v>720</v>
      </c>
      <c r="Q1057" t="s">
        <v>736</v>
      </c>
      <c r="R1057" t="s">
        <v>737</v>
      </c>
    </row>
    <row r="1058" spans="1:18" x14ac:dyDescent="0.25">
      <c r="A1058" s="9">
        <v>1057</v>
      </c>
      <c r="B1058" s="10">
        <v>45434</v>
      </c>
      <c r="C1058" s="11" t="s">
        <v>108</v>
      </c>
      <c r="D1058" s="11" t="s">
        <v>83</v>
      </c>
      <c r="E1058" s="11" t="s">
        <v>84</v>
      </c>
      <c r="F1058" s="11" t="s">
        <v>128</v>
      </c>
      <c r="G1058" s="9">
        <v>32</v>
      </c>
      <c r="H1058" s="26">
        <v>4000</v>
      </c>
      <c r="I1058" s="9">
        <v>15</v>
      </c>
      <c r="J1058" s="9">
        <f t="shared" si="32"/>
        <v>128000</v>
      </c>
      <c r="K1058" s="9">
        <f t="shared" si="33"/>
        <v>108800</v>
      </c>
      <c r="L1058" s="11" t="s">
        <v>123</v>
      </c>
      <c r="M1058" s="11" t="s">
        <v>81</v>
      </c>
      <c r="N1058">
        <v>5</v>
      </c>
      <c r="O1058">
        <v>2024</v>
      </c>
      <c r="P1058" s="29" t="s">
        <v>732</v>
      </c>
      <c r="Q1058" t="s">
        <v>736</v>
      </c>
      <c r="R1058" t="s">
        <v>739</v>
      </c>
    </row>
    <row r="1059" spans="1:18" x14ac:dyDescent="0.25">
      <c r="A1059" s="6">
        <v>1058</v>
      </c>
      <c r="B1059" s="7">
        <v>45215</v>
      </c>
      <c r="C1059" s="8" t="s">
        <v>78</v>
      </c>
      <c r="D1059" s="8" t="s">
        <v>117</v>
      </c>
      <c r="E1059" s="8" t="s">
        <v>84</v>
      </c>
      <c r="F1059" s="8" t="s">
        <v>128</v>
      </c>
      <c r="G1059" s="6">
        <v>44</v>
      </c>
      <c r="H1059" s="25">
        <v>4600</v>
      </c>
      <c r="I1059" s="6">
        <v>0</v>
      </c>
      <c r="J1059" s="6">
        <f t="shared" si="32"/>
        <v>202400</v>
      </c>
      <c r="K1059" s="6">
        <f t="shared" si="33"/>
        <v>202400</v>
      </c>
      <c r="L1059" s="8" t="s">
        <v>76</v>
      </c>
      <c r="M1059" s="8" t="s">
        <v>77</v>
      </c>
      <c r="N1059">
        <v>10</v>
      </c>
      <c r="O1059">
        <v>2023</v>
      </c>
      <c r="P1059" s="29" t="s">
        <v>726</v>
      </c>
      <c r="Q1059" t="s">
        <v>733</v>
      </c>
      <c r="R1059" t="s">
        <v>737</v>
      </c>
    </row>
    <row r="1060" spans="1:18" x14ac:dyDescent="0.25">
      <c r="A1060" s="9">
        <v>1059</v>
      </c>
      <c r="B1060" s="10">
        <v>45000</v>
      </c>
      <c r="C1060" s="11" t="s">
        <v>114</v>
      </c>
      <c r="D1060" s="11" t="s">
        <v>109</v>
      </c>
      <c r="E1060" s="11" t="s">
        <v>111</v>
      </c>
      <c r="F1060" s="11" t="s">
        <v>165</v>
      </c>
      <c r="G1060" s="9">
        <v>34</v>
      </c>
      <c r="H1060" s="26">
        <v>16700</v>
      </c>
      <c r="I1060" s="9">
        <v>10</v>
      </c>
      <c r="J1060" s="9">
        <f t="shared" si="32"/>
        <v>567800</v>
      </c>
      <c r="K1060" s="9">
        <f t="shared" si="33"/>
        <v>511020</v>
      </c>
      <c r="L1060" s="11" t="s">
        <v>76</v>
      </c>
      <c r="M1060" s="11" t="s">
        <v>77</v>
      </c>
      <c r="N1060">
        <v>3</v>
      </c>
      <c r="O1060">
        <v>2023</v>
      </c>
      <c r="P1060" s="29" t="s">
        <v>719</v>
      </c>
      <c r="Q1060" t="s">
        <v>735</v>
      </c>
      <c r="R1060" t="s">
        <v>737</v>
      </c>
    </row>
    <row r="1061" spans="1:18" x14ac:dyDescent="0.25">
      <c r="A1061" s="6">
        <v>1060</v>
      </c>
      <c r="B1061" s="7">
        <v>45029</v>
      </c>
      <c r="C1061" s="8" t="s">
        <v>114</v>
      </c>
      <c r="D1061" s="8" t="s">
        <v>83</v>
      </c>
      <c r="E1061" s="8" t="s">
        <v>79</v>
      </c>
      <c r="F1061" s="8" t="s">
        <v>131</v>
      </c>
      <c r="G1061" s="6">
        <v>49</v>
      </c>
      <c r="H1061" s="25">
        <v>132800</v>
      </c>
      <c r="I1061" s="6">
        <v>0</v>
      </c>
      <c r="J1061" s="6">
        <f t="shared" si="32"/>
        <v>6507200</v>
      </c>
      <c r="K1061" s="6">
        <f t="shared" si="33"/>
        <v>6507200</v>
      </c>
      <c r="L1061" s="8" t="s">
        <v>187</v>
      </c>
      <c r="M1061" s="8" t="s">
        <v>77</v>
      </c>
      <c r="N1061">
        <v>4</v>
      </c>
      <c r="O1061">
        <v>2023</v>
      </c>
      <c r="P1061" s="29" t="s">
        <v>716</v>
      </c>
      <c r="Q1061" t="s">
        <v>736</v>
      </c>
      <c r="R1061" t="s">
        <v>737</v>
      </c>
    </row>
    <row r="1062" spans="1:18" x14ac:dyDescent="0.25">
      <c r="A1062" s="9">
        <v>1061</v>
      </c>
      <c r="B1062" s="10">
        <v>45181</v>
      </c>
      <c r="C1062" s="11" t="s">
        <v>97</v>
      </c>
      <c r="D1062" s="11" t="s">
        <v>117</v>
      </c>
      <c r="E1062" s="11" t="s">
        <v>84</v>
      </c>
      <c r="F1062" s="11" t="s">
        <v>206</v>
      </c>
      <c r="G1062" s="9">
        <v>1</v>
      </c>
      <c r="H1062" s="26">
        <v>15400</v>
      </c>
      <c r="I1062" s="9">
        <v>10</v>
      </c>
      <c r="J1062" s="9">
        <f t="shared" si="32"/>
        <v>15400</v>
      </c>
      <c r="K1062" s="9">
        <f t="shared" si="33"/>
        <v>13860</v>
      </c>
      <c r="L1062" s="11" t="s">
        <v>123</v>
      </c>
      <c r="M1062" s="11" t="s">
        <v>77</v>
      </c>
      <c r="N1062">
        <v>9</v>
      </c>
      <c r="O1062">
        <v>2023</v>
      </c>
      <c r="P1062" s="29" t="s">
        <v>715</v>
      </c>
      <c r="Q1062" t="s">
        <v>734</v>
      </c>
      <c r="R1062" t="s">
        <v>738</v>
      </c>
    </row>
    <row r="1063" spans="1:18" x14ac:dyDescent="0.25">
      <c r="A1063" s="9">
        <v>1062</v>
      </c>
      <c r="B1063" s="10">
        <v>45273</v>
      </c>
      <c r="C1063" s="11" t="s">
        <v>97</v>
      </c>
      <c r="D1063" s="11" t="s">
        <v>109</v>
      </c>
      <c r="E1063" s="11" t="s">
        <v>84</v>
      </c>
      <c r="F1063" s="11" t="s">
        <v>85</v>
      </c>
      <c r="G1063" s="9">
        <v>29</v>
      </c>
      <c r="H1063" s="26">
        <v>5900</v>
      </c>
      <c r="I1063" s="9">
        <v>0</v>
      </c>
      <c r="J1063" s="9">
        <f t="shared" si="32"/>
        <v>171100</v>
      </c>
      <c r="K1063" s="9">
        <f t="shared" si="33"/>
        <v>171100</v>
      </c>
      <c r="L1063" s="11" t="s">
        <v>187</v>
      </c>
      <c r="M1063" s="11" t="s">
        <v>96</v>
      </c>
      <c r="N1063">
        <v>12</v>
      </c>
      <c r="O1063">
        <v>2023</v>
      </c>
      <c r="P1063" s="29" t="s">
        <v>725</v>
      </c>
      <c r="Q1063" t="s">
        <v>733</v>
      </c>
      <c r="R1063" t="s">
        <v>739</v>
      </c>
    </row>
    <row r="1064" spans="1:18" x14ac:dyDescent="0.25">
      <c r="A1064" s="6">
        <v>1063</v>
      </c>
      <c r="B1064" s="7">
        <v>45417</v>
      </c>
      <c r="C1064" s="8" t="s">
        <v>108</v>
      </c>
      <c r="D1064" s="8" t="s">
        <v>109</v>
      </c>
      <c r="E1064" s="8" t="s">
        <v>79</v>
      </c>
      <c r="F1064" s="8" t="s">
        <v>179</v>
      </c>
      <c r="G1064" s="6">
        <v>8</v>
      </c>
      <c r="H1064" s="25">
        <v>2600</v>
      </c>
      <c r="I1064" s="6">
        <v>0</v>
      </c>
      <c r="J1064" s="6">
        <f t="shared" si="32"/>
        <v>20800</v>
      </c>
      <c r="K1064" s="6">
        <f t="shared" si="33"/>
        <v>20800</v>
      </c>
      <c r="L1064" s="8" t="s">
        <v>76</v>
      </c>
      <c r="M1064" s="8" t="s">
        <v>77</v>
      </c>
      <c r="N1064">
        <v>5</v>
      </c>
      <c r="O1064">
        <v>2024</v>
      </c>
      <c r="P1064" s="29" t="s">
        <v>732</v>
      </c>
      <c r="Q1064" t="s">
        <v>736</v>
      </c>
      <c r="R1064" t="s">
        <v>738</v>
      </c>
    </row>
    <row r="1065" spans="1:18" x14ac:dyDescent="0.25">
      <c r="A1065" s="9">
        <v>1064</v>
      </c>
      <c r="B1065" s="10">
        <v>45603</v>
      </c>
      <c r="C1065" s="11" t="s">
        <v>101</v>
      </c>
      <c r="D1065" s="11" t="s">
        <v>73</v>
      </c>
      <c r="E1065" s="11" t="s">
        <v>102</v>
      </c>
      <c r="F1065" s="11" t="s">
        <v>151</v>
      </c>
      <c r="G1065" s="9">
        <v>15</v>
      </c>
      <c r="H1065" s="26">
        <v>7000</v>
      </c>
      <c r="I1065" s="9">
        <v>5</v>
      </c>
      <c r="J1065" s="9">
        <f t="shared" si="32"/>
        <v>105000</v>
      </c>
      <c r="K1065" s="9">
        <f t="shared" si="33"/>
        <v>99750</v>
      </c>
      <c r="L1065" s="11" t="s">
        <v>76</v>
      </c>
      <c r="M1065" s="11" t="s">
        <v>91</v>
      </c>
      <c r="N1065">
        <v>11</v>
      </c>
      <c r="O1065">
        <v>2024</v>
      </c>
      <c r="P1065" s="29" t="s">
        <v>714</v>
      </c>
      <c r="Q1065" t="s">
        <v>733</v>
      </c>
      <c r="R1065" t="s">
        <v>739</v>
      </c>
    </row>
    <row r="1066" spans="1:18" x14ac:dyDescent="0.25">
      <c r="A1066" s="9">
        <v>1065</v>
      </c>
      <c r="B1066" s="10">
        <v>45077</v>
      </c>
      <c r="C1066" s="11" t="s">
        <v>88</v>
      </c>
      <c r="D1066" s="11" t="s">
        <v>117</v>
      </c>
      <c r="E1066" s="11" t="s">
        <v>84</v>
      </c>
      <c r="F1066" s="11" t="s">
        <v>148</v>
      </c>
      <c r="G1066" s="9">
        <v>46</v>
      </c>
      <c r="H1066" s="26">
        <v>5100</v>
      </c>
      <c r="I1066" s="9">
        <v>5</v>
      </c>
      <c r="J1066" s="9">
        <f t="shared" si="32"/>
        <v>234600</v>
      </c>
      <c r="K1066" s="9">
        <f t="shared" si="33"/>
        <v>222870</v>
      </c>
      <c r="L1066" s="11" t="s">
        <v>187</v>
      </c>
      <c r="M1066" s="11" t="s">
        <v>77</v>
      </c>
      <c r="N1066">
        <v>5</v>
      </c>
      <c r="O1066">
        <v>2023</v>
      </c>
      <c r="P1066" s="29" t="s">
        <v>730</v>
      </c>
      <c r="Q1066" t="s">
        <v>736</v>
      </c>
      <c r="R1066" t="s">
        <v>737</v>
      </c>
    </row>
    <row r="1067" spans="1:18" x14ac:dyDescent="0.25">
      <c r="A1067" s="6">
        <v>1066</v>
      </c>
      <c r="B1067" s="7">
        <v>45100</v>
      </c>
      <c r="C1067" s="8" t="s">
        <v>97</v>
      </c>
      <c r="D1067" s="8" t="s">
        <v>109</v>
      </c>
      <c r="E1067" s="8" t="s">
        <v>79</v>
      </c>
      <c r="F1067" s="8" t="s">
        <v>179</v>
      </c>
      <c r="G1067" s="6">
        <v>40</v>
      </c>
      <c r="H1067" s="25">
        <v>2500</v>
      </c>
      <c r="I1067" s="6">
        <v>0</v>
      </c>
      <c r="J1067" s="6">
        <f t="shared" si="32"/>
        <v>100000</v>
      </c>
      <c r="K1067" s="6">
        <f t="shared" si="33"/>
        <v>100000</v>
      </c>
      <c r="L1067" s="8" t="s">
        <v>76</v>
      </c>
      <c r="M1067" s="8" t="s">
        <v>96</v>
      </c>
      <c r="N1067">
        <v>6</v>
      </c>
      <c r="O1067">
        <v>2023</v>
      </c>
      <c r="P1067" s="29" t="s">
        <v>723</v>
      </c>
      <c r="Q1067" t="s">
        <v>736</v>
      </c>
      <c r="R1067" t="s">
        <v>739</v>
      </c>
    </row>
    <row r="1068" spans="1:18" x14ac:dyDescent="0.25">
      <c r="A1068" s="9">
        <v>1067</v>
      </c>
      <c r="B1068" s="10">
        <v>44971</v>
      </c>
      <c r="C1068" s="11" t="s">
        <v>124</v>
      </c>
      <c r="D1068" s="11" t="s">
        <v>109</v>
      </c>
      <c r="E1068" s="11" t="s">
        <v>84</v>
      </c>
      <c r="F1068" s="11" t="s">
        <v>148</v>
      </c>
      <c r="G1068" s="9">
        <v>39</v>
      </c>
      <c r="H1068" s="26">
        <v>5000</v>
      </c>
      <c r="I1068" s="9">
        <v>0</v>
      </c>
      <c r="J1068" s="9">
        <f t="shared" si="32"/>
        <v>195000</v>
      </c>
      <c r="K1068" s="9">
        <f t="shared" si="33"/>
        <v>195000</v>
      </c>
      <c r="L1068" s="11" t="s">
        <v>76</v>
      </c>
      <c r="M1068" s="11" t="s">
        <v>91</v>
      </c>
      <c r="N1068">
        <v>2</v>
      </c>
      <c r="O1068">
        <v>2023</v>
      </c>
      <c r="P1068" s="29" t="s">
        <v>717</v>
      </c>
      <c r="Q1068" t="s">
        <v>735</v>
      </c>
      <c r="R1068" t="s">
        <v>739</v>
      </c>
    </row>
    <row r="1069" spans="1:18" x14ac:dyDescent="0.25">
      <c r="A1069" s="6">
        <v>1068</v>
      </c>
      <c r="B1069" s="7">
        <v>45610</v>
      </c>
      <c r="C1069" s="8" t="s">
        <v>101</v>
      </c>
      <c r="D1069" s="8" t="s">
        <v>93</v>
      </c>
      <c r="E1069" s="8" t="s">
        <v>74</v>
      </c>
      <c r="F1069" s="8" t="s">
        <v>212</v>
      </c>
      <c r="G1069" s="6">
        <v>18</v>
      </c>
      <c r="H1069" s="25">
        <v>9000</v>
      </c>
      <c r="I1069" s="6">
        <v>0</v>
      </c>
      <c r="J1069" s="6">
        <f t="shared" si="32"/>
        <v>162000</v>
      </c>
      <c r="K1069" s="6">
        <f t="shared" si="33"/>
        <v>162000</v>
      </c>
      <c r="L1069" s="8" t="s">
        <v>107</v>
      </c>
      <c r="M1069" s="8" t="s">
        <v>96</v>
      </c>
      <c r="N1069">
        <v>11</v>
      </c>
      <c r="O1069">
        <v>2024</v>
      </c>
      <c r="P1069" s="29" t="s">
        <v>714</v>
      </c>
      <c r="Q1069" t="s">
        <v>733</v>
      </c>
      <c r="R1069" t="s">
        <v>739</v>
      </c>
    </row>
    <row r="1070" spans="1:18" x14ac:dyDescent="0.25">
      <c r="A1070" s="9">
        <v>1069</v>
      </c>
      <c r="B1070" s="10">
        <v>45655</v>
      </c>
      <c r="C1070" s="11" t="s">
        <v>97</v>
      </c>
      <c r="D1070" s="11" t="s">
        <v>73</v>
      </c>
      <c r="E1070" s="11" t="s">
        <v>84</v>
      </c>
      <c r="F1070" s="11" t="s">
        <v>128</v>
      </c>
      <c r="G1070" s="9">
        <v>25</v>
      </c>
      <c r="H1070" s="26">
        <v>4100</v>
      </c>
      <c r="I1070" s="9">
        <v>20</v>
      </c>
      <c r="J1070" s="9">
        <f t="shared" si="32"/>
        <v>102500</v>
      </c>
      <c r="K1070" s="9">
        <f t="shared" si="33"/>
        <v>82000</v>
      </c>
      <c r="L1070" s="11" t="s">
        <v>76</v>
      </c>
      <c r="M1070" s="11" t="s">
        <v>91</v>
      </c>
      <c r="N1070">
        <v>12</v>
      </c>
      <c r="O1070">
        <v>2024</v>
      </c>
      <c r="P1070" s="29" t="s">
        <v>728</v>
      </c>
      <c r="Q1070" t="s">
        <v>733</v>
      </c>
      <c r="R1070" t="s">
        <v>739</v>
      </c>
    </row>
    <row r="1071" spans="1:18" x14ac:dyDescent="0.25">
      <c r="A1071" s="6">
        <v>1070</v>
      </c>
      <c r="B1071" s="7">
        <v>45202</v>
      </c>
      <c r="C1071" s="8" t="s">
        <v>97</v>
      </c>
      <c r="D1071" s="30" t="s">
        <v>703</v>
      </c>
      <c r="E1071" s="8" t="s">
        <v>111</v>
      </c>
      <c r="F1071" s="8" t="s">
        <v>135</v>
      </c>
      <c r="G1071" s="6">
        <v>21</v>
      </c>
      <c r="H1071" s="25">
        <v>107700</v>
      </c>
      <c r="I1071" s="6">
        <v>20</v>
      </c>
      <c r="J1071" s="6">
        <f t="shared" si="32"/>
        <v>2261700</v>
      </c>
      <c r="K1071" s="6">
        <f t="shared" si="33"/>
        <v>1809360</v>
      </c>
      <c r="L1071" s="8" t="s">
        <v>123</v>
      </c>
      <c r="M1071" s="8" t="s">
        <v>81</v>
      </c>
      <c r="N1071">
        <v>10</v>
      </c>
      <c r="O1071">
        <v>2023</v>
      </c>
      <c r="P1071" s="29" t="s">
        <v>726</v>
      </c>
      <c r="Q1071" t="s">
        <v>733</v>
      </c>
      <c r="R1071" t="s">
        <v>737</v>
      </c>
    </row>
    <row r="1072" spans="1:18" x14ac:dyDescent="0.25">
      <c r="A1072" s="9">
        <v>1071</v>
      </c>
      <c r="B1072" s="10">
        <v>45321</v>
      </c>
      <c r="C1072" s="11" t="s">
        <v>88</v>
      </c>
      <c r="D1072" s="11" t="s">
        <v>117</v>
      </c>
      <c r="E1072" s="11" t="s">
        <v>111</v>
      </c>
      <c r="F1072" s="11" t="s">
        <v>165</v>
      </c>
      <c r="G1072" s="9">
        <v>27</v>
      </c>
      <c r="H1072" s="26">
        <v>18400</v>
      </c>
      <c r="I1072" s="9">
        <v>0</v>
      </c>
      <c r="J1072" s="9">
        <f t="shared" si="32"/>
        <v>496800</v>
      </c>
      <c r="K1072" s="9">
        <f t="shared" si="33"/>
        <v>496800</v>
      </c>
      <c r="L1072" s="11" t="s">
        <v>76</v>
      </c>
      <c r="M1072" s="11" t="s">
        <v>96</v>
      </c>
      <c r="N1072">
        <v>1</v>
      </c>
      <c r="O1072">
        <v>2024</v>
      </c>
      <c r="P1072" s="29" t="s">
        <v>727</v>
      </c>
      <c r="Q1072" t="s">
        <v>735</v>
      </c>
      <c r="R1072" t="s">
        <v>737</v>
      </c>
    </row>
    <row r="1073" spans="1:18" x14ac:dyDescent="0.25">
      <c r="A1073" s="6">
        <v>1072</v>
      </c>
      <c r="B1073" s="7">
        <v>45596</v>
      </c>
      <c r="C1073" s="8" t="s">
        <v>106</v>
      </c>
      <c r="D1073" s="8" t="s">
        <v>83</v>
      </c>
      <c r="E1073" s="8" t="s">
        <v>111</v>
      </c>
      <c r="F1073" s="8" t="s">
        <v>159</v>
      </c>
      <c r="G1073" s="6">
        <v>32</v>
      </c>
      <c r="H1073" s="25">
        <v>12400</v>
      </c>
      <c r="I1073" s="6">
        <v>5</v>
      </c>
      <c r="J1073" s="6">
        <f t="shared" si="32"/>
        <v>396800</v>
      </c>
      <c r="K1073" s="6">
        <f t="shared" si="33"/>
        <v>376960</v>
      </c>
      <c r="L1073" s="8" t="s">
        <v>76</v>
      </c>
      <c r="M1073" s="8" t="s">
        <v>81</v>
      </c>
      <c r="N1073">
        <v>10</v>
      </c>
      <c r="O1073">
        <v>2024</v>
      </c>
      <c r="P1073" s="29" t="s">
        <v>709</v>
      </c>
      <c r="Q1073" t="s">
        <v>733</v>
      </c>
      <c r="R1073" t="s">
        <v>737</v>
      </c>
    </row>
    <row r="1074" spans="1:18" x14ac:dyDescent="0.25">
      <c r="A1074" s="9">
        <v>1073</v>
      </c>
      <c r="B1074" s="10">
        <v>45012</v>
      </c>
      <c r="C1074" s="11" t="s">
        <v>124</v>
      </c>
      <c r="D1074" s="11" t="s">
        <v>83</v>
      </c>
      <c r="E1074" s="11" t="s">
        <v>102</v>
      </c>
      <c r="F1074" s="11" t="s">
        <v>181</v>
      </c>
      <c r="G1074" s="9">
        <v>16</v>
      </c>
      <c r="H1074" s="26">
        <v>4800</v>
      </c>
      <c r="I1074" s="9">
        <v>20</v>
      </c>
      <c r="J1074" s="9">
        <f t="shared" si="32"/>
        <v>76800</v>
      </c>
      <c r="K1074" s="9">
        <f t="shared" si="33"/>
        <v>61440</v>
      </c>
      <c r="L1074" s="11" t="s">
        <v>76</v>
      </c>
      <c r="M1074" s="11" t="s">
        <v>81</v>
      </c>
      <c r="N1074">
        <v>3</v>
      </c>
      <c r="O1074">
        <v>2023</v>
      </c>
      <c r="P1074" s="29" t="s">
        <v>719</v>
      </c>
      <c r="Q1074" t="s">
        <v>735</v>
      </c>
      <c r="R1074" t="s">
        <v>739</v>
      </c>
    </row>
    <row r="1075" spans="1:18" x14ac:dyDescent="0.25">
      <c r="A1075" s="6">
        <v>1074</v>
      </c>
      <c r="B1075" s="7">
        <v>44944</v>
      </c>
      <c r="C1075" s="8" t="s">
        <v>88</v>
      </c>
      <c r="D1075" s="8" t="s">
        <v>93</v>
      </c>
      <c r="E1075" s="8" t="s">
        <v>111</v>
      </c>
      <c r="F1075" s="8" t="s">
        <v>166</v>
      </c>
      <c r="G1075" s="6">
        <v>4</v>
      </c>
      <c r="H1075" s="25">
        <v>31600</v>
      </c>
      <c r="I1075" s="6">
        <v>20</v>
      </c>
      <c r="J1075" s="6">
        <f t="shared" si="32"/>
        <v>126400</v>
      </c>
      <c r="K1075" s="6">
        <f t="shared" si="33"/>
        <v>101120</v>
      </c>
      <c r="L1075" s="8" t="s">
        <v>107</v>
      </c>
      <c r="M1075" s="8" t="s">
        <v>96</v>
      </c>
      <c r="N1075">
        <v>1</v>
      </c>
      <c r="O1075">
        <v>2023</v>
      </c>
      <c r="P1075" s="29" t="s">
        <v>721</v>
      </c>
      <c r="Q1075" t="s">
        <v>735</v>
      </c>
      <c r="R1075" t="s">
        <v>739</v>
      </c>
    </row>
    <row r="1076" spans="1:18" x14ac:dyDescent="0.25">
      <c r="A1076" s="9">
        <v>1075</v>
      </c>
      <c r="B1076" s="10">
        <v>45069</v>
      </c>
      <c r="C1076" s="11" t="s">
        <v>101</v>
      </c>
      <c r="D1076" s="11" t="s">
        <v>83</v>
      </c>
      <c r="E1076" s="11" t="s">
        <v>84</v>
      </c>
      <c r="F1076" s="11" t="s">
        <v>148</v>
      </c>
      <c r="G1076" s="9">
        <v>15</v>
      </c>
      <c r="H1076" s="26">
        <v>4600</v>
      </c>
      <c r="I1076" s="9">
        <v>0</v>
      </c>
      <c r="J1076" s="9">
        <f t="shared" si="32"/>
        <v>69000</v>
      </c>
      <c r="K1076" s="9">
        <f t="shared" si="33"/>
        <v>69000</v>
      </c>
      <c r="L1076" s="11" t="s">
        <v>76</v>
      </c>
      <c r="M1076" s="11" t="s">
        <v>81</v>
      </c>
      <c r="N1076">
        <v>5</v>
      </c>
      <c r="O1076">
        <v>2023</v>
      </c>
      <c r="P1076" s="29" t="s">
        <v>730</v>
      </c>
      <c r="Q1076" t="s">
        <v>736</v>
      </c>
      <c r="R1076" t="s">
        <v>739</v>
      </c>
    </row>
    <row r="1077" spans="1:18" x14ac:dyDescent="0.25">
      <c r="A1077" s="6">
        <v>1076</v>
      </c>
      <c r="B1077" s="7">
        <v>45639</v>
      </c>
      <c r="C1077" s="8" t="s">
        <v>108</v>
      </c>
      <c r="D1077" s="8" t="s">
        <v>83</v>
      </c>
      <c r="E1077" s="8" t="s">
        <v>79</v>
      </c>
      <c r="F1077" s="8" t="s">
        <v>115</v>
      </c>
      <c r="G1077" s="6">
        <v>45</v>
      </c>
      <c r="H1077" s="25">
        <v>8900</v>
      </c>
      <c r="I1077" s="6">
        <v>5</v>
      </c>
      <c r="J1077" s="6">
        <f t="shared" si="32"/>
        <v>400500</v>
      </c>
      <c r="K1077" s="6">
        <f t="shared" si="33"/>
        <v>380475</v>
      </c>
      <c r="L1077" s="8" t="s">
        <v>76</v>
      </c>
      <c r="M1077" s="8" t="s">
        <v>77</v>
      </c>
      <c r="N1077">
        <v>12</v>
      </c>
      <c r="O1077">
        <v>2024</v>
      </c>
      <c r="P1077" s="29" t="s">
        <v>728</v>
      </c>
      <c r="Q1077" t="s">
        <v>733</v>
      </c>
      <c r="R1077" t="s">
        <v>737</v>
      </c>
    </row>
    <row r="1078" spans="1:18" x14ac:dyDescent="0.25">
      <c r="A1078" s="9">
        <v>1077</v>
      </c>
      <c r="B1078" s="10">
        <v>45535</v>
      </c>
      <c r="C1078" s="11" t="s">
        <v>108</v>
      </c>
      <c r="D1078" s="11" t="s">
        <v>73</v>
      </c>
      <c r="E1078" s="11" t="s">
        <v>84</v>
      </c>
      <c r="F1078" s="11" t="s">
        <v>200</v>
      </c>
      <c r="G1078" s="9">
        <v>16</v>
      </c>
      <c r="H1078" s="26">
        <v>3000</v>
      </c>
      <c r="I1078" s="9">
        <v>0</v>
      </c>
      <c r="J1078" s="9">
        <f t="shared" si="32"/>
        <v>48000</v>
      </c>
      <c r="K1078" s="9">
        <f t="shared" si="33"/>
        <v>48000</v>
      </c>
      <c r="L1078" s="11" t="s">
        <v>76</v>
      </c>
      <c r="M1078" s="11" t="s">
        <v>91</v>
      </c>
      <c r="N1078">
        <v>8</v>
      </c>
      <c r="O1078">
        <v>2024</v>
      </c>
      <c r="P1078" s="29" t="s">
        <v>710</v>
      </c>
      <c r="Q1078" t="s">
        <v>734</v>
      </c>
      <c r="R1078" t="s">
        <v>738</v>
      </c>
    </row>
    <row r="1079" spans="1:18" x14ac:dyDescent="0.25">
      <c r="A1079" s="6">
        <v>1078</v>
      </c>
      <c r="B1079" s="7">
        <v>45084</v>
      </c>
      <c r="C1079" s="8" t="s">
        <v>119</v>
      </c>
      <c r="D1079" s="8" t="s">
        <v>109</v>
      </c>
      <c r="E1079" s="8" t="s">
        <v>102</v>
      </c>
      <c r="F1079" s="8" t="s">
        <v>110</v>
      </c>
      <c r="G1079" s="6">
        <v>47</v>
      </c>
      <c r="H1079" s="25">
        <v>22400</v>
      </c>
      <c r="I1079" s="6">
        <v>0</v>
      </c>
      <c r="J1079" s="6">
        <f t="shared" si="32"/>
        <v>1052800</v>
      </c>
      <c r="K1079" s="6">
        <f t="shared" si="33"/>
        <v>1052800</v>
      </c>
      <c r="L1079" s="8" t="s">
        <v>76</v>
      </c>
      <c r="M1079" s="8" t="s">
        <v>77</v>
      </c>
      <c r="N1079">
        <v>6</v>
      </c>
      <c r="O1079">
        <v>2023</v>
      </c>
      <c r="P1079" s="29" t="s">
        <v>723</v>
      </c>
      <c r="Q1079" t="s">
        <v>736</v>
      </c>
      <c r="R1079" t="s">
        <v>737</v>
      </c>
    </row>
    <row r="1080" spans="1:18" x14ac:dyDescent="0.25">
      <c r="A1080" s="9">
        <v>1079</v>
      </c>
      <c r="B1080" s="10">
        <v>45040</v>
      </c>
      <c r="C1080" s="11" t="s">
        <v>108</v>
      </c>
      <c r="D1080" s="11" t="s">
        <v>73</v>
      </c>
      <c r="E1080" s="11" t="s">
        <v>79</v>
      </c>
      <c r="F1080" s="11" t="s">
        <v>122</v>
      </c>
      <c r="G1080" s="9">
        <v>1</v>
      </c>
      <c r="H1080" s="26">
        <v>18500</v>
      </c>
      <c r="I1080" s="9">
        <v>15</v>
      </c>
      <c r="J1080" s="9">
        <f t="shared" si="32"/>
        <v>18500</v>
      </c>
      <c r="K1080" s="9">
        <f t="shared" si="33"/>
        <v>15725</v>
      </c>
      <c r="L1080" s="11" t="s">
        <v>76</v>
      </c>
      <c r="M1080" s="11" t="s">
        <v>91</v>
      </c>
      <c r="N1080">
        <v>4</v>
      </c>
      <c r="O1080">
        <v>2023</v>
      </c>
      <c r="P1080" s="29" t="s">
        <v>716</v>
      </c>
      <c r="Q1080" t="s">
        <v>736</v>
      </c>
      <c r="R1080" t="s">
        <v>738</v>
      </c>
    </row>
    <row r="1081" spans="1:18" x14ac:dyDescent="0.25">
      <c r="A1081" s="6">
        <v>1080</v>
      </c>
      <c r="B1081" s="7">
        <v>45569</v>
      </c>
      <c r="C1081" s="8" t="s">
        <v>82</v>
      </c>
      <c r="D1081" s="8" t="s">
        <v>117</v>
      </c>
      <c r="E1081" s="8" t="s">
        <v>102</v>
      </c>
      <c r="F1081" s="8" t="s">
        <v>110</v>
      </c>
      <c r="G1081" s="6">
        <v>28</v>
      </c>
      <c r="H1081" s="25">
        <v>23700</v>
      </c>
      <c r="I1081" s="6">
        <v>0</v>
      </c>
      <c r="J1081" s="6">
        <f t="shared" si="32"/>
        <v>663600</v>
      </c>
      <c r="K1081" s="6">
        <f t="shared" si="33"/>
        <v>663600</v>
      </c>
      <c r="L1081" s="8" t="s">
        <v>123</v>
      </c>
      <c r="M1081" s="8" t="s">
        <v>96</v>
      </c>
      <c r="N1081">
        <v>10</v>
      </c>
      <c r="O1081">
        <v>2024</v>
      </c>
      <c r="P1081" s="29" t="s">
        <v>709</v>
      </c>
      <c r="Q1081" t="s">
        <v>733</v>
      </c>
      <c r="R1081" t="s">
        <v>737</v>
      </c>
    </row>
    <row r="1082" spans="1:18" x14ac:dyDescent="0.25">
      <c r="A1082" s="9">
        <v>1081</v>
      </c>
      <c r="B1082" s="10">
        <v>45461</v>
      </c>
      <c r="C1082" s="11" t="s">
        <v>114</v>
      </c>
      <c r="D1082" s="11" t="s">
        <v>109</v>
      </c>
      <c r="E1082" s="11" t="s">
        <v>84</v>
      </c>
      <c r="F1082" s="11" t="s">
        <v>148</v>
      </c>
      <c r="G1082" s="9">
        <v>15</v>
      </c>
      <c r="H1082" s="26">
        <v>5100</v>
      </c>
      <c r="I1082" s="9">
        <v>20</v>
      </c>
      <c r="J1082" s="9">
        <f t="shared" si="32"/>
        <v>76500</v>
      </c>
      <c r="K1082" s="9">
        <f t="shared" si="33"/>
        <v>61200</v>
      </c>
      <c r="L1082" s="11" t="s">
        <v>76</v>
      </c>
      <c r="M1082" s="11" t="s">
        <v>77</v>
      </c>
      <c r="N1082">
        <v>6</v>
      </c>
      <c r="O1082">
        <v>2024</v>
      </c>
      <c r="P1082" s="29" t="s">
        <v>720</v>
      </c>
      <c r="Q1082" t="s">
        <v>736</v>
      </c>
      <c r="R1082" t="s">
        <v>739</v>
      </c>
    </row>
    <row r="1083" spans="1:18" x14ac:dyDescent="0.25">
      <c r="A1083" s="6">
        <v>1082</v>
      </c>
      <c r="B1083" s="7">
        <v>45577</v>
      </c>
      <c r="C1083" s="8" t="s">
        <v>119</v>
      </c>
      <c r="D1083" s="8" t="s">
        <v>83</v>
      </c>
      <c r="E1083" s="8" t="s">
        <v>74</v>
      </c>
      <c r="F1083" s="8" t="s">
        <v>140</v>
      </c>
      <c r="G1083" s="6">
        <v>11</v>
      </c>
      <c r="H1083" s="25">
        <v>5000</v>
      </c>
      <c r="I1083" s="6">
        <v>15</v>
      </c>
      <c r="J1083" s="6">
        <f t="shared" si="32"/>
        <v>55000</v>
      </c>
      <c r="K1083" s="6">
        <f t="shared" si="33"/>
        <v>46750</v>
      </c>
      <c r="L1083" s="8" t="s">
        <v>76</v>
      </c>
      <c r="M1083" s="8" t="s">
        <v>96</v>
      </c>
      <c r="N1083">
        <v>10</v>
      </c>
      <c r="O1083">
        <v>2024</v>
      </c>
      <c r="P1083" s="29" t="s">
        <v>709</v>
      </c>
      <c r="Q1083" t="s">
        <v>733</v>
      </c>
      <c r="R1083" t="s">
        <v>738</v>
      </c>
    </row>
    <row r="1084" spans="1:18" x14ac:dyDescent="0.25">
      <c r="A1084" s="9">
        <v>1083</v>
      </c>
      <c r="B1084" s="10">
        <v>45568</v>
      </c>
      <c r="C1084" s="11" t="s">
        <v>106</v>
      </c>
      <c r="D1084" s="11" t="s">
        <v>117</v>
      </c>
      <c r="E1084" s="11" t="s">
        <v>79</v>
      </c>
      <c r="F1084" s="11" t="s">
        <v>131</v>
      </c>
      <c r="G1084" s="9">
        <v>39</v>
      </c>
      <c r="H1084" s="26">
        <v>110300</v>
      </c>
      <c r="I1084" s="9">
        <v>0</v>
      </c>
      <c r="J1084" s="9">
        <f t="shared" si="32"/>
        <v>4301700</v>
      </c>
      <c r="K1084" s="9">
        <f t="shared" si="33"/>
        <v>4301700</v>
      </c>
      <c r="L1084" s="11" t="s">
        <v>187</v>
      </c>
      <c r="M1084" s="11" t="s">
        <v>96</v>
      </c>
      <c r="N1084">
        <v>10</v>
      </c>
      <c r="O1084">
        <v>2024</v>
      </c>
      <c r="P1084" s="29" t="s">
        <v>709</v>
      </c>
      <c r="Q1084" t="s">
        <v>733</v>
      </c>
      <c r="R1084" t="s">
        <v>737</v>
      </c>
    </row>
    <row r="1085" spans="1:18" x14ac:dyDescent="0.25">
      <c r="A1085" s="6">
        <v>1084</v>
      </c>
      <c r="B1085" s="7">
        <v>44994</v>
      </c>
      <c r="C1085" s="8" t="s">
        <v>101</v>
      </c>
      <c r="D1085" s="8" t="s">
        <v>109</v>
      </c>
      <c r="E1085" s="8" t="s">
        <v>102</v>
      </c>
      <c r="F1085" s="8" t="s">
        <v>137</v>
      </c>
      <c r="G1085" s="6">
        <v>39</v>
      </c>
      <c r="H1085" s="25">
        <v>2000</v>
      </c>
      <c r="I1085" s="6">
        <v>0</v>
      </c>
      <c r="J1085" s="6">
        <f t="shared" si="32"/>
        <v>78000</v>
      </c>
      <c r="K1085" s="6">
        <f t="shared" si="33"/>
        <v>78000</v>
      </c>
      <c r="L1085" s="8" t="s">
        <v>76</v>
      </c>
      <c r="M1085" s="31" t="s">
        <v>695</v>
      </c>
      <c r="N1085">
        <v>3</v>
      </c>
      <c r="O1085">
        <v>2023</v>
      </c>
      <c r="P1085" s="29" t="s">
        <v>719</v>
      </c>
      <c r="Q1085" t="s">
        <v>735</v>
      </c>
      <c r="R1085" t="s">
        <v>739</v>
      </c>
    </row>
    <row r="1086" spans="1:18" x14ac:dyDescent="0.25">
      <c r="A1086" s="9">
        <v>1085</v>
      </c>
      <c r="B1086" s="10">
        <v>45491</v>
      </c>
      <c r="C1086" s="11" t="s">
        <v>106</v>
      </c>
      <c r="D1086" s="11" t="s">
        <v>73</v>
      </c>
      <c r="E1086" s="11" t="s">
        <v>84</v>
      </c>
      <c r="F1086" s="11" t="s">
        <v>134</v>
      </c>
      <c r="G1086" s="9">
        <v>37</v>
      </c>
      <c r="H1086" s="26">
        <v>8800</v>
      </c>
      <c r="I1086" s="9">
        <v>0</v>
      </c>
      <c r="J1086" s="9">
        <f t="shared" si="32"/>
        <v>325600</v>
      </c>
      <c r="K1086" s="9">
        <f t="shared" si="33"/>
        <v>325600</v>
      </c>
      <c r="L1086" s="11" t="s">
        <v>76</v>
      </c>
      <c r="M1086" s="11" t="s">
        <v>91</v>
      </c>
      <c r="N1086">
        <v>7</v>
      </c>
      <c r="O1086">
        <v>2024</v>
      </c>
      <c r="P1086" s="29" t="s">
        <v>712</v>
      </c>
      <c r="Q1086" t="s">
        <v>734</v>
      </c>
      <c r="R1086" t="s">
        <v>737</v>
      </c>
    </row>
    <row r="1087" spans="1:18" x14ac:dyDescent="0.25">
      <c r="A1087" s="6">
        <v>1086</v>
      </c>
      <c r="B1087" s="7">
        <v>44976</v>
      </c>
      <c r="C1087" s="8" t="s">
        <v>88</v>
      </c>
      <c r="D1087" s="8" t="s">
        <v>73</v>
      </c>
      <c r="E1087" s="8" t="s">
        <v>74</v>
      </c>
      <c r="F1087" s="8" t="s">
        <v>94</v>
      </c>
      <c r="G1087" s="6">
        <v>49</v>
      </c>
      <c r="H1087" s="25">
        <v>40100</v>
      </c>
      <c r="I1087" s="6">
        <v>10</v>
      </c>
      <c r="J1087" s="6">
        <f t="shared" si="32"/>
        <v>1964900</v>
      </c>
      <c r="K1087" s="6">
        <f t="shared" si="33"/>
        <v>1768410</v>
      </c>
      <c r="L1087" s="8" t="s">
        <v>76</v>
      </c>
      <c r="M1087" s="31" t="s">
        <v>695</v>
      </c>
      <c r="N1087">
        <v>2</v>
      </c>
      <c r="O1087">
        <v>2023</v>
      </c>
      <c r="P1087" s="29" t="s">
        <v>717</v>
      </c>
      <c r="Q1087" t="s">
        <v>735</v>
      </c>
      <c r="R1087" t="s">
        <v>737</v>
      </c>
    </row>
    <row r="1088" spans="1:18" x14ac:dyDescent="0.25">
      <c r="A1088" s="9">
        <v>1087</v>
      </c>
      <c r="B1088" s="10">
        <v>45126</v>
      </c>
      <c r="C1088" s="11" t="s">
        <v>88</v>
      </c>
      <c r="D1088" s="11" t="s">
        <v>83</v>
      </c>
      <c r="E1088" s="11" t="s">
        <v>74</v>
      </c>
      <c r="F1088" s="11" t="s">
        <v>142</v>
      </c>
      <c r="G1088" s="9">
        <v>7</v>
      </c>
      <c r="H1088" s="26">
        <v>12900</v>
      </c>
      <c r="I1088" s="9">
        <v>10</v>
      </c>
      <c r="J1088" s="9">
        <f t="shared" si="32"/>
        <v>90300</v>
      </c>
      <c r="K1088" s="9">
        <f t="shared" si="33"/>
        <v>81270</v>
      </c>
      <c r="L1088" s="11" t="s">
        <v>76</v>
      </c>
      <c r="M1088" s="11" t="s">
        <v>77</v>
      </c>
      <c r="N1088">
        <v>7</v>
      </c>
      <c r="O1088">
        <v>2023</v>
      </c>
      <c r="P1088" s="29" t="s">
        <v>724</v>
      </c>
      <c r="Q1088" t="s">
        <v>734</v>
      </c>
      <c r="R1088" t="s">
        <v>739</v>
      </c>
    </row>
    <row r="1089" spans="1:18" x14ac:dyDescent="0.25">
      <c r="A1089" s="6">
        <v>1088</v>
      </c>
      <c r="B1089" s="7">
        <v>44991</v>
      </c>
      <c r="C1089" s="8" t="s">
        <v>78</v>
      </c>
      <c r="D1089" s="8" t="s">
        <v>93</v>
      </c>
      <c r="E1089" s="8" t="s">
        <v>111</v>
      </c>
      <c r="F1089" s="8" t="s">
        <v>159</v>
      </c>
      <c r="G1089" s="6">
        <v>3</v>
      </c>
      <c r="H1089" s="25">
        <v>12600</v>
      </c>
      <c r="I1089" s="6">
        <v>15</v>
      </c>
      <c r="J1089" s="6">
        <f t="shared" si="32"/>
        <v>37800</v>
      </c>
      <c r="K1089" s="6">
        <f t="shared" si="33"/>
        <v>32130</v>
      </c>
      <c r="L1089" s="8" t="s">
        <v>76</v>
      </c>
      <c r="M1089" s="8" t="s">
        <v>81</v>
      </c>
      <c r="N1089">
        <v>3</v>
      </c>
      <c r="O1089">
        <v>2023</v>
      </c>
      <c r="P1089" s="29" t="s">
        <v>719</v>
      </c>
      <c r="Q1089" t="s">
        <v>735</v>
      </c>
      <c r="R1089" t="s">
        <v>738</v>
      </c>
    </row>
    <row r="1090" spans="1:18" x14ac:dyDescent="0.25">
      <c r="A1090" s="9">
        <v>1089</v>
      </c>
      <c r="B1090" s="10">
        <v>45401</v>
      </c>
      <c r="C1090" s="11" t="s">
        <v>97</v>
      </c>
      <c r="D1090" s="11" t="s">
        <v>73</v>
      </c>
      <c r="E1090" s="11" t="s">
        <v>84</v>
      </c>
      <c r="F1090" s="11" t="s">
        <v>90</v>
      </c>
      <c r="G1090" s="9">
        <v>42</v>
      </c>
      <c r="H1090" s="26">
        <v>2000</v>
      </c>
      <c r="I1090" s="9">
        <v>10</v>
      </c>
      <c r="J1090" s="9">
        <f t="shared" ref="J1090:J1153" si="34">G1090*H1090</f>
        <v>84000</v>
      </c>
      <c r="K1090" s="9">
        <f t="shared" ref="K1090:K1153" si="35">J1090*(1-I1090/100)</f>
        <v>75600</v>
      </c>
      <c r="L1090" s="11" t="s">
        <v>76</v>
      </c>
      <c r="M1090" s="11" t="s">
        <v>81</v>
      </c>
      <c r="N1090">
        <v>4</v>
      </c>
      <c r="O1090">
        <v>2024</v>
      </c>
      <c r="P1090" s="29" t="s">
        <v>722</v>
      </c>
      <c r="Q1090" t="s">
        <v>736</v>
      </c>
      <c r="R1090" t="s">
        <v>739</v>
      </c>
    </row>
    <row r="1091" spans="1:18" x14ac:dyDescent="0.25">
      <c r="A1091" s="6">
        <v>1090</v>
      </c>
      <c r="B1091" s="7">
        <v>45632</v>
      </c>
      <c r="C1091" s="8" t="s">
        <v>124</v>
      </c>
      <c r="D1091" s="8" t="s">
        <v>93</v>
      </c>
      <c r="E1091" s="8" t="s">
        <v>74</v>
      </c>
      <c r="F1091" s="8" t="s">
        <v>99</v>
      </c>
      <c r="G1091" s="6">
        <v>22</v>
      </c>
      <c r="H1091" s="25">
        <v>3800</v>
      </c>
      <c r="I1091" s="6">
        <v>0</v>
      </c>
      <c r="J1091" s="6">
        <f t="shared" si="34"/>
        <v>83600</v>
      </c>
      <c r="K1091" s="6">
        <f t="shared" si="35"/>
        <v>83600</v>
      </c>
      <c r="L1091" s="8" t="s">
        <v>76</v>
      </c>
      <c r="M1091" s="8" t="s">
        <v>91</v>
      </c>
      <c r="N1091">
        <v>12</v>
      </c>
      <c r="O1091">
        <v>2024</v>
      </c>
      <c r="P1091" s="29" t="s">
        <v>728</v>
      </c>
      <c r="Q1091" t="s">
        <v>733</v>
      </c>
      <c r="R1091" t="s">
        <v>739</v>
      </c>
    </row>
    <row r="1092" spans="1:18" x14ac:dyDescent="0.25">
      <c r="A1092" s="9">
        <v>1091</v>
      </c>
      <c r="B1092" s="10">
        <v>45656</v>
      </c>
      <c r="C1092" s="11" t="s">
        <v>114</v>
      </c>
      <c r="D1092" s="11" t="s">
        <v>109</v>
      </c>
      <c r="E1092" s="11" t="s">
        <v>84</v>
      </c>
      <c r="F1092" s="11" t="s">
        <v>150</v>
      </c>
      <c r="G1092" s="9">
        <v>37</v>
      </c>
      <c r="H1092" s="26">
        <v>6300</v>
      </c>
      <c r="I1092" s="9">
        <v>0</v>
      </c>
      <c r="J1092" s="9">
        <f t="shared" si="34"/>
        <v>233100</v>
      </c>
      <c r="K1092" s="9">
        <f t="shared" si="35"/>
        <v>233100</v>
      </c>
      <c r="L1092" s="11" t="s">
        <v>76</v>
      </c>
      <c r="M1092" s="11" t="s">
        <v>91</v>
      </c>
      <c r="N1092">
        <v>12</v>
      </c>
      <c r="O1092">
        <v>2024</v>
      </c>
      <c r="P1092" s="29" t="s">
        <v>728</v>
      </c>
      <c r="Q1092" t="s">
        <v>733</v>
      </c>
      <c r="R1092" t="s">
        <v>737</v>
      </c>
    </row>
    <row r="1093" spans="1:18" x14ac:dyDescent="0.25">
      <c r="A1093" s="6">
        <v>1092</v>
      </c>
      <c r="B1093" s="7">
        <v>44942</v>
      </c>
      <c r="C1093" s="8" t="s">
        <v>108</v>
      </c>
      <c r="D1093" s="8" t="s">
        <v>117</v>
      </c>
      <c r="E1093" s="8" t="s">
        <v>102</v>
      </c>
      <c r="F1093" s="8" t="s">
        <v>137</v>
      </c>
      <c r="G1093" s="6">
        <v>30</v>
      </c>
      <c r="H1093" s="25">
        <v>2300</v>
      </c>
      <c r="I1093" s="6">
        <v>0</v>
      </c>
      <c r="J1093" s="6">
        <f t="shared" si="34"/>
        <v>69000</v>
      </c>
      <c r="K1093" s="6">
        <f t="shared" si="35"/>
        <v>69000</v>
      </c>
      <c r="L1093" s="8" t="s">
        <v>76</v>
      </c>
      <c r="M1093" s="8" t="s">
        <v>96</v>
      </c>
      <c r="N1093">
        <v>1</v>
      </c>
      <c r="O1093">
        <v>2023</v>
      </c>
      <c r="P1093" s="29" t="s">
        <v>721</v>
      </c>
      <c r="Q1093" t="s">
        <v>735</v>
      </c>
      <c r="R1093" t="s">
        <v>739</v>
      </c>
    </row>
    <row r="1094" spans="1:18" x14ac:dyDescent="0.25">
      <c r="A1094" s="9">
        <v>1093</v>
      </c>
      <c r="B1094" s="10">
        <v>45233</v>
      </c>
      <c r="C1094" s="11" t="s">
        <v>101</v>
      </c>
      <c r="D1094" s="11" t="s">
        <v>93</v>
      </c>
      <c r="E1094" s="11" t="s">
        <v>74</v>
      </c>
      <c r="F1094" s="11" t="s">
        <v>212</v>
      </c>
      <c r="G1094" s="9">
        <v>12</v>
      </c>
      <c r="H1094" s="26">
        <v>7400</v>
      </c>
      <c r="I1094" s="9">
        <v>0</v>
      </c>
      <c r="J1094" s="9">
        <f t="shared" si="34"/>
        <v>88800</v>
      </c>
      <c r="K1094" s="9">
        <f t="shared" si="35"/>
        <v>88800</v>
      </c>
      <c r="L1094" s="11" t="s">
        <v>187</v>
      </c>
      <c r="M1094" s="11" t="s">
        <v>91</v>
      </c>
      <c r="N1094">
        <v>11</v>
      </c>
      <c r="O1094">
        <v>2023</v>
      </c>
      <c r="P1094" s="29" t="s">
        <v>718</v>
      </c>
      <c r="Q1094" t="s">
        <v>733</v>
      </c>
      <c r="R1094" t="s">
        <v>739</v>
      </c>
    </row>
    <row r="1095" spans="1:18" x14ac:dyDescent="0.25">
      <c r="A1095" s="6">
        <v>1094</v>
      </c>
      <c r="B1095" s="7">
        <v>45411</v>
      </c>
      <c r="C1095" s="8" t="s">
        <v>101</v>
      </c>
      <c r="D1095" s="8" t="s">
        <v>83</v>
      </c>
      <c r="E1095" s="8" t="s">
        <v>84</v>
      </c>
      <c r="F1095" s="8" t="s">
        <v>150</v>
      </c>
      <c r="G1095" s="6">
        <v>32</v>
      </c>
      <c r="H1095" s="25">
        <v>6300</v>
      </c>
      <c r="I1095" s="6">
        <v>5</v>
      </c>
      <c r="J1095" s="6">
        <f t="shared" si="34"/>
        <v>201600</v>
      </c>
      <c r="K1095" s="6">
        <f t="shared" si="35"/>
        <v>191520</v>
      </c>
      <c r="L1095" s="8" t="s">
        <v>76</v>
      </c>
      <c r="M1095" s="8" t="s">
        <v>96</v>
      </c>
      <c r="N1095">
        <v>4</v>
      </c>
      <c r="O1095">
        <v>2024</v>
      </c>
      <c r="P1095" s="29" t="s">
        <v>722</v>
      </c>
      <c r="Q1095" t="s">
        <v>736</v>
      </c>
      <c r="R1095" t="s">
        <v>739</v>
      </c>
    </row>
    <row r="1096" spans="1:18" x14ac:dyDescent="0.25">
      <c r="A1096" s="9">
        <v>1095</v>
      </c>
      <c r="B1096" s="10">
        <v>45345</v>
      </c>
      <c r="C1096" s="11" t="s">
        <v>124</v>
      </c>
      <c r="D1096" s="11" t="s">
        <v>109</v>
      </c>
      <c r="E1096" s="11" t="s">
        <v>111</v>
      </c>
      <c r="F1096" s="11" t="s">
        <v>132</v>
      </c>
      <c r="G1096" s="9">
        <v>40</v>
      </c>
      <c r="H1096" s="26">
        <v>7700</v>
      </c>
      <c r="I1096" s="9">
        <v>0</v>
      </c>
      <c r="J1096" s="9">
        <f t="shared" si="34"/>
        <v>308000</v>
      </c>
      <c r="K1096" s="9">
        <f t="shared" si="35"/>
        <v>308000</v>
      </c>
      <c r="L1096" s="11" t="s">
        <v>123</v>
      </c>
      <c r="M1096" s="11" t="s">
        <v>96</v>
      </c>
      <c r="N1096">
        <v>2</v>
      </c>
      <c r="O1096">
        <v>2024</v>
      </c>
      <c r="P1096" s="29" t="s">
        <v>729</v>
      </c>
      <c r="Q1096" t="s">
        <v>735</v>
      </c>
      <c r="R1096" t="s">
        <v>737</v>
      </c>
    </row>
    <row r="1097" spans="1:18" x14ac:dyDescent="0.25">
      <c r="A1097" s="6">
        <v>1096</v>
      </c>
      <c r="B1097" s="7">
        <v>45625</v>
      </c>
      <c r="C1097" s="8" t="s">
        <v>114</v>
      </c>
      <c r="D1097" s="8" t="s">
        <v>93</v>
      </c>
      <c r="E1097" s="8" t="s">
        <v>111</v>
      </c>
      <c r="F1097" s="8" t="s">
        <v>135</v>
      </c>
      <c r="G1097" s="6">
        <v>44</v>
      </c>
      <c r="H1097" s="25">
        <v>128700</v>
      </c>
      <c r="I1097" s="6">
        <v>15</v>
      </c>
      <c r="J1097" s="6">
        <f t="shared" si="34"/>
        <v>5662800</v>
      </c>
      <c r="K1097" s="6">
        <f t="shared" si="35"/>
        <v>4813380</v>
      </c>
      <c r="L1097" s="8" t="s">
        <v>76</v>
      </c>
      <c r="M1097" s="8" t="s">
        <v>77</v>
      </c>
      <c r="N1097">
        <v>11</v>
      </c>
      <c r="O1097">
        <v>2024</v>
      </c>
      <c r="P1097" s="29" t="s">
        <v>714</v>
      </c>
      <c r="Q1097" t="s">
        <v>733</v>
      </c>
      <c r="R1097" t="s">
        <v>737</v>
      </c>
    </row>
    <row r="1098" spans="1:18" x14ac:dyDescent="0.25">
      <c r="A1098" s="9">
        <v>1097</v>
      </c>
      <c r="B1098" s="10">
        <v>45147</v>
      </c>
      <c r="C1098" s="11" t="s">
        <v>82</v>
      </c>
      <c r="D1098" s="11" t="s">
        <v>73</v>
      </c>
      <c r="E1098" s="11" t="s">
        <v>84</v>
      </c>
      <c r="F1098" s="11" t="s">
        <v>150</v>
      </c>
      <c r="G1098" s="9">
        <v>11</v>
      </c>
      <c r="H1098" s="26">
        <v>5300</v>
      </c>
      <c r="I1098" s="9">
        <v>0</v>
      </c>
      <c r="J1098" s="9">
        <f t="shared" si="34"/>
        <v>58300</v>
      </c>
      <c r="K1098" s="9">
        <f t="shared" si="35"/>
        <v>58300</v>
      </c>
      <c r="L1098" s="11" t="s">
        <v>76</v>
      </c>
      <c r="M1098" s="11" t="s">
        <v>77</v>
      </c>
      <c r="N1098">
        <v>8</v>
      </c>
      <c r="O1098">
        <v>2023</v>
      </c>
      <c r="P1098" s="29" t="s">
        <v>713</v>
      </c>
      <c r="Q1098" t="s">
        <v>734</v>
      </c>
      <c r="R1098" t="s">
        <v>739</v>
      </c>
    </row>
    <row r="1099" spans="1:18" x14ac:dyDescent="0.25">
      <c r="A1099" s="6">
        <v>1098</v>
      </c>
      <c r="B1099" s="7">
        <v>45324</v>
      </c>
      <c r="C1099" s="8" t="s">
        <v>119</v>
      </c>
      <c r="D1099" s="8" t="s">
        <v>73</v>
      </c>
      <c r="E1099" s="8" t="s">
        <v>74</v>
      </c>
      <c r="F1099" s="8" t="s">
        <v>99</v>
      </c>
      <c r="G1099" s="6">
        <v>35</v>
      </c>
      <c r="H1099" s="25">
        <v>3600</v>
      </c>
      <c r="I1099" s="6">
        <v>0</v>
      </c>
      <c r="J1099" s="6">
        <f t="shared" si="34"/>
        <v>126000</v>
      </c>
      <c r="K1099" s="6">
        <f t="shared" si="35"/>
        <v>126000</v>
      </c>
      <c r="L1099" s="8" t="s">
        <v>107</v>
      </c>
      <c r="M1099" s="8" t="s">
        <v>91</v>
      </c>
      <c r="N1099">
        <v>2</v>
      </c>
      <c r="O1099">
        <v>2024</v>
      </c>
      <c r="P1099" s="29" t="s">
        <v>729</v>
      </c>
      <c r="Q1099" t="s">
        <v>735</v>
      </c>
      <c r="R1099" t="s">
        <v>739</v>
      </c>
    </row>
    <row r="1100" spans="1:18" x14ac:dyDescent="0.25">
      <c r="A1100" s="9">
        <v>1099</v>
      </c>
      <c r="B1100" s="10">
        <v>45014</v>
      </c>
      <c r="C1100" s="11" t="s">
        <v>108</v>
      </c>
      <c r="D1100" s="11" t="s">
        <v>73</v>
      </c>
      <c r="E1100" s="11" t="s">
        <v>111</v>
      </c>
      <c r="F1100" s="11" t="s">
        <v>165</v>
      </c>
      <c r="G1100" s="9">
        <v>22</v>
      </c>
      <c r="H1100" s="26">
        <v>17100</v>
      </c>
      <c r="I1100" s="9">
        <v>10</v>
      </c>
      <c r="J1100" s="9">
        <f t="shared" si="34"/>
        <v>376200</v>
      </c>
      <c r="K1100" s="9">
        <f t="shared" si="35"/>
        <v>338580</v>
      </c>
      <c r="L1100" s="11" t="s">
        <v>76</v>
      </c>
      <c r="M1100" s="11" t="s">
        <v>96</v>
      </c>
      <c r="N1100">
        <v>3</v>
      </c>
      <c r="O1100">
        <v>2023</v>
      </c>
      <c r="P1100" s="29" t="s">
        <v>719</v>
      </c>
      <c r="Q1100" t="s">
        <v>735</v>
      </c>
      <c r="R1100" t="s">
        <v>737</v>
      </c>
    </row>
    <row r="1101" spans="1:18" x14ac:dyDescent="0.25">
      <c r="A1101" s="6">
        <v>1100</v>
      </c>
      <c r="B1101" s="7">
        <v>45631</v>
      </c>
      <c r="C1101" s="8" t="s">
        <v>106</v>
      </c>
      <c r="D1101" s="8" t="s">
        <v>83</v>
      </c>
      <c r="E1101" s="8" t="s">
        <v>79</v>
      </c>
      <c r="F1101" s="8" t="s">
        <v>179</v>
      </c>
      <c r="G1101" s="6">
        <v>35</v>
      </c>
      <c r="H1101" s="25">
        <v>2500</v>
      </c>
      <c r="I1101" s="6">
        <v>0</v>
      </c>
      <c r="J1101" s="6">
        <f t="shared" si="34"/>
        <v>87500</v>
      </c>
      <c r="K1101" s="6">
        <f t="shared" si="35"/>
        <v>87500</v>
      </c>
      <c r="L1101" s="8" t="s">
        <v>76</v>
      </c>
      <c r="M1101" s="8" t="s">
        <v>91</v>
      </c>
      <c r="N1101">
        <v>12</v>
      </c>
      <c r="O1101">
        <v>2024</v>
      </c>
      <c r="P1101" s="29" t="s">
        <v>728</v>
      </c>
      <c r="Q1101" t="s">
        <v>733</v>
      </c>
      <c r="R1101" t="s">
        <v>739</v>
      </c>
    </row>
    <row r="1102" spans="1:18" x14ac:dyDescent="0.25">
      <c r="A1102" s="9">
        <v>1101</v>
      </c>
      <c r="B1102" s="10">
        <v>45582</v>
      </c>
      <c r="C1102" s="11" t="s">
        <v>106</v>
      </c>
      <c r="D1102" s="11" t="s">
        <v>117</v>
      </c>
      <c r="E1102" s="11" t="s">
        <v>102</v>
      </c>
      <c r="F1102" s="11" t="s">
        <v>138</v>
      </c>
      <c r="G1102" s="9">
        <v>50</v>
      </c>
      <c r="H1102" s="26">
        <v>7500</v>
      </c>
      <c r="I1102" s="9">
        <v>20</v>
      </c>
      <c r="J1102" s="9">
        <f t="shared" si="34"/>
        <v>375000</v>
      </c>
      <c r="K1102" s="9">
        <f t="shared" si="35"/>
        <v>300000</v>
      </c>
      <c r="L1102" s="11" t="s">
        <v>76</v>
      </c>
      <c r="M1102" s="11" t="s">
        <v>96</v>
      </c>
      <c r="N1102">
        <v>10</v>
      </c>
      <c r="O1102">
        <v>2024</v>
      </c>
      <c r="P1102" s="29" t="s">
        <v>709</v>
      </c>
      <c r="Q1102" t="s">
        <v>733</v>
      </c>
      <c r="R1102" t="s">
        <v>737</v>
      </c>
    </row>
    <row r="1103" spans="1:18" x14ac:dyDescent="0.25">
      <c r="A1103" s="6">
        <v>1102</v>
      </c>
      <c r="B1103" s="7">
        <v>45367</v>
      </c>
      <c r="C1103" s="8" t="s">
        <v>119</v>
      </c>
      <c r="D1103" s="8" t="s">
        <v>109</v>
      </c>
      <c r="E1103" s="8" t="s">
        <v>79</v>
      </c>
      <c r="F1103" s="8" t="s">
        <v>80</v>
      </c>
      <c r="G1103" s="6">
        <v>49</v>
      </c>
      <c r="H1103" s="25">
        <v>9500</v>
      </c>
      <c r="I1103" s="6">
        <v>0</v>
      </c>
      <c r="J1103" s="6">
        <f t="shared" si="34"/>
        <v>465500</v>
      </c>
      <c r="K1103" s="6">
        <f t="shared" si="35"/>
        <v>465500</v>
      </c>
      <c r="L1103" s="8" t="s">
        <v>187</v>
      </c>
      <c r="M1103" s="8" t="s">
        <v>96</v>
      </c>
      <c r="N1103">
        <v>3</v>
      </c>
      <c r="O1103">
        <v>2024</v>
      </c>
      <c r="P1103" s="29" t="s">
        <v>711</v>
      </c>
      <c r="Q1103" t="s">
        <v>735</v>
      </c>
      <c r="R1103" t="s">
        <v>737</v>
      </c>
    </row>
    <row r="1104" spans="1:18" x14ac:dyDescent="0.25">
      <c r="A1104" s="9">
        <v>1103</v>
      </c>
      <c r="B1104" s="10">
        <v>45636</v>
      </c>
      <c r="C1104" s="11" t="s">
        <v>108</v>
      </c>
      <c r="D1104" s="11" t="s">
        <v>73</v>
      </c>
      <c r="E1104" s="11" t="s">
        <v>84</v>
      </c>
      <c r="F1104" s="11" t="s">
        <v>150</v>
      </c>
      <c r="G1104" s="9">
        <v>6</v>
      </c>
      <c r="H1104" s="26">
        <v>5300</v>
      </c>
      <c r="I1104" s="9">
        <v>20</v>
      </c>
      <c r="J1104" s="9">
        <f t="shared" si="34"/>
        <v>31800</v>
      </c>
      <c r="K1104" s="9">
        <f t="shared" si="35"/>
        <v>25440</v>
      </c>
      <c r="L1104" s="11" t="s">
        <v>76</v>
      </c>
      <c r="M1104" s="11" t="s">
        <v>91</v>
      </c>
      <c r="N1104">
        <v>12</v>
      </c>
      <c r="O1104">
        <v>2024</v>
      </c>
      <c r="P1104" s="29" t="s">
        <v>728</v>
      </c>
      <c r="Q1104" t="s">
        <v>733</v>
      </c>
      <c r="R1104" t="s">
        <v>738</v>
      </c>
    </row>
    <row r="1105" spans="1:18" x14ac:dyDescent="0.25">
      <c r="A1105" s="6">
        <v>1104</v>
      </c>
      <c r="B1105" s="7">
        <v>45415</v>
      </c>
      <c r="C1105" s="8" t="s">
        <v>82</v>
      </c>
      <c r="D1105" s="8" t="s">
        <v>109</v>
      </c>
      <c r="E1105" s="8" t="s">
        <v>74</v>
      </c>
      <c r="F1105" s="8" t="s">
        <v>142</v>
      </c>
      <c r="G1105" s="6">
        <v>6</v>
      </c>
      <c r="H1105" s="25">
        <v>13300</v>
      </c>
      <c r="I1105" s="6">
        <v>0</v>
      </c>
      <c r="J1105" s="6">
        <f t="shared" si="34"/>
        <v>79800</v>
      </c>
      <c r="K1105" s="6">
        <f t="shared" si="35"/>
        <v>79800</v>
      </c>
      <c r="L1105" s="8" t="s">
        <v>107</v>
      </c>
      <c r="M1105" s="8" t="s">
        <v>91</v>
      </c>
      <c r="N1105">
        <v>5</v>
      </c>
      <c r="O1105">
        <v>2024</v>
      </c>
      <c r="P1105" s="29" t="s">
        <v>732</v>
      </c>
      <c r="Q1105" t="s">
        <v>736</v>
      </c>
      <c r="R1105" t="s">
        <v>739</v>
      </c>
    </row>
    <row r="1106" spans="1:18" x14ac:dyDescent="0.25">
      <c r="A1106" s="9">
        <v>1105</v>
      </c>
      <c r="B1106" s="10">
        <v>44937</v>
      </c>
      <c r="C1106" s="11" t="s">
        <v>108</v>
      </c>
      <c r="D1106" s="11" t="s">
        <v>109</v>
      </c>
      <c r="E1106" s="11" t="s">
        <v>74</v>
      </c>
      <c r="F1106" s="11" t="s">
        <v>140</v>
      </c>
      <c r="G1106" s="9">
        <v>35</v>
      </c>
      <c r="H1106" s="26">
        <v>4600</v>
      </c>
      <c r="I1106" s="9">
        <v>15</v>
      </c>
      <c r="J1106" s="9">
        <f t="shared" si="34"/>
        <v>161000</v>
      </c>
      <c r="K1106" s="9">
        <f t="shared" si="35"/>
        <v>136850</v>
      </c>
      <c r="L1106" s="11" t="s">
        <v>187</v>
      </c>
      <c r="M1106" s="11" t="s">
        <v>81</v>
      </c>
      <c r="N1106">
        <v>1</v>
      </c>
      <c r="O1106">
        <v>2023</v>
      </c>
      <c r="P1106" s="29" t="s">
        <v>721</v>
      </c>
      <c r="Q1106" t="s">
        <v>735</v>
      </c>
      <c r="R1106" t="s">
        <v>739</v>
      </c>
    </row>
    <row r="1107" spans="1:18" x14ac:dyDescent="0.25">
      <c r="A1107" s="6">
        <v>1106</v>
      </c>
      <c r="B1107" s="7">
        <v>45374</v>
      </c>
      <c r="C1107" s="8" t="s">
        <v>88</v>
      </c>
      <c r="D1107" s="8" t="s">
        <v>93</v>
      </c>
      <c r="E1107" s="8" t="s">
        <v>111</v>
      </c>
      <c r="F1107" s="8" t="s">
        <v>192</v>
      </c>
      <c r="G1107" s="6">
        <v>39</v>
      </c>
      <c r="H1107" s="25">
        <v>98800</v>
      </c>
      <c r="I1107" s="6">
        <v>0</v>
      </c>
      <c r="J1107" s="6">
        <f t="shared" si="34"/>
        <v>3853200</v>
      </c>
      <c r="K1107" s="6">
        <f t="shared" si="35"/>
        <v>3853200</v>
      </c>
      <c r="L1107" s="8" t="s">
        <v>76</v>
      </c>
      <c r="M1107" s="8" t="s">
        <v>81</v>
      </c>
      <c r="N1107">
        <v>3</v>
      </c>
      <c r="O1107">
        <v>2024</v>
      </c>
      <c r="P1107" s="29" t="s">
        <v>711</v>
      </c>
      <c r="Q1107" t="s">
        <v>735</v>
      </c>
      <c r="R1107" t="s">
        <v>737</v>
      </c>
    </row>
    <row r="1108" spans="1:18" x14ac:dyDescent="0.25">
      <c r="A1108" s="9">
        <v>1107</v>
      </c>
      <c r="B1108" s="10">
        <v>45607</v>
      </c>
      <c r="C1108" s="11" t="s">
        <v>88</v>
      </c>
      <c r="D1108" s="11" t="s">
        <v>73</v>
      </c>
      <c r="E1108" s="11" t="s">
        <v>84</v>
      </c>
      <c r="F1108" s="11" t="s">
        <v>85</v>
      </c>
      <c r="G1108" s="9">
        <v>32</v>
      </c>
      <c r="H1108" s="26">
        <v>6100</v>
      </c>
      <c r="I1108" s="9">
        <v>20</v>
      </c>
      <c r="J1108" s="9">
        <f t="shared" si="34"/>
        <v>195200</v>
      </c>
      <c r="K1108" s="9">
        <f t="shared" si="35"/>
        <v>156160</v>
      </c>
      <c r="L1108" s="11" t="s">
        <v>107</v>
      </c>
      <c r="M1108" s="11" t="s">
        <v>77</v>
      </c>
      <c r="N1108">
        <v>11</v>
      </c>
      <c r="O1108">
        <v>2024</v>
      </c>
      <c r="P1108" s="29" t="s">
        <v>714</v>
      </c>
      <c r="Q1108" t="s">
        <v>733</v>
      </c>
      <c r="R1108" t="s">
        <v>739</v>
      </c>
    </row>
    <row r="1109" spans="1:18" x14ac:dyDescent="0.25">
      <c r="A1109" s="6">
        <v>1108</v>
      </c>
      <c r="B1109" s="7">
        <v>45617</v>
      </c>
      <c r="C1109" s="8" t="s">
        <v>114</v>
      </c>
      <c r="D1109" s="8" t="s">
        <v>117</v>
      </c>
      <c r="E1109" s="8" t="s">
        <v>102</v>
      </c>
      <c r="F1109" s="8" t="s">
        <v>138</v>
      </c>
      <c r="G1109" s="6">
        <v>9</v>
      </c>
      <c r="H1109" s="25">
        <v>7500</v>
      </c>
      <c r="I1109" s="6">
        <v>0</v>
      </c>
      <c r="J1109" s="6">
        <f t="shared" si="34"/>
        <v>67500</v>
      </c>
      <c r="K1109" s="6">
        <f t="shared" si="35"/>
        <v>67500</v>
      </c>
      <c r="L1109" s="8" t="s">
        <v>76</v>
      </c>
      <c r="M1109" s="8" t="s">
        <v>77</v>
      </c>
      <c r="N1109">
        <v>11</v>
      </c>
      <c r="O1109">
        <v>2024</v>
      </c>
      <c r="P1109" s="29" t="s">
        <v>714</v>
      </c>
      <c r="Q1109" t="s">
        <v>733</v>
      </c>
      <c r="R1109" t="s">
        <v>739</v>
      </c>
    </row>
    <row r="1110" spans="1:18" x14ac:dyDescent="0.25">
      <c r="A1110" s="9">
        <v>1109</v>
      </c>
      <c r="B1110" s="10">
        <v>45268</v>
      </c>
      <c r="C1110" s="11" t="s">
        <v>106</v>
      </c>
      <c r="D1110" s="11" t="s">
        <v>83</v>
      </c>
      <c r="E1110" s="11" t="s">
        <v>102</v>
      </c>
      <c r="F1110" s="11" t="s">
        <v>103</v>
      </c>
      <c r="G1110" s="9">
        <v>14</v>
      </c>
      <c r="H1110" s="26">
        <v>10300</v>
      </c>
      <c r="I1110" s="9">
        <v>15</v>
      </c>
      <c r="J1110" s="9">
        <f t="shared" si="34"/>
        <v>144200</v>
      </c>
      <c r="K1110" s="9">
        <f t="shared" si="35"/>
        <v>122570</v>
      </c>
      <c r="L1110" s="11" t="s">
        <v>76</v>
      </c>
      <c r="M1110" s="11" t="s">
        <v>81</v>
      </c>
      <c r="N1110">
        <v>12</v>
      </c>
      <c r="O1110">
        <v>2023</v>
      </c>
      <c r="P1110" s="29" t="s">
        <v>725</v>
      </c>
      <c r="Q1110" t="s">
        <v>733</v>
      </c>
      <c r="R1110" t="s">
        <v>739</v>
      </c>
    </row>
    <row r="1111" spans="1:18" x14ac:dyDescent="0.25">
      <c r="A1111" s="6">
        <v>1110</v>
      </c>
      <c r="B1111" s="7">
        <v>45517</v>
      </c>
      <c r="C1111" s="8" t="s">
        <v>78</v>
      </c>
      <c r="D1111" s="8" t="s">
        <v>117</v>
      </c>
      <c r="E1111" s="8" t="s">
        <v>74</v>
      </c>
      <c r="F1111" s="8" t="s">
        <v>94</v>
      </c>
      <c r="G1111" s="6">
        <v>20</v>
      </c>
      <c r="H1111" s="25">
        <v>34100</v>
      </c>
      <c r="I1111" s="6">
        <v>15</v>
      </c>
      <c r="J1111" s="6">
        <f t="shared" si="34"/>
        <v>682000</v>
      </c>
      <c r="K1111" s="6">
        <f t="shared" si="35"/>
        <v>579700</v>
      </c>
      <c r="L1111" s="8" t="s">
        <v>76</v>
      </c>
      <c r="M1111" s="8" t="s">
        <v>77</v>
      </c>
      <c r="N1111">
        <v>8</v>
      </c>
      <c r="O1111">
        <v>2024</v>
      </c>
      <c r="P1111" s="29" t="s">
        <v>710</v>
      </c>
      <c r="Q1111" t="s">
        <v>734</v>
      </c>
      <c r="R1111" t="s">
        <v>737</v>
      </c>
    </row>
    <row r="1112" spans="1:18" x14ac:dyDescent="0.25">
      <c r="A1112" s="9">
        <v>1111</v>
      </c>
      <c r="B1112" s="10">
        <v>45438</v>
      </c>
      <c r="C1112" s="11" t="s">
        <v>119</v>
      </c>
      <c r="D1112" s="11" t="s">
        <v>83</v>
      </c>
      <c r="E1112" s="11" t="s">
        <v>111</v>
      </c>
      <c r="F1112" s="11" t="s">
        <v>132</v>
      </c>
      <c r="G1112" s="9">
        <v>35</v>
      </c>
      <c r="H1112" s="26">
        <v>7400</v>
      </c>
      <c r="I1112" s="9">
        <v>0</v>
      </c>
      <c r="J1112" s="9">
        <f t="shared" si="34"/>
        <v>259000</v>
      </c>
      <c r="K1112" s="9">
        <f t="shared" si="35"/>
        <v>259000</v>
      </c>
      <c r="L1112" s="11" t="s">
        <v>76</v>
      </c>
      <c r="M1112" s="11" t="s">
        <v>96</v>
      </c>
      <c r="N1112">
        <v>5</v>
      </c>
      <c r="O1112">
        <v>2024</v>
      </c>
      <c r="P1112" s="29" t="s">
        <v>732</v>
      </c>
      <c r="Q1112" t="s">
        <v>736</v>
      </c>
      <c r="R1112" t="s">
        <v>737</v>
      </c>
    </row>
    <row r="1113" spans="1:18" x14ac:dyDescent="0.25">
      <c r="A1113" s="6">
        <v>1112</v>
      </c>
      <c r="B1113" s="7">
        <v>45107</v>
      </c>
      <c r="C1113" s="8" t="s">
        <v>119</v>
      </c>
      <c r="D1113" s="8" t="s">
        <v>83</v>
      </c>
      <c r="E1113" s="8" t="s">
        <v>74</v>
      </c>
      <c r="F1113" s="8" t="s">
        <v>142</v>
      </c>
      <c r="G1113" s="6">
        <v>11</v>
      </c>
      <c r="H1113" s="25">
        <v>12500</v>
      </c>
      <c r="I1113" s="6">
        <v>0</v>
      </c>
      <c r="J1113" s="6">
        <f t="shared" si="34"/>
        <v>137500</v>
      </c>
      <c r="K1113" s="6">
        <f t="shared" si="35"/>
        <v>137500</v>
      </c>
      <c r="L1113" s="8" t="s">
        <v>76</v>
      </c>
      <c r="M1113" s="8" t="s">
        <v>91</v>
      </c>
      <c r="N1113">
        <v>6</v>
      </c>
      <c r="O1113">
        <v>2023</v>
      </c>
      <c r="P1113" s="29" t="s">
        <v>723</v>
      </c>
      <c r="Q1113" t="s">
        <v>736</v>
      </c>
      <c r="R1113" t="s">
        <v>739</v>
      </c>
    </row>
    <row r="1114" spans="1:18" x14ac:dyDescent="0.25">
      <c r="A1114" s="9">
        <v>1113</v>
      </c>
      <c r="B1114" s="10">
        <v>45454</v>
      </c>
      <c r="C1114" s="11" t="s">
        <v>114</v>
      </c>
      <c r="D1114" s="11" t="s">
        <v>117</v>
      </c>
      <c r="E1114" s="11" t="s">
        <v>102</v>
      </c>
      <c r="F1114" s="11" t="s">
        <v>137</v>
      </c>
      <c r="G1114" s="9">
        <v>7</v>
      </c>
      <c r="H1114" s="26">
        <v>2500</v>
      </c>
      <c r="I1114" s="9">
        <v>10</v>
      </c>
      <c r="J1114" s="9">
        <f t="shared" si="34"/>
        <v>17500</v>
      </c>
      <c r="K1114" s="9">
        <f t="shared" si="35"/>
        <v>15750</v>
      </c>
      <c r="L1114" s="11" t="s">
        <v>76</v>
      </c>
      <c r="M1114" s="11" t="s">
        <v>77</v>
      </c>
      <c r="N1114">
        <v>6</v>
      </c>
      <c r="O1114">
        <v>2024</v>
      </c>
      <c r="P1114" s="29" t="s">
        <v>720</v>
      </c>
      <c r="Q1114" t="s">
        <v>736</v>
      </c>
      <c r="R1114" t="s">
        <v>738</v>
      </c>
    </row>
    <row r="1115" spans="1:18" x14ac:dyDescent="0.25">
      <c r="A1115" s="6">
        <v>1114</v>
      </c>
      <c r="B1115" s="7">
        <v>45348</v>
      </c>
      <c r="C1115" s="8" t="s">
        <v>97</v>
      </c>
      <c r="D1115" s="8" t="s">
        <v>83</v>
      </c>
      <c r="E1115" s="8" t="s">
        <v>102</v>
      </c>
      <c r="F1115" s="8" t="s">
        <v>137</v>
      </c>
      <c r="G1115" s="6">
        <v>33</v>
      </c>
      <c r="H1115" s="25">
        <v>2300</v>
      </c>
      <c r="I1115" s="6">
        <v>15</v>
      </c>
      <c r="J1115" s="6">
        <f t="shared" si="34"/>
        <v>75900</v>
      </c>
      <c r="K1115" s="6">
        <f t="shared" si="35"/>
        <v>64515</v>
      </c>
      <c r="L1115" s="8" t="s">
        <v>76</v>
      </c>
      <c r="M1115" s="8" t="s">
        <v>77</v>
      </c>
      <c r="N1115">
        <v>2</v>
      </c>
      <c r="O1115">
        <v>2024</v>
      </c>
      <c r="P1115" s="29" t="s">
        <v>729</v>
      </c>
      <c r="Q1115" t="s">
        <v>735</v>
      </c>
      <c r="R1115" t="s">
        <v>739</v>
      </c>
    </row>
    <row r="1116" spans="1:18" x14ac:dyDescent="0.25">
      <c r="A1116" s="9">
        <v>1115</v>
      </c>
      <c r="B1116" s="10">
        <v>45223</v>
      </c>
      <c r="C1116" s="11" t="s">
        <v>114</v>
      </c>
      <c r="D1116" s="11" t="s">
        <v>109</v>
      </c>
      <c r="E1116" s="11" t="s">
        <v>84</v>
      </c>
      <c r="F1116" s="11" t="s">
        <v>85</v>
      </c>
      <c r="G1116" s="9">
        <v>8</v>
      </c>
      <c r="H1116" s="26">
        <v>5600</v>
      </c>
      <c r="I1116" s="9">
        <v>0</v>
      </c>
      <c r="J1116" s="9">
        <f t="shared" si="34"/>
        <v>44800</v>
      </c>
      <c r="K1116" s="9">
        <f t="shared" si="35"/>
        <v>44800</v>
      </c>
      <c r="L1116" s="11" t="s">
        <v>76</v>
      </c>
      <c r="M1116" s="11" t="s">
        <v>91</v>
      </c>
      <c r="N1116">
        <v>10</v>
      </c>
      <c r="O1116">
        <v>2023</v>
      </c>
      <c r="P1116" s="29" t="s">
        <v>726</v>
      </c>
      <c r="Q1116" t="s">
        <v>733</v>
      </c>
      <c r="R1116" t="s">
        <v>738</v>
      </c>
    </row>
    <row r="1117" spans="1:18" x14ac:dyDescent="0.25">
      <c r="A1117" s="6">
        <v>1116</v>
      </c>
      <c r="B1117" s="7">
        <v>45286</v>
      </c>
      <c r="C1117" s="8" t="s">
        <v>119</v>
      </c>
      <c r="D1117" s="8" t="s">
        <v>83</v>
      </c>
      <c r="E1117" s="8" t="s">
        <v>111</v>
      </c>
      <c r="F1117" s="8" t="s">
        <v>192</v>
      </c>
      <c r="G1117" s="6">
        <v>15</v>
      </c>
      <c r="H1117" s="25">
        <v>107800</v>
      </c>
      <c r="I1117" s="6">
        <v>15</v>
      </c>
      <c r="J1117" s="6">
        <f t="shared" si="34"/>
        <v>1617000</v>
      </c>
      <c r="K1117" s="6">
        <f t="shared" si="35"/>
        <v>1374450</v>
      </c>
      <c r="L1117" s="8" t="s">
        <v>76</v>
      </c>
      <c r="M1117" s="8" t="s">
        <v>96</v>
      </c>
      <c r="N1117">
        <v>12</v>
      </c>
      <c r="O1117">
        <v>2023</v>
      </c>
      <c r="P1117" s="29" t="s">
        <v>725</v>
      </c>
      <c r="Q1117" t="s">
        <v>733</v>
      </c>
      <c r="R1117" t="s">
        <v>737</v>
      </c>
    </row>
    <row r="1118" spans="1:18" x14ac:dyDescent="0.25">
      <c r="A1118" s="9">
        <v>1117</v>
      </c>
      <c r="B1118" s="10">
        <v>45197</v>
      </c>
      <c r="C1118" s="11" t="s">
        <v>101</v>
      </c>
      <c r="D1118" s="11" t="s">
        <v>83</v>
      </c>
      <c r="E1118" s="11" t="s">
        <v>84</v>
      </c>
      <c r="F1118" s="11" t="s">
        <v>206</v>
      </c>
      <c r="G1118" s="9">
        <v>27</v>
      </c>
      <c r="H1118" s="26">
        <v>15800</v>
      </c>
      <c r="I1118" s="9">
        <v>0</v>
      </c>
      <c r="J1118" s="9">
        <f t="shared" si="34"/>
        <v>426600</v>
      </c>
      <c r="K1118" s="9">
        <f t="shared" si="35"/>
        <v>426600</v>
      </c>
      <c r="L1118" s="11" t="s">
        <v>76</v>
      </c>
      <c r="M1118" s="11" t="s">
        <v>77</v>
      </c>
      <c r="N1118">
        <v>9</v>
      </c>
      <c r="O1118">
        <v>2023</v>
      </c>
      <c r="P1118" s="29" t="s">
        <v>715</v>
      </c>
      <c r="Q1118" t="s">
        <v>734</v>
      </c>
      <c r="R1118" t="s">
        <v>737</v>
      </c>
    </row>
    <row r="1119" spans="1:18" x14ac:dyDescent="0.25">
      <c r="A1119" s="6">
        <v>1118</v>
      </c>
      <c r="B1119" s="7">
        <v>45310</v>
      </c>
      <c r="C1119" s="8" t="s">
        <v>82</v>
      </c>
      <c r="D1119" s="8" t="s">
        <v>93</v>
      </c>
      <c r="E1119" s="8" t="s">
        <v>74</v>
      </c>
      <c r="F1119" s="8" t="s">
        <v>212</v>
      </c>
      <c r="G1119" s="6">
        <v>37</v>
      </c>
      <c r="H1119" s="25">
        <v>7500</v>
      </c>
      <c r="I1119" s="6">
        <v>10</v>
      </c>
      <c r="J1119" s="6">
        <f t="shared" si="34"/>
        <v>277500</v>
      </c>
      <c r="K1119" s="6">
        <f t="shared" si="35"/>
        <v>249750</v>
      </c>
      <c r="L1119" s="8" t="s">
        <v>123</v>
      </c>
      <c r="M1119" s="8" t="s">
        <v>81</v>
      </c>
      <c r="N1119">
        <v>1</v>
      </c>
      <c r="O1119">
        <v>2024</v>
      </c>
      <c r="P1119" s="29" t="s">
        <v>727</v>
      </c>
      <c r="Q1119" t="s">
        <v>735</v>
      </c>
      <c r="R1119" t="s">
        <v>737</v>
      </c>
    </row>
    <row r="1120" spans="1:18" x14ac:dyDescent="0.25">
      <c r="A1120" s="9">
        <v>1119</v>
      </c>
      <c r="B1120" s="10">
        <v>45414</v>
      </c>
      <c r="C1120" s="11" t="s">
        <v>106</v>
      </c>
      <c r="D1120" s="11" t="s">
        <v>93</v>
      </c>
      <c r="E1120" s="11" t="s">
        <v>111</v>
      </c>
      <c r="F1120" s="11" t="s">
        <v>192</v>
      </c>
      <c r="G1120" s="9">
        <v>37</v>
      </c>
      <c r="H1120" s="26">
        <v>104500</v>
      </c>
      <c r="I1120" s="9">
        <v>15</v>
      </c>
      <c r="J1120" s="9">
        <f t="shared" si="34"/>
        <v>3866500</v>
      </c>
      <c r="K1120" s="9">
        <f t="shared" si="35"/>
        <v>3286525</v>
      </c>
      <c r="L1120" s="11" t="s">
        <v>76</v>
      </c>
      <c r="M1120" s="11" t="s">
        <v>91</v>
      </c>
      <c r="N1120">
        <v>5</v>
      </c>
      <c r="O1120">
        <v>2024</v>
      </c>
      <c r="P1120" s="29" t="s">
        <v>732</v>
      </c>
      <c r="Q1120" t="s">
        <v>736</v>
      </c>
      <c r="R1120" t="s">
        <v>737</v>
      </c>
    </row>
    <row r="1121" spans="1:18" x14ac:dyDescent="0.25">
      <c r="A1121" s="6">
        <v>1120</v>
      </c>
      <c r="B1121" s="7">
        <v>45104</v>
      </c>
      <c r="C1121" s="8" t="s">
        <v>114</v>
      </c>
      <c r="D1121" s="8" t="s">
        <v>117</v>
      </c>
      <c r="E1121" s="8" t="s">
        <v>102</v>
      </c>
      <c r="F1121" s="8" t="s">
        <v>103</v>
      </c>
      <c r="G1121" s="6">
        <v>7</v>
      </c>
      <c r="H1121" s="25">
        <v>9900</v>
      </c>
      <c r="I1121" s="6">
        <v>10</v>
      </c>
      <c r="J1121" s="6">
        <f t="shared" si="34"/>
        <v>69300</v>
      </c>
      <c r="K1121" s="6">
        <f t="shared" si="35"/>
        <v>62370</v>
      </c>
      <c r="L1121" s="8" t="s">
        <v>187</v>
      </c>
      <c r="M1121" s="8" t="s">
        <v>81</v>
      </c>
      <c r="N1121">
        <v>6</v>
      </c>
      <c r="O1121">
        <v>2023</v>
      </c>
      <c r="P1121" s="29" t="s">
        <v>723</v>
      </c>
      <c r="Q1121" t="s">
        <v>736</v>
      </c>
      <c r="R1121" t="s">
        <v>739</v>
      </c>
    </row>
    <row r="1122" spans="1:18" x14ac:dyDescent="0.25">
      <c r="A1122" s="9">
        <v>1121</v>
      </c>
      <c r="B1122" s="10">
        <v>44962</v>
      </c>
      <c r="C1122" s="11" t="s">
        <v>124</v>
      </c>
      <c r="D1122" s="11" t="s">
        <v>83</v>
      </c>
      <c r="E1122" s="11" t="s">
        <v>74</v>
      </c>
      <c r="F1122" s="11" t="s">
        <v>142</v>
      </c>
      <c r="G1122" s="9">
        <v>14</v>
      </c>
      <c r="H1122" s="26">
        <v>13600</v>
      </c>
      <c r="I1122" s="9">
        <v>5</v>
      </c>
      <c r="J1122" s="9">
        <f t="shared" si="34"/>
        <v>190400</v>
      </c>
      <c r="K1122" s="9">
        <f t="shared" si="35"/>
        <v>180880</v>
      </c>
      <c r="L1122" s="11" t="s">
        <v>76</v>
      </c>
      <c r="M1122" s="11" t="s">
        <v>77</v>
      </c>
      <c r="N1122">
        <v>2</v>
      </c>
      <c r="O1122">
        <v>2023</v>
      </c>
      <c r="P1122" s="29" t="s">
        <v>717</v>
      </c>
      <c r="Q1122" t="s">
        <v>735</v>
      </c>
      <c r="R1122" t="s">
        <v>739</v>
      </c>
    </row>
    <row r="1123" spans="1:18" x14ac:dyDescent="0.25">
      <c r="A1123" s="6">
        <v>1122</v>
      </c>
      <c r="B1123" s="7">
        <v>45261</v>
      </c>
      <c r="C1123" s="8" t="s">
        <v>124</v>
      </c>
      <c r="D1123" s="8" t="s">
        <v>109</v>
      </c>
      <c r="E1123" s="8" t="s">
        <v>79</v>
      </c>
      <c r="F1123" s="8" t="s">
        <v>131</v>
      </c>
      <c r="G1123" s="6">
        <v>2</v>
      </c>
      <c r="H1123" s="25">
        <v>125200</v>
      </c>
      <c r="I1123" s="6">
        <v>5</v>
      </c>
      <c r="J1123" s="6">
        <f t="shared" si="34"/>
        <v>250400</v>
      </c>
      <c r="K1123" s="6">
        <f t="shared" si="35"/>
        <v>237880</v>
      </c>
      <c r="L1123" s="8" t="s">
        <v>187</v>
      </c>
      <c r="M1123" s="8" t="s">
        <v>81</v>
      </c>
      <c r="N1123">
        <v>12</v>
      </c>
      <c r="O1123">
        <v>2023</v>
      </c>
      <c r="P1123" s="29" t="s">
        <v>725</v>
      </c>
      <c r="Q1123" t="s">
        <v>733</v>
      </c>
      <c r="R1123" t="s">
        <v>737</v>
      </c>
    </row>
    <row r="1124" spans="1:18" x14ac:dyDescent="0.25">
      <c r="A1124" s="9">
        <v>1123</v>
      </c>
      <c r="B1124" s="10">
        <v>45606</v>
      </c>
      <c r="C1124" s="11" t="s">
        <v>88</v>
      </c>
      <c r="D1124" s="11" t="s">
        <v>109</v>
      </c>
      <c r="E1124" s="11" t="s">
        <v>84</v>
      </c>
      <c r="F1124" s="11" t="s">
        <v>90</v>
      </c>
      <c r="G1124" s="9">
        <v>35</v>
      </c>
      <c r="H1124" s="26">
        <v>1800</v>
      </c>
      <c r="I1124" s="6">
        <v>0</v>
      </c>
      <c r="J1124" s="9">
        <f t="shared" si="34"/>
        <v>63000</v>
      </c>
      <c r="K1124" s="9">
        <f t="shared" si="35"/>
        <v>63000</v>
      </c>
      <c r="L1124" s="11" t="s">
        <v>187</v>
      </c>
      <c r="M1124" s="11" t="s">
        <v>91</v>
      </c>
      <c r="N1124">
        <v>11</v>
      </c>
      <c r="O1124">
        <v>2024</v>
      </c>
      <c r="P1124" s="29" t="s">
        <v>714</v>
      </c>
      <c r="Q1124" t="s">
        <v>733</v>
      </c>
      <c r="R1124" t="s">
        <v>739</v>
      </c>
    </row>
    <row r="1125" spans="1:18" x14ac:dyDescent="0.25">
      <c r="A1125" s="6">
        <v>1124</v>
      </c>
      <c r="B1125" s="7">
        <v>45193</v>
      </c>
      <c r="C1125" s="8" t="s">
        <v>78</v>
      </c>
      <c r="D1125" s="8" t="s">
        <v>117</v>
      </c>
      <c r="E1125" s="8" t="s">
        <v>79</v>
      </c>
      <c r="F1125" s="8" t="s">
        <v>122</v>
      </c>
      <c r="G1125" s="6">
        <v>41</v>
      </c>
      <c r="H1125" s="25">
        <v>19000</v>
      </c>
      <c r="I1125" s="6">
        <v>0</v>
      </c>
      <c r="J1125" s="6">
        <f t="shared" si="34"/>
        <v>779000</v>
      </c>
      <c r="K1125" s="6">
        <f t="shared" si="35"/>
        <v>779000</v>
      </c>
      <c r="L1125" s="8" t="s">
        <v>123</v>
      </c>
      <c r="M1125" s="8" t="s">
        <v>77</v>
      </c>
      <c r="N1125">
        <v>9</v>
      </c>
      <c r="O1125">
        <v>2023</v>
      </c>
      <c r="P1125" s="29" t="s">
        <v>715</v>
      </c>
      <c r="Q1125" t="s">
        <v>734</v>
      </c>
      <c r="R1125" t="s">
        <v>737</v>
      </c>
    </row>
    <row r="1126" spans="1:18" x14ac:dyDescent="0.25">
      <c r="A1126" s="9">
        <v>1125</v>
      </c>
      <c r="B1126" s="10">
        <v>45397</v>
      </c>
      <c r="C1126" s="11" t="s">
        <v>124</v>
      </c>
      <c r="D1126" s="11" t="s">
        <v>73</v>
      </c>
      <c r="E1126" s="11" t="s">
        <v>79</v>
      </c>
      <c r="F1126" s="11" t="s">
        <v>122</v>
      </c>
      <c r="G1126" s="9">
        <v>12</v>
      </c>
      <c r="H1126" s="26">
        <v>17500</v>
      </c>
      <c r="I1126" s="9">
        <v>20</v>
      </c>
      <c r="J1126" s="9">
        <f t="shared" si="34"/>
        <v>210000</v>
      </c>
      <c r="K1126" s="9">
        <f t="shared" si="35"/>
        <v>168000</v>
      </c>
      <c r="L1126" s="11" t="s">
        <v>76</v>
      </c>
      <c r="M1126" s="11" t="s">
        <v>91</v>
      </c>
      <c r="N1126">
        <v>4</v>
      </c>
      <c r="O1126">
        <v>2024</v>
      </c>
      <c r="P1126" s="29" t="s">
        <v>722</v>
      </c>
      <c r="Q1126" t="s">
        <v>736</v>
      </c>
      <c r="R1126" t="s">
        <v>739</v>
      </c>
    </row>
    <row r="1127" spans="1:18" x14ac:dyDescent="0.25">
      <c r="A1127" s="6">
        <v>1126</v>
      </c>
      <c r="B1127" s="7">
        <v>45444</v>
      </c>
      <c r="C1127" s="8" t="s">
        <v>106</v>
      </c>
      <c r="D1127" s="8" t="s">
        <v>83</v>
      </c>
      <c r="E1127" s="8" t="s">
        <v>79</v>
      </c>
      <c r="F1127" s="8" t="s">
        <v>172</v>
      </c>
      <c r="G1127" s="6">
        <v>27</v>
      </c>
      <c r="H1127" s="25">
        <v>27500</v>
      </c>
      <c r="I1127" s="6">
        <v>0</v>
      </c>
      <c r="J1127" s="6">
        <f t="shared" si="34"/>
        <v>742500</v>
      </c>
      <c r="K1127" s="6">
        <f t="shared" si="35"/>
        <v>742500</v>
      </c>
      <c r="L1127" s="8" t="s">
        <v>76</v>
      </c>
      <c r="M1127" s="8" t="s">
        <v>77</v>
      </c>
      <c r="N1127">
        <v>6</v>
      </c>
      <c r="O1127">
        <v>2024</v>
      </c>
      <c r="P1127" s="29" t="s">
        <v>720</v>
      </c>
      <c r="Q1127" t="s">
        <v>736</v>
      </c>
      <c r="R1127" t="s">
        <v>737</v>
      </c>
    </row>
    <row r="1128" spans="1:18" x14ac:dyDescent="0.25">
      <c r="A1128" s="9">
        <v>1127</v>
      </c>
      <c r="B1128" s="10">
        <v>45394</v>
      </c>
      <c r="C1128" s="11" t="s">
        <v>114</v>
      </c>
      <c r="D1128" s="11" t="s">
        <v>83</v>
      </c>
      <c r="E1128" s="11" t="s">
        <v>74</v>
      </c>
      <c r="F1128" s="11" t="s">
        <v>99</v>
      </c>
      <c r="G1128" s="9">
        <v>12</v>
      </c>
      <c r="H1128" s="26">
        <v>3900</v>
      </c>
      <c r="I1128" s="9">
        <v>15</v>
      </c>
      <c r="J1128" s="9">
        <f t="shared" si="34"/>
        <v>46800</v>
      </c>
      <c r="K1128" s="9">
        <f t="shared" si="35"/>
        <v>39780</v>
      </c>
      <c r="L1128" s="11" t="s">
        <v>76</v>
      </c>
      <c r="M1128" s="11" t="s">
        <v>81</v>
      </c>
      <c r="N1128">
        <v>4</v>
      </c>
      <c r="O1128">
        <v>2024</v>
      </c>
      <c r="P1128" s="29" t="s">
        <v>722</v>
      </c>
      <c r="Q1128" t="s">
        <v>736</v>
      </c>
      <c r="R1128" t="s">
        <v>738</v>
      </c>
    </row>
    <row r="1129" spans="1:18" x14ac:dyDescent="0.25">
      <c r="A1129" s="6">
        <v>1128</v>
      </c>
      <c r="B1129" s="7">
        <v>45359</v>
      </c>
      <c r="C1129" s="8" t="s">
        <v>124</v>
      </c>
      <c r="D1129" s="8" t="s">
        <v>73</v>
      </c>
      <c r="E1129" s="8" t="s">
        <v>79</v>
      </c>
      <c r="F1129" s="8" t="s">
        <v>120</v>
      </c>
      <c r="G1129" s="6">
        <v>31</v>
      </c>
      <c r="H1129" s="25">
        <v>6900</v>
      </c>
      <c r="I1129" s="6">
        <v>0</v>
      </c>
      <c r="J1129" s="6">
        <f t="shared" si="34"/>
        <v>213900</v>
      </c>
      <c r="K1129" s="6">
        <f t="shared" si="35"/>
        <v>213900</v>
      </c>
      <c r="L1129" s="8" t="s">
        <v>123</v>
      </c>
      <c r="M1129" s="8" t="s">
        <v>77</v>
      </c>
      <c r="N1129">
        <v>3</v>
      </c>
      <c r="O1129">
        <v>2024</v>
      </c>
      <c r="P1129" s="29" t="s">
        <v>711</v>
      </c>
      <c r="Q1129" t="s">
        <v>735</v>
      </c>
      <c r="R1129" t="s">
        <v>737</v>
      </c>
    </row>
    <row r="1130" spans="1:18" x14ac:dyDescent="0.25">
      <c r="A1130" s="9">
        <v>1129</v>
      </c>
      <c r="B1130" s="10">
        <v>45461</v>
      </c>
      <c r="C1130" s="11" t="s">
        <v>101</v>
      </c>
      <c r="D1130" s="11" t="s">
        <v>73</v>
      </c>
      <c r="E1130" s="11" t="s">
        <v>84</v>
      </c>
      <c r="F1130" s="11" t="s">
        <v>206</v>
      </c>
      <c r="G1130" s="9">
        <v>34</v>
      </c>
      <c r="H1130" s="26">
        <v>14500</v>
      </c>
      <c r="I1130" s="9">
        <v>0</v>
      </c>
      <c r="J1130" s="9">
        <f t="shared" si="34"/>
        <v>493000</v>
      </c>
      <c r="K1130" s="9">
        <f t="shared" si="35"/>
        <v>493000</v>
      </c>
      <c r="L1130" s="11" t="s">
        <v>76</v>
      </c>
      <c r="M1130" s="11" t="s">
        <v>81</v>
      </c>
      <c r="N1130">
        <v>6</v>
      </c>
      <c r="O1130">
        <v>2024</v>
      </c>
      <c r="P1130" s="29" t="s">
        <v>720</v>
      </c>
      <c r="Q1130" t="s">
        <v>736</v>
      </c>
      <c r="R1130" t="s">
        <v>737</v>
      </c>
    </row>
    <row r="1131" spans="1:18" x14ac:dyDescent="0.25">
      <c r="A1131" s="6">
        <v>1130</v>
      </c>
      <c r="B1131" s="7">
        <v>45536</v>
      </c>
      <c r="C1131" s="8" t="s">
        <v>97</v>
      </c>
      <c r="D1131" s="8" t="s">
        <v>109</v>
      </c>
      <c r="E1131" s="8" t="s">
        <v>79</v>
      </c>
      <c r="F1131" s="8" t="s">
        <v>120</v>
      </c>
      <c r="G1131" s="6">
        <v>6</v>
      </c>
      <c r="H1131" s="25">
        <v>5600</v>
      </c>
      <c r="I1131" s="6">
        <v>0</v>
      </c>
      <c r="J1131" s="6">
        <f t="shared" si="34"/>
        <v>33600</v>
      </c>
      <c r="K1131" s="6">
        <f t="shared" si="35"/>
        <v>33600</v>
      </c>
      <c r="L1131" s="8" t="s">
        <v>187</v>
      </c>
      <c r="M1131" s="8" t="s">
        <v>81</v>
      </c>
      <c r="N1131">
        <v>9</v>
      </c>
      <c r="O1131">
        <v>2024</v>
      </c>
      <c r="P1131" s="29" t="s">
        <v>731</v>
      </c>
      <c r="Q1131" t="s">
        <v>734</v>
      </c>
      <c r="R1131" t="s">
        <v>738</v>
      </c>
    </row>
    <row r="1132" spans="1:18" x14ac:dyDescent="0.25">
      <c r="A1132" s="9">
        <v>1131</v>
      </c>
      <c r="B1132" s="10">
        <v>45148</v>
      </c>
      <c r="C1132" s="11" t="s">
        <v>119</v>
      </c>
      <c r="D1132" s="11" t="s">
        <v>109</v>
      </c>
      <c r="E1132" s="11" t="s">
        <v>79</v>
      </c>
      <c r="F1132" s="11" t="s">
        <v>120</v>
      </c>
      <c r="G1132" s="9">
        <v>42</v>
      </c>
      <c r="H1132" s="26">
        <v>6500</v>
      </c>
      <c r="I1132" s="9">
        <v>5</v>
      </c>
      <c r="J1132" s="9">
        <f t="shared" si="34"/>
        <v>273000</v>
      </c>
      <c r="K1132" s="9">
        <f t="shared" si="35"/>
        <v>259350</v>
      </c>
      <c r="L1132" s="11" t="s">
        <v>76</v>
      </c>
      <c r="M1132" s="11" t="s">
        <v>91</v>
      </c>
      <c r="N1132">
        <v>8</v>
      </c>
      <c r="O1132">
        <v>2023</v>
      </c>
      <c r="P1132" s="29" t="s">
        <v>713</v>
      </c>
      <c r="Q1132" t="s">
        <v>734</v>
      </c>
      <c r="R1132" t="s">
        <v>737</v>
      </c>
    </row>
    <row r="1133" spans="1:18" x14ac:dyDescent="0.25">
      <c r="A1133" s="6">
        <v>1132</v>
      </c>
      <c r="B1133" s="7">
        <v>45510</v>
      </c>
      <c r="C1133" s="8" t="s">
        <v>114</v>
      </c>
      <c r="D1133" s="8" t="s">
        <v>109</v>
      </c>
      <c r="E1133" s="8" t="s">
        <v>74</v>
      </c>
      <c r="F1133" s="8" t="s">
        <v>142</v>
      </c>
      <c r="G1133" s="6">
        <v>46</v>
      </c>
      <c r="H1133" s="25">
        <v>11400</v>
      </c>
      <c r="I1133" s="6">
        <v>0</v>
      </c>
      <c r="J1133" s="6">
        <f t="shared" si="34"/>
        <v>524400</v>
      </c>
      <c r="K1133" s="6">
        <f t="shared" si="35"/>
        <v>524400</v>
      </c>
      <c r="L1133" s="8" t="s">
        <v>76</v>
      </c>
      <c r="M1133" s="8" t="s">
        <v>91</v>
      </c>
      <c r="N1133">
        <v>8</v>
      </c>
      <c r="O1133">
        <v>2024</v>
      </c>
      <c r="P1133" s="29" t="s">
        <v>710</v>
      </c>
      <c r="Q1133" t="s">
        <v>734</v>
      </c>
      <c r="R1133" t="s">
        <v>737</v>
      </c>
    </row>
    <row r="1134" spans="1:18" x14ac:dyDescent="0.25">
      <c r="A1134" s="9">
        <v>1133</v>
      </c>
      <c r="B1134" s="10">
        <v>45524</v>
      </c>
      <c r="C1134" s="11" t="s">
        <v>124</v>
      </c>
      <c r="D1134" s="11" t="s">
        <v>117</v>
      </c>
      <c r="E1134" s="11" t="s">
        <v>84</v>
      </c>
      <c r="F1134" s="11" t="s">
        <v>90</v>
      </c>
      <c r="G1134" s="9">
        <v>32</v>
      </c>
      <c r="H1134" s="26">
        <v>2000</v>
      </c>
      <c r="I1134" s="9">
        <v>5</v>
      </c>
      <c r="J1134" s="9">
        <f t="shared" si="34"/>
        <v>64000</v>
      </c>
      <c r="K1134" s="9">
        <f t="shared" si="35"/>
        <v>60800</v>
      </c>
      <c r="L1134" s="11" t="s">
        <v>76</v>
      </c>
      <c r="M1134" s="11" t="s">
        <v>91</v>
      </c>
      <c r="N1134">
        <v>8</v>
      </c>
      <c r="O1134">
        <v>2024</v>
      </c>
      <c r="P1134" s="29" t="s">
        <v>710</v>
      </c>
      <c r="Q1134" t="s">
        <v>734</v>
      </c>
      <c r="R1134" t="s">
        <v>739</v>
      </c>
    </row>
    <row r="1135" spans="1:18" x14ac:dyDescent="0.25">
      <c r="A1135" s="6">
        <v>1134</v>
      </c>
      <c r="B1135" s="7">
        <v>45331</v>
      </c>
      <c r="C1135" s="8" t="s">
        <v>101</v>
      </c>
      <c r="D1135" s="8" t="s">
        <v>117</v>
      </c>
      <c r="E1135" s="8" t="s">
        <v>102</v>
      </c>
      <c r="F1135" s="8" t="s">
        <v>137</v>
      </c>
      <c r="G1135" s="6">
        <v>28</v>
      </c>
      <c r="H1135" s="25">
        <v>2300</v>
      </c>
      <c r="I1135" s="6">
        <v>0</v>
      </c>
      <c r="J1135" s="6">
        <f t="shared" si="34"/>
        <v>64400</v>
      </c>
      <c r="K1135" s="6">
        <f t="shared" si="35"/>
        <v>64400</v>
      </c>
      <c r="L1135" s="8" t="s">
        <v>76</v>
      </c>
      <c r="M1135" s="8" t="s">
        <v>96</v>
      </c>
      <c r="N1135">
        <v>2</v>
      </c>
      <c r="O1135">
        <v>2024</v>
      </c>
      <c r="P1135" s="29" t="s">
        <v>729</v>
      </c>
      <c r="Q1135" t="s">
        <v>735</v>
      </c>
      <c r="R1135" t="s">
        <v>739</v>
      </c>
    </row>
    <row r="1136" spans="1:18" x14ac:dyDescent="0.25">
      <c r="A1136" s="9">
        <v>1135</v>
      </c>
      <c r="B1136" s="10">
        <v>45545</v>
      </c>
      <c r="C1136" s="11" t="s">
        <v>97</v>
      </c>
      <c r="D1136" s="11" t="s">
        <v>83</v>
      </c>
      <c r="E1136" s="11" t="s">
        <v>84</v>
      </c>
      <c r="F1136" s="11" t="s">
        <v>206</v>
      </c>
      <c r="G1136" s="9">
        <v>17</v>
      </c>
      <c r="H1136" s="26">
        <v>16000</v>
      </c>
      <c r="I1136" s="9">
        <v>10</v>
      </c>
      <c r="J1136" s="9">
        <f t="shared" si="34"/>
        <v>272000</v>
      </c>
      <c r="K1136" s="9">
        <f t="shared" si="35"/>
        <v>244800</v>
      </c>
      <c r="L1136" s="11" t="s">
        <v>76</v>
      </c>
      <c r="M1136" s="11" t="s">
        <v>96</v>
      </c>
      <c r="N1136">
        <v>9</v>
      </c>
      <c r="O1136">
        <v>2024</v>
      </c>
      <c r="P1136" s="29" t="s">
        <v>731</v>
      </c>
      <c r="Q1136" t="s">
        <v>734</v>
      </c>
      <c r="R1136" t="s">
        <v>737</v>
      </c>
    </row>
    <row r="1137" spans="1:18" x14ac:dyDescent="0.25">
      <c r="A1137" s="6">
        <v>1136</v>
      </c>
      <c r="B1137" s="7">
        <v>45587</v>
      </c>
      <c r="C1137" s="8" t="s">
        <v>82</v>
      </c>
      <c r="D1137" s="8" t="s">
        <v>117</v>
      </c>
      <c r="E1137" s="8" t="s">
        <v>111</v>
      </c>
      <c r="F1137" s="8" t="s">
        <v>192</v>
      </c>
      <c r="G1137" s="6">
        <v>21</v>
      </c>
      <c r="H1137" s="25">
        <v>88200</v>
      </c>
      <c r="I1137" s="6">
        <v>0</v>
      </c>
      <c r="J1137" s="6">
        <f t="shared" si="34"/>
        <v>1852200</v>
      </c>
      <c r="K1137" s="6">
        <f t="shared" si="35"/>
        <v>1852200</v>
      </c>
      <c r="L1137" s="8" t="s">
        <v>76</v>
      </c>
      <c r="M1137" s="8" t="s">
        <v>81</v>
      </c>
      <c r="N1137">
        <v>10</v>
      </c>
      <c r="O1137">
        <v>2024</v>
      </c>
      <c r="P1137" s="29" t="s">
        <v>709</v>
      </c>
      <c r="Q1137" t="s">
        <v>733</v>
      </c>
      <c r="R1137" t="s">
        <v>737</v>
      </c>
    </row>
    <row r="1138" spans="1:18" x14ac:dyDescent="0.25">
      <c r="A1138" s="9">
        <v>1137</v>
      </c>
      <c r="B1138" s="10">
        <v>45178</v>
      </c>
      <c r="C1138" s="11" t="s">
        <v>97</v>
      </c>
      <c r="D1138" s="11" t="s">
        <v>109</v>
      </c>
      <c r="E1138" s="11" t="s">
        <v>74</v>
      </c>
      <c r="F1138" s="11" t="s">
        <v>212</v>
      </c>
      <c r="G1138" s="9">
        <v>21</v>
      </c>
      <c r="H1138" s="26">
        <v>7500</v>
      </c>
      <c r="I1138" s="9">
        <v>15</v>
      </c>
      <c r="J1138" s="9">
        <f t="shared" si="34"/>
        <v>157500</v>
      </c>
      <c r="K1138" s="9">
        <f t="shared" si="35"/>
        <v>133875</v>
      </c>
      <c r="L1138" s="11" t="s">
        <v>76</v>
      </c>
      <c r="M1138" s="11" t="s">
        <v>96</v>
      </c>
      <c r="N1138">
        <v>9</v>
      </c>
      <c r="O1138">
        <v>2023</v>
      </c>
      <c r="P1138" s="29" t="s">
        <v>715</v>
      </c>
      <c r="Q1138" t="s">
        <v>734</v>
      </c>
      <c r="R1138" t="s">
        <v>739</v>
      </c>
    </row>
    <row r="1139" spans="1:18" x14ac:dyDescent="0.25">
      <c r="A1139" s="9">
        <v>1138</v>
      </c>
      <c r="B1139" s="10">
        <v>45261</v>
      </c>
      <c r="C1139" s="11" t="s">
        <v>88</v>
      </c>
      <c r="D1139" s="11" t="s">
        <v>109</v>
      </c>
      <c r="E1139" s="11" t="s">
        <v>111</v>
      </c>
      <c r="F1139" s="11" t="s">
        <v>132</v>
      </c>
      <c r="G1139" s="9">
        <v>36</v>
      </c>
      <c r="H1139" s="26">
        <v>8400</v>
      </c>
      <c r="I1139" s="9">
        <v>10</v>
      </c>
      <c r="J1139" s="9">
        <f t="shared" si="34"/>
        <v>302400</v>
      </c>
      <c r="K1139" s="9">
        <f t="shared" si="35"/>
        <v>272160</v>
      </c>
      <c r="L1139" s="11" t="s">
        <v>76</v>
      </c>
      <c r="M1139" s="11" t="s">
        <v>96</v>
      </c>
      <c r="N1139">
        <v>12</v>
      </c>
      <c r="O1139">
        <v>2023</v>
      </c>
      <c r="P1139" s="29" t="s">
        <v>725</v>
      </c>
      <c r="Q1139" t="s">
        <v>733</v>
      </c>
      <c r="R1139" t="s">
        <v>737</v>
      </c>
    </row>
    <row r="1140" spans="1:18" x14ac:dyDescent="0.25">
      <c r="A1140" s="6">
        <v>1139</v>
      </c>
      <c r="B1140" s="7">
        <v>45085</v>
      </c>
      <c r="C1140" s="8" t="s">
        <v>82</v>
      </c>
      <c r="D1140" s="8" t="s">
        <v>109</v>
      </c>
      <c r="E1140" s="8" t="s">
        <v>79</v>
      </c>
      <c r="F1140" s="8" t="s">
        <v>179</v>
      </c>
      <c r="G1140" s="6">
        <v>43</v>
      </c>
      <c r="H1140" s="25">
        <v>2700</v>
      </c>
      <c r="I1140" s="6">
        <v>15</v>
      </c>
      <c r="J1140" s="6">
        <f t="shared" si="34"/>
        <v>116100</v>
      </c>
      <c r="K1140" s="6">
        <f t="shared" si="35"/>
        <v>98685</v>
      </c>
      <c r="L1140" s="8" t="s">
        <v>76</v>
      </c>
      <c r="M1140" s="8" t="s">
        <v>91</v>
      </c>
      <c r="N1140">
        <v>6</v>
      </c>
      <c r="O1140">
        <v>2023</v>
      </c>
      <c r="P1140" s="29" t="s">
        <v>723</v>
      </c>
      <c r="Q1140" t="s">
        <v>736</v>
      </c>
      <c r="R1140" t="s">
        <v>739</v>
      </c>
    </row>
    <row r="1141" spans="1:18" x14ac:dyDescent="0.25">
      <c r="A1141" s="9">
        <v>1140</v>
      </c>
      <c r="B1141" s="10">
        <v>45372</v>
      </c>
      <c r="C1141" s="11" t="s">
        <v>88</v>
      </c>
      <c r="D1141" s="11" t="s">
        <v>117</v>
      </c>
      <c r="E1141" s="11" t="s">
        <v>84</v>
      </c>
      <c r="F1141" s="11" t="s">
        <v>90</v>
      </c>
      <c r="G1141" s="9">
        <v>32</v>
      </c>
      <c r="H1141" s="26">
        <v>1600</v>
      </c>
      <c r="I1141" s="9">
        <v>5</v>
      </c>
      <c r="J1141" s="9">
        <f t="shared" si="34"/>
        <v>51200</v>
      </c>
      <c r="K1141" s="9">
        <f t="shared" si="35"/>
        <v>48640</v>
      </c>
      <c r="L1141" s="11" t="s">
        <v>76</v>
      </c>
      <c r="M1141" s="11" t="s">
        <v>96</v>
      </c>
      <c r="N1141">
        <v>3</v>
      </c>
      <c r="O1141">
        <v>2024</v>
      </c>
      <c r="P1141" s="29" t="s">
        <v>711</v>
      </c>
      <c r="Q1141" t="s">
        <v>735</v>
      </c>
      <c r="R1141" t="s">
        <v>738</v>
      </c>
    </row>
    <row r="1142" spans="1:18" x14ac:dyDescent="0.25">
      <c r="A1142" s="6">
        <v>1141</v>
      </c>
      <c r="B1142" s="7">
        <v>44990</v>
      </c>
      <c r="C1142" s="8" t="s">
        <v>97</v>
      </c>
      <c r="D1142" s="8" t="s">
        <v>83</v>
      </c>
      <c r="E1142" s="8" t="s">
        <v>84</v>
      </c>
      <c r="F1142" s="8" t="s">
        <v>200</v>
      </c>
      <c r="G1142" s="6">
        <v>16</v>
      </c>
      <c r="H1142" s="25">
        <v>3400</v>
      </c>
      <c r="I1142" s="6">
        <v>0</v>
      </c>
      <c r="J1142" s="6">
        <f t="shared" si="34"/>
        <v>54400</v>
      </c>
      <c r="K1142" s="6">
        <f t="shared" si="35"/>
        <v>54400</v>
      </c>
      <c r="L1142" s="8" t="s">
        <v>76</v>
      </c>
      <c r="M1142" s="8" t="s">
        <v>96</v>
      </c>
      <c r="N1142">
        <v>3</v>
      </c>
      <c r="O1142">
        <v>2023</v>
      </c>
      <c r="P1142" s="29" t="s">
        <v>719</v>
      </c>
      <c r="Q1142" t="s">
        <v>735</v>
      </c>
      <c r="R1142" t="s">
        <v>739</v>
      </c>
    </row>
    <row r="1143" spans="1:18" x14ac:dyDescent="0.25">
      <c r="A1143" s="9">
        <v>1142</v>
      </c>
      <c r="B1143" s="10">
        <v>45586</v>
      </c>
      <c r="C1143" s="11" t="s">
        <v>124</v>
      </c>
      <c r="D1143" s="11" t="s">
        <v>73</v>
      </c>
      <c r="E1143" s="11" t="s">
        <v>111</v>
      </c>
      <c r="F1143" s="11" t="s">
        <v>135</v>
      </c>
      <c r="G1143" s="9">
        <v>26</v>
      </c>
      <c r="H1143" s="26">
        <v>107300</v>
      </c>
      <c r="I1143" s="9">
        <v>0</v>
      </c>
      <c r="J1143" s="9">
        <f t="shared" si="34"/>
        <v>2789800</v>
      </c>
      <c r="K1143" s="9">
        <f t="shared" si="35"/>
        <v>2789800</v>
      </c>
      <c r="L1143" s="11" t="s">
        <v>76</v>
      </c>
      <c r="M1143" s="11" t="s">
        <v>77</v>
      </c>
      <c r="N1143">
        <v>10</v>
      </c>
      <c r="O1143">
        <v>2024</v>
      </c>
      <c r="P1143" s="29" t="s">
        <v>709</v>
      </c>
      <c r="Q1143" t="s">
        <v>733</v>
      </c>
      <c r="R1143" t="s">
        <v>737</v>
      </c>
    </row>
    <row r="1144" spans="1:18" x14ac:dyDescent="0.25">
      <c r="A1144" s="6">
        <v>1143</v>
      </c>
      <c r="B1144" s="7">
        <v>45587</v>
      </c>
      <c r="C1144" s="8" t="s">
        <v>78</v>
      </c>
      <c r="D1144" s="8" t="s">
        <v>73</v>
      </c>
      <c r="E1144" s="8" t="s">
        <v>111</v>
      </c>
      <c r="F1144" s="8" t="s">
        <v>112</v>
      </c>
      <c r="G1144" s="6">
        <v>27</v>
      </c>
      <c r="H1144" s="25">
        <v>72000</v>
      </c>
      <c r="I1144" s="6">
        <v>0</v>
      </c>
      <c r="J1144" s="6">
        <f t="shared" si="34"/>
        <v>1944000</v>
      </c>
      <c r="K1144" s="6">
        <f t="shared" si="35"/>
        <v>1944000</v>
      </c>
      <c r="L1144" s="8" t="s">
        <v>187</v>
      </c>
      <c r="M1144" s="8" t="s">
        <v>96</v>
      </c>
      <c r="N1144">
        <v>10</v>
      </c>
      <c r="O1144">
        <v>2024</v>
      </c>
      <c r="P1144" s="29" t="s">
        <v>709</v>
      </c>
      <c r="Q1144" t="s">
        <v>733</v>
      </c>
      <c r="R1144" t="s">
        <v>737</v>
      </c>
    </row>
    <row r="1145" spans="1:18" x14ac:dyDescent="0.25">
      <c r="A1145" s="9">
        <v>1144</v>
      </c>
      <c r="B1145" s="10">
        <v>45281</v>
      </c>
      <c r="C1145" s="11" t="s">
        <v>114</v>
      </c>
      <c r="D1145" s="11" t="s">
        <v>73</v>
      </c>
      <c r="E1145" s="11" t="s">
        <v>102</v>
      </c>
      <c r="F1145" s="11" t="s">
        <v>157</v>
      </c>
      <c r="G1145" s="9">
        <v>4</v>
      </c>
      <c r="H1145" s="26">
        <v>12300</v>
      </c>
      <c r="I1145" s="9">
        <v>5</v>
      </c>
      <c r="J1145" s="9">
        <f t="shared" si="34"/>
        <v>49200</v>
      </c>
      <c r="K1145" s="9">
        <f t="shared" si="35"/>
        <v>46740</v>
      </c>
      <c r="L1145" s="11" t="s">
        <v>76</v>
      </c>
      <c r="M1145" s="11" t="s">
        <v>91</v>
      </c>
      <c r="N1145">
        <v>12</v>
      </c>
      <c r="O1145">
        <v>2023</v>
      </c>
      <c r="P1145" s="29" t="s">
        <v>725</v>
      </c>
      <c r="Q1145" t="s">
        <v>733</v>
      </c>
      <c r="R1145" t="s">
        <v>738</v>
      </c>
    </row>
    <row r="1146" spans="1:18" x14ac:dyDescent="0.25">
      <c r="A1146" s="6">
        <v>1145</v>
      </c>
      <c r="B1146" s="7">
        <v>45583</v>
      </c>
      <c r="C1146" s="8" t="s">
        <v>97</v>
      </c>
      <c r="D1146" s="8" t="s">
        <v>117</v>
      </c>
      <c r="E1146" s="8" t="s">
        <v>102</v>
      </c>
      <c r="F1146" s="8" t="s">
        <v>137</v>
      </c>
      <c r="G1146" s="12">
        <v>4</v>
      </c>
      <c r="H1146" s="25">
        <v>2000</v>
      </c>
      <c r="I1146" s="6">
        <v>0</v>
      </c>
      <c r="J1146" s="6">
        <f t="shared" si="34"/>
        <v>8000</v>
      </c>
      <c r="K1146" s="6">
        <f t="shared" si="35"/>
        <v>8000</v>
      </c>
      <c r="L1146" s="8" t="s">
        <v>187</v>
      </c>
      <c r="M1146" s="8" t="s">
        <v>81</v>
      </c>
      <c r="N1146">
        <v>10</v>
      </c>
      <c r="O1146">
        <v>2024</v>
      </c>
      <c r="P1146" s="29" t="s">
        <v>709</v>
      </c>
      <c r="Q1146" t="s">
        <v>733</v>
      </c>
      <c r="R1146" t="s">
        <v>738</v>
      </c>
    </row>
    <row r="1147" spans="1:18" x14ac:dyDescent="0.25">
      <c r="A1147" s="9">
        <v>1146</v>
      </c>
      <c r="B1147" s="10">
        <v>45257</v>
      </c>
      <c r="C1147" s="11" t="s">
        <v>114</v>
      </c>
      <c r="D1147" s="11" t="s">
        <v>109</v>
      </c>
      <c r="E1147" s="11" t="s">
        <v>84</v>
      </c>
      <c r="F1147" s="11" t="s">
        <v>150</v>
      </c>
      <c r="G1147" s="9">
        <v>24</v>
      </c>
      <c r="H1147" s="26">
        <v>5200</v>
      </c>
      <c r="I1147" s="9">
        <v>15</v>
      </c>
      <c r="J1147" s="9">
        <f t="shared" si="34"/>
        <v>124800</v>
      </c>
      <c r="K1147" s="9">
        <f t="shared" si="35"/>
        <v>106080</v>
      </c>
      <c r="L1147" s="11" t="s">
        <v>187</v>
      </c>
      <c r="M1147" s="11" t="s">
        <v>77</v>
      </c>
      <c r="N1147">
        <v>11</v>
      </c>
      <c r="O1147">
        <v>2023</v>
      </c>
      <c r="P1147" s="29" t="s">
        <v>718</v>
      </c>
      <c r="Q1147" t="s">
        <v>733</v>
      </c>
      <c r="R1147" t="s">
        <v>739</v>
      </c>
    </row>
    <row r="1148" spans="1:18" x14ac:dyDescent="0.25">
      <c r="A1148" s="6">
        <v>1147</v>
      </c>
      <c r="B1148" s="7">
        <v>44980</v>
      </c>
      <c r="C1148" s="8" t="s">
        <v>101</v>
      </c>
      <c r="D1148" s="8" t="s">
        <v>73</v>
      </c>
      <c r="E1148" s="8" t="s">
        <v>79</v>
      </c>
      <c r="F1148" s="8" t="s">
        <v>136</v>
      </c>
      <c r="G1148" s="6">
        <v>5</v>
      </c>
      <c r="H1148" s="25">
        <v>96600</v>
      </c>
      <c r="I1148" s="6">
        <v>0</v>
      </c>
      <c r="J1148" s="6">
        <f t="shared" si="34"/>
        <v>483000</v>
      </c>
      <c r="K1148" s="6">
        <f t="shared" si="35"/>
        <v>483000</v>
      </c>
      <c r="L1148" s="8" t="s">
        <v>76</v>
      </c>
      <c r="M1148" s="8" t="s">
        <v>91</v>
      </c>
      <c r="N1148">
        <v>2</v>
      </c>
      <c r="O1148">
        <v>2023</v>
      </c>
      <c r="P1148" s="29" t="s">
        <v>717</v>
      </c>
      <c r="Q1148" t="s">
        <v>735</v>
      </c>
      <c r="R1148" t="s">
        <v>737</v>
      </c>
    </row>
    <row r="1149" spans="1:18" x14ac:dyDescent="0.25">
      <c r="A1149" s="9">
        <v>1148</v>
      </c>
      <c r="B1149" s="10">
        <v>45642</v>
      </c>
      <c r="C1149" s="11" t="s">
        <v>108</v>
      </c>
      <c r="D1149" s="11" t="s">
        <v>109</v>
      </c>
      <c r="E1149" s="11" t="s">
        <v>102</v>
      </c>
      <c r="F1149" s="11" t="s">
        <v>197</v>
      </c>
      <c r="G1149" s="9">
        <v>21</v>
      </c>
      <c r="H1149" s="26">
        <v>3500</v>
      </c>
      <c r="I1149" s="9">
        <v>15</v>
      </c>
      <c r="J1149" s="9">
        <f t="shared" si="34"/>
        <v>73500</v>
      </c>
      <c r="K1149" s="9">
        <f t="shared" si="35"/>
        <v>62475</v>
      </c>
      <c r="L1149" s="11" t="s">
        <v>107</v>
      </c>
      <c r="M1149" s="11" t="s">
        <v>91</v>
      </c>
      <c r="N1149">
        <v>12</v>
      </c>
      <c r="O1149">
        <v>2024</v>
      </c>
      <c r="P1149" s="29" t="s">
        <v>728</v>
      </c>
      <c r="Q1149" t="s">
        <v>733</v>
      </c>
      <c r="R1149" t="s">
        <v>739</v>
      </c>
    </row>
    <row r="1150" spans="1:18" x14ac:dyDescent="0.25">
      <c r="A1150" s="6">
        <v>1149</v>
      </c>
      <c r="B1150" s="7">
        <v>45384</v>
      </c>
      <c r="C1150" s="8" t="s">
        <v>97</v>
      </c>
      <c r="D1150" s="8" t="s">
        <v>93</v>
      </c>
      <c r="E1150" s="8" t="s">
        <v>102</v>
      </c>
      <c r="F1150" s="8" t="s">
        <v>181</v>
      </c>
      <c r="G1150" s="6">
        <v>43</v>
      </c>
      <c r="H1150" s="25">
        <v>4700</v>
      </c>
      <c r="I1150" s="6">
        <v>0</v>
      </c>
      <c r="J1150" s="6">
        <f t="shared" si="34"/>
        <v>202100</v>
      </c>
      <c r="K1150" s="6">
        <f t="shared" si="35"/>
        <v>202100</v>
      </c>
      <c r="L1150" s="8" t="s">
        <v>76</v>
      </c>
      <c r="M1150" s="8" t="s">
        <v>96</v>
      </c>
      <c r="N1150">
        <v>4</v>
      </c>
      <c r="O1150">
        <v>2024</v>
      </c>
      <c r="P1150" s="29" t="s">
        <v>722</v>
      </c>
      <c r="Q1150" t="s">
        <v>736</v>
      </c>
      <c r="R1150" t="s">
        <v>737</v>
      </c>
    </row>
    <row r="1151" spans="1:18" x14ac:dyDescent="0.25">
      <c r="A1151" s="9">
        <v>1150</v>
      </c>
      <c r="B1151" s="10">
        <v>45540</v>
      </c>
      <c r="C1151" s="11" t="s">
        <v>106</v>
      </c>
      <c r="D1151" s="11" t="s">
        <v>73</v>
      </c>
      <c r="E1151" s="11" t="s">
        <v>74</v>
      </c>
      <c r="F1151" s="11" t="s">
        <v>190</v>
      </c>
      <c r="G1151" s="9">
        <v>23</v>
      </c>
      <c r="H1151" s="26">
        <v>34500</v>
      </c>
      <c r="I1151" s="9">
        <v>15</v>
      </c>
      <c r="J1151" s="9">
        <f t="shared" si="34"/>
        <v>793500</v>
      </c>
      <c r="K1151" s="9">
        <f t="shared" si="35"/>
        <v>674475</v>
      </c>
      <c r="L1151" s="11" t="s">
        <v>76</v>
      </c>
      <c r="M1151" s="11" t="s">
        <v>81</v>
      </c>
      <c r="N1151">
        <v>9</v>
      </c>
      <c r="O1151">
        <v>2024</v>
      </c>
      <c r="P1151" s="29" t="s">
        <v>731</v>
      </c>
      <c r="Q1151" t="s">
        <v>734</v>
      </c>
      <c r="R1151" t="s">
        <v>737</v>
      </c>
    </row>
    <row r="1152" spans="1:18" x14ac:dyDescent="0.25">
      <c r="A1152" s="6">
        <v>1151</v>
      </c>
      <c r="B1152" s="7">
        <v>45589</v>
      </c>
      <c r="C1152" s="8" t="s">
        <v>106</v>
      </c>
      <c r="D1152" s="30" t="s">
        <v>703</v>
      </c>
      <c r="E1152" s="8" t="s">
        <v>79</v>
      </c>
      <c r="F1152" s="8" t="s">
        <v>172</v>
      </c>
      <c r="G1152" s="6">
        <v>1</v>
      </c>
      <c r="H1152" s="25">
        <v>22900</v>
      </c>
      <c r="I1152" s="6">
        <v>20</v>
      </c>
      <c r="J1152" s="6">
        <f t="shared" si="34"/>
        <v>22900</v>
      </c>
      <c r="K1152" s="6">
        <f t="shared" si="35"/>
        <v>18320</v>
      </c>
      <c r="L1152" s="8" t="s">
        <v>187</v>
      </c>
      <c r="M1152" s="8" t="s">
        <v>91</v>
      </c>
      <c r="N1152">
        <v>10</v>
      </c>
      <c r="O1152">
        <v>2024</v>
      </c>
      <c r="P1152" s="29" t="s">
        <v>709</v>
      </c>
      <c r="Q1152" t="s">
        <v>733</v>
      </c>
      <c r="R1152" t="s">
        <v>738</v>
      </c>
    </row>
    <row r="1153" spans="1:18" x14ac:dyDescent="0.25">
      <c r="A1153" s="9">
        <v>1152</v>
      </c>
      <c r="B1153" s="10">
        <v>45321</v>
      </c>
      <c r="C1153" s="11" t="s">
        <v>106</v>
      </c>
      <c r="D1153" s="11" t="s">
        <v>83</v>
      </c>
      <c r="E1153" s="11" t="s">
        <v>79</v>
      </c>
      <c r="F1153" s="11" t="s">
        <v>120</v>
      </c>
      <c r="G1153" s="9">
        <v>38</v>
      </c>
      <c r="H1153" s="26">
        <v>5700</v>
      </c>
      <c r="I1153" s="9">
        <v>20</v>
      </c>
      <c r="J1153" s="9">
        <f t="shared" si="34"/>
        <v>216600</v>
      </c>
      <c r="K1153" s="9">
        <f t="shared" si="35"/>
        <v>173280</v>
      </c>
      <c r="L1153" s="11" t="s">
        <v>187</v>
      </c>
      <c r="M1153" s="11" t="s">
        <v>96</v>
      </c>
      <c r="N1153">
        <v>1</v>
      </c>
      <c r="O1153">
        <v>2024</v>
      </c>
      <c r="P1153" s="29" t="s">
        <v>727</v>
      </c>
      <c r="Q1153" t="s">
        <v>735</v>
      </c>
      <c r="R1153" t="s">
        <v>739</v>
      </c>
    </row>
    <row r="1154" spans="1:18" x14ac:dyDescent="0.25">
      <c r="A1154" s="6">
        <v>1153</v>
      </c>
      <c r="B1154" s="7">
        <v>45246</v>
      </c>
      <c r="C1154" s="8" t="s">
        <v>119</v>
      </c>
      <c r="D1154" s="8" t="s">
        <v>109</v>
      </c>
      <c r="E1154" s="8" t="s">
        <v>102</v>
      </c>
      <c r="F1154" s="8" t="s">
        <v>137</v>
      </c>
      <c r="G1154" s="6">
        <v>15</v>
      </c>
      <c r="H1154" s="25">
        <v>2500</v>
      </c>
      <c r="I1154" s="6">
        <v>5</v>
      </c>
      <c r="J1154" s="6">
        <f t="shared" ref="J1154:J1217" si="36">G1154*H1154</f>
        <v>37500</v>
      </c>
      <c r="K1154" s="6">
        <f t="shared" ref="K1154:K1217" si="37">J1154*(1-I1154/100)</f>
        <v>35625</v>
      </c>
      <c r="L1154" s="8" t="s">
        <v>107</v>
      </c>
      <c r="M1154" s="8" t="s">
        <v>91</v>
      </c>
      <c r="N1154">
        <v>11</v>
      </c>
      <c r="O1154">
        <v>2023</v>
      </c>
      <c r="P1154" s="29" t="s">
        <v>718</v>
      </c>
      <c r="Q1154" t="s">
        <v>733</v>
      </c>
      <c r="R1154" t="s">
        <v>738</v>
      </c>
    </row>
    <row r="1155" spans="1:18" x14ac:dyDescent="0.25">
      <c r="A1155" s="9">
        <v>1154</v>
      </c>
      <c r="B1155" s="10">
        <v>45562</v>
      </c>
      <c r="C1155" s="11" t="s">
        <v>82</v>
      </c>
      <c r="D1155" s="11" t="s">
        <v>109</v>
      </c>
      <c r="E1155" s="11" t="s">
        <v>111</v>
      </c>
      <c r="F1155" s="11" t="s">
        <v>156</v>
      </c>
      <c r="G1155" s="9">
        <v>28</v>
      </c>
      <c r="H1155" s="26">
        <v>38500</v>
      </c>
      <c r="I1155" s="9">
        <v>20</v>
      </c>
      <c r="J1155" s="9">
        <f t="shared" si="36"/>
        <v>1078000</v>
      </c>
      <c r="K1155" s="9">
        <f t="shared" si="37"/>
        <v>862400</v>
      </c>
      <c r="L1155" s="11" t="s">
        <v>76</v>
      </c>
      <c r="M1155" s="11" t="s">
        <v>96</v>
      </c>
      <c r="N1155">
        <v>9</v>
      </c>
      <c r="O1155">
        <v>2024</v>
      </c>
      <c r="P1155" s="29" t="s">
        <v>731</v>
      </c>
      <c r="Q1155" t="s">
        <v>734</v>
      </c>
      <c r="R1155" t="s">
        <v>737</v>
      </c>
    </row>
    <row r="1156" spans="1:18" x14ac:dyDescent="0.25">
      <c r="A1156" s="6">
        <v>1155</v>
      </c>
      <c r="B1156" s="7">
        <v>45518</v>
      </c>
      <c r="C1156" s="8" t="s">
        <v>97</v>
      </c>
      <c r="D1156" s="8" t="s">
        <v>109</v>
      </c>
      <c r="E1156" s="8" t="s">
        <v>111</v>
      </c>
      <c r="F1156" s="8" t="s">
        <v>112</v>
      </c>
      <c r="G1156" s="6">
        <v>16</v>
      </c>
      <c r="H1156" s="25">
        <v>70600</v>
      </c>
      <c r="I1156" s="6">
        <v>0</v>
      </c>
      <c r="J1156" s="6">
        <f t="shared" si="36"/>
        <v>1129600</v>
      </c>
      <c r="K1156" s="6">
        <f t="shared" si="37"/>
        <v>1129600</v>
      </c>
      <c r="L1156" s="8" t="s">
        <v>76</v>
      </c>
      <c r="M1156" s="8" t="s">
        <v>91</v>
      </c>
      <c r="N1156">
        <v>8</v>
      </c>
      <c r="O1156">
        <v>2024</v>
      </c>
      <c r="P1156" s="29" t="s">
        <v>710</v>
      </c>
      <c r="Q1156" t="s">
        <v>734</v>
      </c>
      <c r="R1156" t="s">
        <v>737</v>
      </c>
    </row>
    <row r="1157" spans="1:18" x14ac:dyDescent="0.25">
      <c r="A1157" s="9">
        <v>1156</v>
      </c>
      <c r="B1157" s="10">
        <v>44936</v>
      </c>
      <c r="C1157" s="11" t="s">
        <v>78</v>
      </c>
      <c r="D1157" s="11" t="s">
        <v>83</v>
      </c>
      <c r="E1157" s="11" t="s">
        <v>102</v>
      </c>
      <c r="F1157" s="11" t="s">
        <v>197</v>
      </c>
      <c r="G1157" s="9">
        <v>8</v>
      </c>
      <c r="H1157" s="26">
        <v>3800</v>
      </c>
      <c r="I1157" s="9">
        <v>0</v>
      </c>
      <c r="J1157" s="9">
        <f t="shared" si="36"/>
        <v>30400</v>
      </c>
      <c r="K1157" s="9">
        <f t="shared" si="37"/>
        <v>30400</v>
      </c>
      <c r="L1157" s="11" t="s">
        <v>107</v>
      </c>
      <c r="M1157" s="11" t="s">
        <v>77</v>
      </c>
      <c r="N1157">
        <v>1</v>
      </c>
      <c r="O1157">
        <v>2023</v>
      </c>
      <c r="P1157" s="29" t="s">
        <v>721</v>
      </c>
      <c r="Q1157" t="s">
        <v>735</v>
      </c>
      <c r="R1157" t="s">
        <v>738</v>
      </c>
    </row>
    <row r="1158" spans="1:18" x14ac:dyDescent="0.25">
      <c r="A1158" s="6">
        <v>1157</v>
      </c>
      <c r="B1158" s="7">
        <v>45368</v>
      </c>
      <c r="C1158" s="8" t="s">
        <v>106</v>
      </c>
      <c r="D1158" s="8" t="s">
        <v>109</v>
      </c>
      <c r="E1158" s="8" t="s">
        <v>111</v>
      </c>
      <c r="F1158" s="8" t="s">
        <v>165</v>
      </c>
      <c r="G1158" s="6">
        <v>4</v>
      </c>
      <c r="H1158" s="25">
        <v>18500</v>
      </c>
      <c r="I1158" s="6">
        <v>0</v>
      </c>
      <c r="J1158" s="6">
        <f t="shared" si="36"/>
        <v>74000</v>
      </c>
      <c r="K1158" s="6">
        <f t="shared" si="37"/>
        <v>74000</v>
      </c>
      <c r="L1158" s="8" t="s">
        <v>76</v>
      </c>
      <c r="M1158" s="8" t="s">
        <v>96</v>
      </c>
      <c r="N1158">
        <v>3</v>
      </c>
      <c r="O1158">
        <v>2024</v>
      </c>
      <c r="P1158" s="29" t="s">
        <v>711</v>
      </c>
      <c r="Q1158" t="s">
        <v>735</v>
      </c>
      <c r="R1158" t="s">
        <v>739</v>
      </c>
    </row>
    <row r="1159" spans="1:18" x14ac:dyDescent="0.25">
      <c r="A1159" s="9">
        <v>1158</v>
      </c>
      <c r="B1159" s="10">
        <v>44977</v>
      </c>
      <c r="C1159" s="11" t="s">
        <v>114</v>
      </c>
      <c r="D1159" s="11" t="s">
        <v>83</v>
      </c>
      <c r="E1159" s="11" t="s">
        <v>84</v>
      </c>
      <c r="F1159" s="11" t="s">
        <v>134</v>
      </c>
      <c r="G1159" s="9">
        <v>12</v>
      </c>
      <c r="H1159" s="26">
        <v>9100</v>
      </c>
      <c r="I1159" s="9">
        <v>10</v>
      </c>
      <c r="J1159" s="9">
        <f t="shared" si="36"/>
        <v>109200</v>
      </c>
      <c r="K1159" s="9">
        <f t="shared" si="37"/>
        <v>98280</v>
      </c>
      <c r="L1159" s="11" t="s">
        <v>76</v>
      </c>
      <c r="M1159" s="11" t="s">
        <v>91</v>
      </c>
      <c r="N1159">
        <v>2</v>
      </c>
      <c r="O1159">
        <v>2023</v>
      </c>
      <c r="P1159" s="29" t="s">
        <v>717</v>
      </c>
      <c r="Q1159" t="s">
        <v>735</v>
      </c>
      <c r="R1159" t="s">
        <v>739</v>
      </c>
    </row>
    <row r="1160" spans="1:18" x14ac:dyDescent="0.25">
      <c r="A1160" s="6">
        <v>1159</v>
      </c>
      <c r="B1160" s="7">
        <v>45370</v>
      </c>
      <c r="C1160" s="8" t="s">
        <v>97</v>
      </c>
      <c r="D1160" s="8" t="s">
        <v>73</v>
      </c>
      <c r="E1160" s="8" t="s">
        <v>84</v>
      </c>
      <c r="F1160" s="8" t="s">
        <v>150</v>
      </c>
      <c r="G1160" s="6">
        <v>4</v>
      </c>
      <c r="H1160" s="25">
        <v>5300</v>
      </c>
      <c r="I1160" s="6">
        <v>0</v>
      </c>
      <c r="J1160" s="6">
        <f t="shared" si="36"/>
        <v>21200</v>
      </c>
      <c r="K1160" s="6">
        <f t="shared" si="37"/>
        <v>21200</v>
      </c>
      <c r="L1160" s="8" t="s">
        <v>107</v>
      </c>
      <c r="M1160" s="8" t="s">
        <v>96</v>
      </c>
      <c r="N1160">
        <v>3</v>
      </c>
      <c r="O1160">
        <v>2024</v>
      </c>
      <c r="P1160" s="29" t="s">
        <v>711</v>
      </c>
      <c r="Q1160" t="s">
        <v>735</v>
      </c>
      <c r="R1160" t="s">
        <v>738</v>
      </c>
    </row>
    <row r="1161" spans="1:18" x14ac:dyDescent="0.25">
      <c r="A1161" s="9">
        <v>1160</v>
      </c>
      <c r="B1161" s="10">
        <v>44994</v>
      </c>
      <c r="C1161" s="11" t="s">
        <v>82</v>
      </c>
      <c r="D1161" s="11" t="s">
        <v>73</v>
      </c>
      <c r="E1161" s="11" t="s">
        <v>74</v>
      </c>
      <c r="F1161" s="11" t="s">
        <v>75</v>
      </c>
      <c r="G1161" s="9">
        <v>45</v>
      </c>
      <c r="H1161" s="26">
        <v>24700</v>
      </c>
      <c r="I1161" s="9">
        <v>5</v>
      </c>
      <c r="J1161" s="9">
        <f t="shared" si="36"/>
        <v>1111500</v>
      </c>
      <c r="K1161" s="9">
        <f t="shared" si="37"/>
        <v>1055925</v>
      </c>
      <c r="L1161" s="11" t="s">
        <v>187</v>
      </c>
      <c r="M1161" s="11" t="s">
        <v>91</v>
      </c>
      <c r="N1161">
        <v>3</v>
      </c>
      <c r="O1161">
        <v>2023</v>
      </c>
      <c r="P1161" s="29" t="s">
        <v>719</v>
      </c>
      <c r="Q1161" t="s">
        <v>735</v>
      </c>
      <c r="R1161" t="s">
        <v>737</v>
      </c>
    </row>
    <row r="1162" spans="1:18" x14ac:dyDescent="0.25">
      <c r="A1162" s="6">
        <v>1161</v>
      </c>
      <c r="B1162" s="7">
        <v>45030</v>
      </c>
      <c r="C1162" s="8" t="s">
        <v>106</v>
      </c>
      <c r="D1162" s="8" t="s">
        <v>117</v>
      </c>
      <c r="E1162" s="8" t="s">
        <v>111</v>
      </c>
      <c r="F1162" s="8" t="s">
        <v>156</v>
      </c>
      <c r="G1162" s="6">
        <v>14</v>
      </c>
      <c r="H1162" s="25">
        <v>39600</v>
      </c>
      <c r="I1162" s="6">
        <v>15</v>
      </c>
      <c r="J1162" s="6">
        <f t="shared" si="36"/>
        <v>554400</v>
      </c>
      <c r="K1162" s="6">
        <f t="shared" si="37"/>
        <v>471240</v>
      </c>
      <c r="L1162" s="8" t="s">
        <v>76</v>
      </c>
      <c r="M1162" s="8" t="s">
        <v>96</v>
      </c>
      <c r="N1162">
        <v>4</v>
      </c>
      <c r="O1162">
        <v>2023</v>
      </c>
      <c r="P1162" s="29" t="s">
        <v>716</v>
      </c>
      <c r="Q1162" t="s">
        <v>736</v>
      </c>
      <c r="R1162" t="s">
        <v>737</v>
      </c>
    </row>
    <row r="1163" spans="1:18" x14ac:dyDescent="0.25">
      <c r="A1163" s="9">
        <v>1162</v>
      </c>
      <c r="B1163" s="10">
        <v>45331</v>
      </c>
      <c r="C1163" s="11" t="s">
        <v>101</v>
      </c>
      <c r="D1163" s="11" t="s">
        <v>73</v>
      </c>
      <c r="E1163" s="11" t="s">
        <v>79</v>
      </c>
      <c r="F1163" s="11" t="s">
        <v>122</v>
      </c>
      <c r="G1163" s="9">
        <v>45</v>
      </c>
      <c r="H1163" s="26">
        <v>18500</v>
      </c>
      <c r="I1163" s="9">
        <v>20</v>
      </c>
      <c r="J1163" s="9">
        <f t="shared" si="36"/>
        <v>832500</v>
      </c>
      <c r="K1163" s="9">
        <f t="shared" si="37"/>
        <v>666000</v>
      </c>
      <c r="L1163" s="11" t="s">
        <v>76</v>
      </c>
      <c r="M1163" s="11" t="s">
        <v>96</v>
      </c>
      <c r="N1163">
        <v>2</v>
      </c>
      <c r="O1163">
        <v>2024</v>
      </c>
      <c r="P1163" s="29" t="s">
        <v>729</v>
      </c>
      <c r="Q1163" t="s">
        <v>735</v>
      </c>
      <c r="R1163" t="s">
        <v>737</v>
      </c>
    </row>
    <row r="1164" spans="1:18" x14ac:dyDescent="0.25">
      <c r="A1164" s="6">
        <v>1163</v>
      </c>
      <c r="B1164" s="7">
        <v>45424</v>
      </c>
      <c r="C1164" s="8" t="s">
        <v>106</v>
      </c>
      <c r="D1164" s="8" t="s">
        <v>109</v>
      </c>
      <c r="E1164" s="8" t="s">
        <v>74</v>
      </c>
      <c r="F1164" s="8" t="s">
        <v>118</v>
      </c>
      <c r="G1164" s="6">
        <v>22</v>
      </c>
      <c r="H1164" s="25">
        <v>26400</v>
      </c>
      <c r="I1164" s="6">
        <v>0</v>
      </c>
      <c r="J1164" s="6">
        <f t="shared" si="36"/>
        <v>580800</v>
      </c>
      <c r="K1164" s="6">
        <f t="shared" si="37"/>
        <v>580800</v>
      </c>
      <c r="L1164" s="8" t="s">
        <v>107</v>
      </c>
      <c r="M1164" s="8" t="s">
        <v>81</v>
      </c>
      <c r="N1164">
        <v>5</v>
      </c>
      <c r="O1164">
        <v>2024</v>
      </c>
      <c r="P1164" s="29" t="s">
        <v>732</v>
      </c>
      <c r="Q1164" t="s">
        <v>736</v>
      </c>
      <c r="R1164" t="s">
        <v>737</v>
      </c>
    </row>
    <row r="1165" spans="1:18" x14ac:dyDescent="0.25">
      <c r="A1165" s="9">
        <v>1164</v>
      </c>
      <c r="B1165" s="10">
        <v>45609</v>
      </c>
      <c r="C1165" s="11" t="s">
        <v>119</v>
      </c>
      <c r="D1165" s="11" t="s">
        <v>83</v>
      </c>
      <c r="E1165" s="11" t="s">
        <v>74</v>
      </c>
      <c r="F1165" s="11" t="s">
        <v>94</v>
      </c>
      <c r="G1165" s="9">
        <v>17</v>
      </c>
      <c r="H1165" s="26">
        <v>33100</v>
      </c>
      <c r="I1165" s="9">
        <v>15</v>
      </c>
      <c r="J1165" s="9">
        <f t="shared" si="36"/>
        <v>562700</v>
      </c>
      <c r="K1165" s="9">
        <f t="shared" si="37"/>
        <v>478295</v>
      </c>
      <c r="L1165" s="11" t="s">
        <v>107</v>
      </c>
      <c r="M1165" s="11" t="s">
        <v>81</v>
      </c>
      <c r="N1165">
        <v>11</v>
      </c>
      <c r="O1165">
        <v>2024</v>
      </c>
      <c r="P1165" s="29" t="s">
        <v>714</v>
      </c>
      <c r="Q1165" t="s">
        <v>733</v>
      </c>
      <c r="R1165" t="s">
        <v>737</v>
      </c>
    </row>
    <row r="1166" spans="1:18" x14ac:dyDescent="0.25">
      <c r="A1166" s="6">
        <v>1165</v>
      </c>
      <c r="B1166" s="7">
        <v>45200</v>
      </c>
      <c r="C1166" s="8" t="s">
        <v>124</v>
      </c>
      <c r="D1166" s="8" t="s">
        <v>117</v>
      </c>
      <c r="E1166" s="8" t="s">
        <v>111</v>
      </c>
      <c r="F1166" s="8" t="s">
        <v>192</v>
      </c>
      <c r="G1166" s="6">
        <v>16</v>
      </c>
      <c r="H1166" s="25">
        <v>97100</v>
      </c>
      <c r="I1166" s="6">
        <v>20</v>
      </c>
      <c r="J1166" s="6">
        <f t="shared" si="36"/>
        <v>1553600</v>
      </c>
      <c r="K1166" s="6">
        <f t="shared" si="37"/>
        <v>1242880</v>
      </c>
      <c r="L1166" s="8" t="s">
        <v>76</v>
      </c>
      <c r="M1166" s="8" t="s">
        <v>77</v>
      </c>
      <c r="N1166">
        <v>10</v>
      </c>
      <c r="O1166">
        <v>2023</v>
      </c>
      <c r="P1166" s="29" t="s">
        <v>726</v>
      </c>
      <c r="Q1166" t="s">
        <v>733</v>
      </c>
      <c r="R1166" t="s">
        <v>737</v>
      </c>
    </row>
    <row r="1167" spans="1:18" x14ac:dyDescent="0.25">
      <c r="A1167" s="9">
        <v>1166</v>
      </c>
      <c r="B1167" s="10">
        <v>44944</v>
      </c>
      <c r="C1167" s="11" t="s">
        <v>124</v>
      </c>
      <c r="D1167" s="11" t="s">
        <v>117</v>
      </c>
      <c r="E1167" s="11" t="s">
        <v>84</v>
      </c>
      <c r="F1167" s="11" t="s">
        <v>128</v>
      </c>
      <c r="G1167" s="9">
        <v>50</v>
      </c>
      <c r="H1167" s="26">
        <v>4600</v>
      </c>
      <c r="I1167" s="9">
        <v>20</v>
      </c>
      <c r="J1167" s="9">
        <f t="shared" si="36"/>
        <v>230000</v>
      </c>
      <c r="K1167" s="9">
        <f t="shared" si="37"/>
        <v>184000</v>
      </c>
      <c r="L1167" s="11" t="s">
        <v>76</v>
      </c>
      <c r="M1167" s="11" t="s">
        <v>96</v>
      </c>
      <c r="N1167">
        <v>1</v>
      </c>
      <c r="O1167">
        <v>2023</v>
      </c>
      <c r="P1167" s="29" t="s">
        <v>721</v>
      </c>
      <c r="Q1167" t="s">
        <v>735</v>
      </c>
      <c r="R1167" t="s">
        <v>739</v>
      </c>
    </row>
    <row r="1168" spans="1:18" x14ac:dyDescent="0.25">
      <c r="A1168" s="6">
        <v>1167</v>
      </c>
      <c r="B1168" s="7">
        <v>45211</v>
      </c>
      <c r="C1168" s="8" t="s">
        <v>119</v>
      </c>
      <c r="D1168" s="8" t="s">
        <v>83</v>
      </c>
      <c r="E1168" s="8" t="s">
        <v>74</v>
      </c>
      <c r="F1168" s="8" t="s">
        <v>190</v>
      </c>
      <c r="G1168" s="6">
        <v>17</v>
      </c>
      <c r="H1168" s="25">
        <v>34100</v>
      </c>
      <c r="I1168" s="6">
        <v>20</v>
      </c>
      <c r="J1168" s="6">
        <f t="shared" si="36"/>
        <v>579700</v>
      </c>
      <c r="K1168" s="6">
        <f t="shared" si="37"/>
        <v>463760</v>
      </c>
      <c r="L1168" s="8" t="s">
        <v>76</v>
      </c>
      <c r="M1168" s="8" t="s">
        <v>77</v>
      </c>
      <c r="N1168">
        <v>10</v>
      </c>
      <c r="O1168">
        <v>2023</v>
      </c>
      <c r="P1168" s="29" t="s">
        <v>726</v>
      </c>
      <c r="Q1168" t="s">
        <v>733</v>
      </c>
      <c r="R1168" t="s">
        <v>737</v>
      </c>
    </row>
    <row r="1169" spans="1:18" x14ac:dyDescent="0.25">
      <c r="A1169" s="9">
        <v>1168</v>
      </c>
      <c r="B1169" s="10">
        <v>45288</v>
      </c>
      <c r="C1169" s="11" t="s">
        <v>101</v>
      </c>
      <c r="D1169" s="11" t="s">
        <v>117</v>
      </c>
      <c r="E1169" s="11" t="s">
        <v>102</v>
      </c>
      <c r="F1169" s="11" t="s">
        <v>197</v>
      </c>
      <c r="G1169" s="9">
        <v>44</v>
      </c>
      <c r="H1169" s="26">
        <v>3500</v>
      </c>
      <c r="I1169" s="9">
        <v>0</v>
      </c>
      <c r="J1169" s="9">
        <f t="shared" si="36"/>
        <v>154000</v>
      </c>
      <c r="K1169" s="9">
        <f t="shared" si="37"/>
        <v>154000</v>
      </c>
      <c r="L1169" s="11" t="s">
        <v>76</v>
      </c>
      <c r="M1169" s="11" t="s">
        <v>77</v>
      </c>
      <c r="N1169">
        <v>12</v>
      </c>
      <c r="O1169">
        <v>2023</v>
      </c>
      <c r="P1169" s="29" t="s">
        <v>725</v>
      </c>
      <c r="Q1169" t="s">
        <v>733</v>
      </c>
      <c r="R1169" t="s">
        <v>739</v>
      </c>
    </row>
    <row r="1170" spans="1:18" x14ac:dyDescent="0.25">
      <c r="A1170" s="6">
        <v>1169</v>
      </c>
      <c r="B1170" s="7">
        <v>45347</v>
      </c>
      <c r="C1170" s="8" t="s">
        <v>106</v>
      </c>
      <c r="D1170" s="8" t="s">
        <v>109</v>
      </c>
      <c r="E1170" s="8" t="s">
        <v>74</v>
      </c>
      <c r="F1170" s="8" t="s">
        <v>99</v>
      </c>
      <c r="G1170" s="6">
        <v>37</v>
      </c>
      <c r="H1170" s="25">
        <v>3200</v>
      </c>
      <c r="I1170" s="6">
        <v>0</v>
      </c>
      <c r="J1170" s="6">
        <f t="shared" si="36"/>
        <v>118400</v>
      </c>
      <c r="K1170" s="6">
        <f t="shared" si="37"/>
        <v>118400</v>
      </c>
      <c r="L1170" s="8" t="s">
        <v>187</v>
      </c>
      <c r="M1170" s="8" t="s">
        <v>91</v>
      </c>
      <c r="N1170">
        <v>2</v>
      </c>
      <c r="O1170">
        <v>2024</v>
      </c>
      <c r="P1170" s="29" t="s">
        <v>729</v>
      </c>
      <c r="Q1170" t="s">
        <v>735</v>
      </c>
      <c r="R1170" t="s">
        <v>739</v>
      </c>
    </row>
    <row r="1171" spans="1:18" x14ac:dyDescent="0.25">
      <c r="A1171" s="9">
        <v>1170</v>
      </c>
      <c r="B1171" s="10">
        <v>45138</v>
      </c>
      <c r="C1171" s="11" t="s">
        <v>97</v>
      </c>
      <c r="D1171" s="11" t="s">
        <v>109</v>
      </c>
      <c r="E1171" s="11" t="s">
        <v>111</v>
      </c>
      <c r="F1171" s="11" t="s">
        <v>112</v>
      </c>
      <c r="G1171" s="9">
        <v>41</v>
      </c>
      <c r="H1171" s="26">
        <v>74200</v>
      </c>
      <c r="I1171" s="9">
        <v>10</v>
      </c>
      <c r="J1171" s="9">
        <f t="shared" si="36"/>
        <v>3042200</v>
      </c>
      <c r="K1171" s="9">
        <f t="shared" si="37"/>
        <v>2737980</v>
      </c>
      <c r="L1171" s="11" t="s">
        <v>187</v>
      </c>
      <c r="M1171" s="11" t="s">
        <v>91</v>
      </c>
      <c r="N1171">
        <v>7</v>
      </c>
      <c r="O1171">
        <v>2023</v>
      </c>
      <c r="P1171" s="29" t="s">
        <v>724</v>
      </c>
      <c r="Q1171" t="s">
        <v>734</v>
      </c>
      <c r="R1171" t="s">
        <v>737</v>
      </c>
    </row>
    <row r="1172" spans="1:18" x14ac:dyDescent="0.25">
      <c r="A1172" s="6">
        <v>1171</v>
      </c>
      <c r="B1172" s="7">
        <v>45106</v>
      </c>
      <c r="C1172" s="8" t="s">
        <v>101</v>
      </c>
      <c r="D1172" s="8" t="s">
        <v>117</v>
      </c>
      <c r="E1172" s="8" t="s">
        <v>74</v>
      </c>
      <c r="F1172" s="8" t="s">
        <v>140</v>
      </c>
      <c r="G1172" s="6">
        <v>18</v>
      </c>
      <c r="H1172" s="25">
        <v>4700</v>
      </c>
      <c r="I1172" s="6">
        <v>10</v>
      </c>
      <c r="J1172" s="6">
        <f t="shared" si="36"/>
        <v>84600</v>
      </c>
      <c r="K1172" s="6">
        <f t="shared" si="37"/>
        <v>76140</v>
      </c>
      <c r="L1172" s="8" t="s">
        <v>76</v>
      </c>
      <c r="M1172" s="8" t="s">
        <v>77</v>
      </c>
      <c r="N1172">
        <v>6</v>
      </c>
      <c r="O1172">
        <v>2023</v>
      </c>
      <c r="P1172" s="29" t="s">
        <v>723</v>
      </c>
      <c r="Q1172" t="s">
        <v>736</v>
      </c>
      <c r="R1172" t="s">
        <v>739</v>
      </c>
    </row>
    <row r="1173" spans="1:18" x14ac:dyDescent="0.25">
      <c r="A1173" s="9">
        <v>1172</v>
      </c>
      <c r="B1173" s="10">
        <v>45459</v>
      </c>
      <c r="C1173" s="11" t="s">
        <v>88</v>
      </c>
      <c r="D1173" s="11" t="s">
        <v>93</v>
      </c>
      <c r="E1173" s="11" t="s">
        <v>79</v>
      </c>
      <c r="F1173" s="11" t="s">
        <v>115</v>
      </c>
      <c r="G1173" s="9">
        <v>37</v>
      </c>
      <c r="H1173" s="26">
        <v>9900</v>
      </c>
      <c r="I1173" s="9">
        <v>0</v>
      </c>
      <c r="J1173" s="9">
        <f t="shared" si="36"/>
        <v>366300</v>
      </c>
      <c r="K1173" s="9">
        <f t="shared" si="37"/>
        <v>366300</v>
      </c>
      <c r="L1173" s="11" t="s">
        <v>123</v>
      </c>
      <c r="M1173" s="11" t="s">
        <v>96</v>
      </c>
      <c r="N1173">
        <v>6</v>
      </c>
      <c r="O1173">
        <v>2024</v>
      </c>
      <c r="P1173" s="29" t="s">
        <v>720</v>
      </c>
      <c r="Q1173" t="s">
        <v>736</v>
      </c>
      <c r="R1173" t="s">
        <v>737</v>
      </c>
    </row>
    <row r="1174" spans="1:18" x14ac:dyDescent="0.25">
      <c r="A1174" s="6">
        <v>1173</v>
      </c>
      <c r="B1174" s="7">
        <v>45039</v>
      </c>
      <c r="C1174" s="8" t="s">
        <v>78</v>
      </c>
      <c r="D1174" s="8" t="s">
        <v>83</v>
      </c>
      <c r="E1174" s="8" t="s">
        <v>84</v>
      </c>
      <c r="F1174" s="8" t="s">
        <v>85</v>
      </c>
      <c r="G1174" s="6">
        <v>34</v>
      </c>
      <c r="H1174" s="25">
        <v>5800</v>
      </c>
      <c r="I1174" s="6">
        <v>0</v>
      </c>
      <c r="J1174" s="6">
        <f t="shared" si="36"/>
        <v>197200</v>
      </c>
      <c r="K1174" s="6">
        <f t="shared" si="37"/>
        <v>197200</v>
      </c>
      <c r="L1174" s="8" t="s">
        <v>123</v>
      </c>
      <c r="M1174" s="8" t="s">
        <v>81</v>
      </c>
      <c r="N1174">
        <v>4</v>
      </c>
      <c r="O1174">
        <v>2023</v>
      </c>
      <c r="P1174" s="29" t="s">
        <v>716</v>
      </c>
      <c r="Q1174" t="s">
        <v>736</v>
      </c>
      <c r="R1174" t="s">
        <v>739</v>
      </c>
    </row>
    <row r="1175" spans="1:18" x14ac:dyDescent="0.25">
      <c r="A1175" s="9">
        <v>1174</v>
      </c>
      <c r="B1175" s="10">
        <v>45425</v>
      </c>
      <c r="C1175" s="11" t="s">
        <v>101</v>
      </c>
      <c r="D1175" s="11" t="s">
        <v>73</v>
      </c>
      <c r="E1175" s="11" t="s">
        <v>74</v>
      </c>
      <c r="F1175" s="11" t="s">
        <v>94</v>
      </c>
      <c r="G1175" s="9">
        <v>14</v>
      </c>
      <c r="H1175" s="26">
        <v>35500</v>
      </c>
      <c r="I1175" s="9">
        <v>0</v>
      </c>
      <c r="J1175" s="9">
        <f t="shared" si="36"/>
        <v>497000</v>
      </c>
      <c r="K1175" s="9">
        <f t="shared" si="37"/>
        <v>497000</v>
      </c>
      <c r="L1175" s="11" t="s">
        <v>76</v>
      </c>
      <c r="M1175" s="11" t="s">
        <v>77</v>
      </c>
      <c r="N1175">
        <v>5</v>
      </c>
      <c r="O1175">
        <v>2024</v>
      </c>
      <c r="P1175" s="29" t="s">
        <v>732</v>
      </c>
      <c r="Q1175" t="s">
        <v>736</v>
      </c>
      <c r="R1175" t="s">
        <v>737</v>
      </c>
    </row>
    <row r="1176" spans="1:18" x14ac:dyDescent="0.25">
      <c r="A1176" s="6">
        <v>1175</v>
      </c>
      <c r="B1176" s="7">
        <v>45427</v>
      </c>
      <c r="C1176" s="8" t="s">
        <v>101</v>
      </c>
      <c r="D1176" s="8" t="s">
        <v>73</v>
      </c>
      <c r="E1176" s="8" t="s">
        <v>111</v>
      </c>
      <c r="F1176" s="8" t="s">
        <v>132</v>
      </c>
      <c r="G1176" s="6">
        <v>1</v>
      </c>
      <c r="H1176" s="25">
        <v>8000</v>
      </c>
      <c r="I1176" s="6">
        <v>0</v>
      </c>
      <c r="J1176" s="6">
        <f t="shared" si="36"/>
        <v>8000</v>
      </c>
      <c r="K1176" s="6">
        <f t="shared" si="37"/>
        <v>8000</v>
      </c>
      <c r="L1176" s="8" t="s">
        <v>76</v>
      </c>
      <c r="M1176" s="8" t="s">
        <v>81</v>
      </c>
      <c r="N1176">
        <v>5</v>
      </c>
      <c r="O1176">
        <v>2024</v>
      </c>
      <c r="P1176" s="29" t="s">
        <v>732</v>
      </c>
      <c r="Q1176" t="s">
        <v>736</v>
      </c>
      <c r="R1176" t="s">
        <v>738</v>
      </c>
    </row>
    <row r="1177" spans="1:18" x14ac:dyDescent="0.25">
      <c r="A1177" s="9">
        <v>1176</v>
      </c>
      <c r="B1177" s="10">
        <v>45217</v>
      </c>
      <c r="C1177" s="11" t="s">
        <v>82</v>
      </c>
      <c r="D1177" s="11" t="s">
        <v>93</v>
      </c>
      <c r="E1177" s="11" t="s">
        <v>84</v>
      </c>
      <c r="F1177" s="11" t="s">
        <v>150</v>
      </c>
      <c r="G1177" s="9">
        <v>10</v>
      </c>
      <c r="H1177" s="26">
        <v>5900</v>
      </c>
      <c r="I1177" s="9">
        <v>5</v>
      </c>
      <c r="J1177" s="9">
        <f t="shared" si="36"/>
        <v>59000</v>
      </c>
      <c r="K1177" s="9">
        <f t="shared" si="37"/>
        <v>56050</v>
      </c>
      <c r="L1177" s="11" t="s">
        <v>123</v>
      </c>
      <c r="M1177" s="11" t="s">
        <v>81</v>
      </c>
      <c r="N1177">
        <v>10</v>
      </c>
      <c r="O1177">
        <v>2023</v>
      </c>
      <c r="P1177" s="29" t="s">
        <v>726</v>
      </c>
      <c r="Q1177" t="s">
        <v>733</v>
      </c>
      <c r="R1177" t="s">
        <v>739</v>
      </c>
    </row>
    <row r="1178" spans="1:18" x14ac:dyDescent="0.25">
      <c r="A1178" s="6">
        <v>1177</v>
      </c>
      <c r="B1178" s="7">
        <v>45526</v>
      </c>
      <c r="C1178" s="8" t="s">
        <v>97</v>
      </c>
      <c r="D1178" s="8" t="s">
        <v>117</v>
      </c>
      <c r="E1178" s="8" t="s">
        <v>84</v>
      </c>
      <c r="F1178" s="8" t="s">
        <v>206</v>
      </c>
      <c r="G1178" s="6">
        <v>23</v>
      </c>
      <c r="H1178" s="25">
        <v>14300</v>
      </c>
      <c r="I1178" s="6">
        <v>5</v>
      </c>
      <c r="J1178" s="6">
        <f t="shared" si="36"/>
        <v>328900</v>
      </c>
      <c r="K1178" s="6">
        <f t="shared" si="37"/>
        <v>312455</v>
      </c>
      <c r="L1178" s="8" t="s">
        <v>76</v>
      </c>
      <c r="M1178" s="8" t="s">
        <v>91</v>
      </c>
      <c r="N1178">
        <v>8</v>
      </c>
      <c r="O1178">
        <v>2024</v>
      </c>
      <c r="P1178" s="29" t="s">
        <v>710</v>
      </c>
      <c r="Q1178" t="s">
        <v>734</v>
      </c>
      <c r="R1178" t="s">
        <v>737</v>
      </c>
    </row>
    <row r="1179" spans="1:18" x14ac:dyDescent="0.25">
      <c r="A1179" s="6">
        <v>1178</v>
      </c>
      <c r="B1179" s="7">
        <v>45335</v>
      </c>
      <c r="C1179" s="8" t="s">
        <v>97</v>
      </c>
      <c r="D1179" s="8" t="s">
        <v>117</v>
      </c>
      <c r="E1179" s="8" t="s">
        <v>74</v>
      </c>
      <c r="F1179" s="8" t="s">
        <v>190</v>
      </c>
      <c r="G1179" s="6">
        <v>28</v>
      </c>
      <c r="H1179" s="25">
        <v>30200</v>
      </c>
      <c r="I1179" s="6">
        <v>20</v>
      </c>
      <c r="J1179" s="6">
        <f t="shared" si="36"/>
        <v>845600</v>
      </c>
      <c r="K1179" s="6">
        <f t="shared" si="37"/>
        <v>676480</v>
      </c>
      <c r="L1179" s="8" t="s">
        <v>187</v>
      </c>
      <c r="M1179" s="8" t="s">
        <v>96</v>
      </c>
      <c r="N1179">
        <v>2</v>
      </c>
      <c r="O1179">
        <v>2024</v>
      </c>
      <c r="P1179" s="29" t="s">
        <v>729</v>
      </c>
      <c r="Q1179" t="s">
        <v>735</v>
      </c>
      <c r="R1179" t="s">
        <v>737</v>
      </c>
    </row>
    <row r="1180" spans="1:18" x14ac:dyDescent="0.25">
      <c r="A1180" s="9">
        <v>1179</v>
      </c>
      <c r="B1180" s="10">
        <v>45519</v>
      </c>
      <c r="C1180" s="11" t="s">
        <v>108</v>
      </c>
      <c r="D1180" s="11" t="s">
        <v>109</v>
      </c>
      <c r="E1180" s="11" t="s">
        <v>74</v>
      </c>
      <c r="F1180" s="11" t="s">
        <v>142</v>
      </c>
      <c r="G1180" s="9">
        <v>13</v>
      </c>
      <c r="H1180" s="26">
        <v>12000</v>
      </c>
      <c r="I1180" s="9">
        <v>0</v>
      </c>
      <c r="J1180" s="9">
        <f t="shared" si="36"/>
        <v>156000</v>
      </c>
      <c r="K1180" s="9">
        <f t="shared" si="37"/>
        <v>156000</v>
      </c>
      <c r="L1180" s="11" t="s">
        <v>76</v>
      </c>
      <c r="M1180" s="11" t="s">
        <v>77</v>
      </c>
      <c r="N1180">
        <v>8</v>
      </c>
      <c r="O1180">
        <v>2024</v>
      </c>
      <c r="P1180" s="29" t="s">
        <v>710</v>
      </c>
      <c r="Q1180" t="s">
        <v>734</v>
      </c>
      <c r="R1180" t="s">
        <v>739</v>
      </c>
    </row>
    <row r="1181" spans="1:18" x14ac:dyDescent="0.25">
      <c r="A1181" s="6">
        <v>1180</v>
      </c>
      <c r="B1181" s="7">
        <v>45507</v>
      </c>
      <c r="C1181" s="8" t="s">
        <v>119</v>
      </c>
      <c r="D1181" s="8" t="s">
        <v>93</v>
      </c>
      <c r="E1181" s="8" t="s">
        <v>84</v>
      </c>
      <c r="F1181" s="8" t="s">
        <v>148</v>
      </c>
      <c r="G1181" s="6">
        <v>28</v>
      </c>
      <c r="H1181" s="25">
        <v>5300</v>
      </c>
      <c r="I1181" s="6">
        <v>15</v>
      </c>
      <c r="J1181" s="6">
        <f t="shared" si="36"/>
        <v>148400</v>
      </c>
      <c r="K1181" s="6">
        <f t="shared" si="37"/>
        <v>126140</v>
      </c>
      <c r="L1181" s="8" t="s">
        <v>76</v>
      </c>
      <c r="M1181" s="8" t="s">
        <v>91</v>
      </c>
      <c r="N1181">
        <v>8</v>
      </c>
      <c r="O1181">
        <v>2024</v>
      </c>
      <c r="P1181" s="29" t="s">
        <v>710</v>
      </c>
      <c r="Q1181" t="s">
        <v>734</v>
      </c>
      <c r="R1181" t="s">
        <v>739</v>
      </c>
    </row>
    <row r="1182" spans="1:18" x14ac:dyDescent="0.25">
      <c r="A1182" s="9">
        <v>1181</v>
      </c>
      <c r="B1182" s="10">
        <v>45247</v>
      </c>
      <c r="C1182" s="11" t="s">
        <v>82</v>
      </c>
      <c r="D1182" s="11" t="s">
        <v>117</v>
      </c>
      <c r="E1182" s="11" t="s">
        <v>111</v>
      </c>
      <c r="F1182" s="11" t="s">
        <v>132</v>
      </c>
      <c r="G1182" s="9">
        <v>27</v>
      </c>
      <c r="H1182" s="26">
        <v>7600</v>
      </c>
      <c r="I1182" s="6">
        <v>0</v>
      </c>
      <c r="J1182" s="9">
        <f t="shared" si="36"/>
        <v>205200</v>
      </c>
      <c r="K1182" s="9">
        <f t="shared" si="37"/>
        <v>205200</v>
      </c>
      <c r="L1182" s="11" t="s">
        <v>123</v>
      </c>
      <c r="M1182" s="11" t="s">
        <v>91</v>
      </c>
      <c r="N1182">
        <v>11</v>
      </c>
      <c r="O1182">
        <v>2023</v>
      </c>
      <c r="P1182" s="29" t="s">
        <v>718</v>
      </c>
      <c r="Q1182" t="s">
        <v>733</v>
      </c>
      <c r="R1182" t="s">
        <v>737</v>
      </c>
    </row>
    <row r="1183" spans="1:18" x14ac:dyDescent="0.25">
      <c r="A1183" s="6">
        <v>1182</v>
      </c>
      <c r="B1183" s="7">
        <v>45499</v>
      </c>
      <c r="C1183" s="8" t="s">
        <v>78</v>
      </c>
      <c r="D1183" s="8" t="s">
        <v>83</v>
      </c>
      <c r="E1183" s="8" t="s">
        <v>79</v>
      </c>
      <c r="F1183" s="8" t="s">
        <v>122</v>
      </c>
      <c r="G1183" s="6">
        <v>20</v>
      </c>
      <c r="H1183" s="25">
        <v>19000</v>
      </c>
      <c r="I1183" s="6">
        <v>0</v>
      </c>
      <c r="J1183" s="6">
        <f t="shared" si="36"/>
        <v>380000</v>
      </c>
      <c r="K1183" s="6">
        <f t="shared" si="37"/>
        <v>380000</v>
      </c>
      <c r="L1183" s="8" t="s">
        <v>187</v>
      </c>
      <c r="M1183" s="8" t="s">
        <v>96</v>
      </c>
      <c r="N1183">
        <v>7</v>
      </c>
      <c r="O1183">
        <v>2024</v>
      </c>
      <c r="P1183" s="29" t="s">
        <v>712</v>
      </c>
      <c r="Q1183" t="s">
        <v>734</v>
      </c>
      <c r="R1183" t="s">
        <v>737</v>
      </c>
    </row>
    <row r="1184" spans="1:18" x14ac:dyDescent="0.25">
      <c r="A1184" s="9">
        <v>1183</v>
      </c>
      <c r="B1184" s="10">
        <v>45562</v>
      </c>
      <c r="C1184" s="11" t="s">
        <v>82</v>
      </c>
      <c r="D1184" s="11" t="s">
        <v>93</v>
      </c>
      <c r="E1184" s="11" t="s">
        <v>74</v>
      </c>
      <c r="F1184" s="11" t="s">
        <v>94</v>
      </c>
      <c r="G1184" s="9">
        <v>26</v>
      </c>
      <c r="H1184" s="26">
        <v>38100</v>
      </c>
      <c r="I1184" s="9">
        <v>5</v>
      </c>
      <c r="J1184" s="9">
        <f t="shared" si="36"/>
        <v>990600</v>
      </c>
      <c r="K1184" s="9">
        <f t="shared" si="37"/>
        <v>941070</v>
      </c>
      <c r="L1184" s="11" t="s">
        <v>76</v>
      </c>
      <c r="M1184" s="11" t="s">
        <v>77</v>
      </c>
      <c r="N1184">
        <v>9</v>
      </c>
      <c r="O1184">
        <v>2024</v>
      </c>
      <c r="P1184" s="29" t="s">
        <v>731</v>
      </c>
      <c r="Q1184" t="s">
        <v>734</v>
      </c>
      <c r="R1184" t="s">
        <v>737</v>
      </c>
    </row>
    <row r="1185" spans="1:18" x14ac:dyDescent="0.25">
      <c r="A1185" s="6">
        <v>1184</v>
      </c>
      <c r="B1185" s="7">
        <v>45457</v>
      </c>
      <c r="C1185" s="8" t="s">
        <v>119</v>
      </c>
      <c r="D1185" s="8" t="s">
        <v>73</v>
      </c>
      <c r="E1185" s="8" t="s">
        <v>79</v>
      </c>
      <c r="F1185" s="8" t="s">
        <v>136</v>
      </c>
      <c r="G1185" s="6">
        <v>42</v>
      </c>
      <c r="H1185" s="25">
        <v>82200</v>
      </c>
      <c r="I1185" s="6">
        <v>20</v>
      </c>
      <c r="J1185" s="6">
        <f t="shared" si="36"/>
        <v>3452400</v>
      </c>
      <c r="K1185" s="6">
        <f t="shared" si="37"/>
        <v>2761920</v>
      </c>
      <c r="L1185" s="8" t="s">
        <v>76</v>
      </c>
      <c r="M1185" s="8" t="s">
        <v>77</v>
      </c>
      <c r="N1185">
        <v>6</v>
      </c>
      <c r="O1185">
        <v>2024</v>
      </c>
      <c r="P1185" s="29" t="s">
        <v>720</v>
      </c>
      <c r="Q1185" t="s">
        <v>736</v>
      </c>
      <c r="R1185" t="s">
        <v>737</v>
      </c>
    </row>
    <row r="1186" spans="1:18" x14ac:dyDescent="0.25">
      <c r="A1186" s="9">
        <v>1185</v>
      </c>
      <c r="B1186" s="10">
        <v>45224</v>
      </c>
      <c r="C1186" s="11" t="s">
        <v>124</v>
      </c>
      <c r="D1186" s="11" t="s">
        <v>83</v>
      </c>
      <c r="E1186" s="11" t="s">
        <v>74</v>
      </c>
      <c r="F1186" s="11" t="s">
        <v>94</v>
      </c>
      <c r="G1186" s="9">
        <v>38</v>
      </c>
      <c r="H1186" s="26">
        <v>32600</v>
      </c>
      <c r="I1186" s="9">
        <v>15</v>
      </c>
      <c r="J1186" s="9">
        <f t="shared" si="36"/>
        <v>1238800</v>
      </c>
      <c r="K1186" s="9">
        <f t="shared" si="37"/>
        <v>1052980</v>
      </c>
      <c r="L1186" s="11" t="s">
        <v>187</v>
      </c>
      <c r="M1186" s="11" t="s">
        <v>77</v>
      </c>
      <c r="N1186">
        <v>10</v>
      </c>
      <c r="O1186">
        <v>2023</v>
      </c>
      <c r="P1186" s="29" t="s">
        <v>726</v>
      </c>
      <c r="Q1186" t="s">
        <v>733</v>
      </c>
      <c r="R1186" t="s">
        <v>737</v>
      </c>
    </row>
    <row r="1187" spans="1:18" x14ac:dyDescent="0.25">
      <c r="A1187" s="6">
        <v>1186</v>
      </c>
      <c r="B1187" s="7">
        <v>45136</v>
      </c>
      <c r="C1187" s="8" t="s">
        <v>82</v>
      </c>
      <c r="D1187" s="8" t="s">
        <v>109</v>
      </c>
      <c r="E1187" s="8" t="s">
        <v>102</v>
      </c>
      <c r="F1187" s="8" t="s">
        <v>197</v>
      </c>
      <c r="G1187" s="6">
        <v>44</v>
      </c>
      <c r="H1187" s="25">
        <v>3500</v>
      </c>
      <c r="I1187" s="6">
        <v>0</v>
      </c>
      <c r="J1187" s="6">
        <f t="shared" si="36"/>
        <v>154000</v>
      </c>
      <c r="K1187" s="6">
        <f t="shared" si="37"/>
        <v>154000</v>
      </c>
      <c r="L1187" s="8" t="s">
        <v>76</v>
      </c>
      <c r="M1187" s="8" t="s">
        <v>81</v>
      </c>
      <c r="N1187">
        <v>7</v>
      </c>
      <c r="O1187">
        <v>2023</v>
      </c>
      <c r="P1187" s="29" t="s">
        <v>724</v>
      </c>
      <c r="Q1187" t="s">
        <v>734</v>
      </c>
      <c r="R1187" t="s">
        <v>739</v>
      </c>
    </row>
    <row r="1188" spans="1:18" x14ac:dyDescent="0.25">
      <c r="A1188" s="9">
        <v>1187</v>
      </c>
      <c r="B1188" s="10">
        <v>45422</v>
      </c>
      <c r="C1188" s="11" t="s">
        <v>101</v>
      </c>
      <c r="D1188" s="11" t="s">
        <v>73</v>
      </c>
      <c r="E1188" s="11" t="s">
        <v>111</v>
      </c>
      <c r="F1188" s="11" t="s">
        <v>156</v>
      </c>
      <c r="G1188" s="9">
        <v>1</v>
      </c>
      <c r="H1188" s="26">
        <v>39000</v>
      </c>
      <c r="I1188" s="9">
        <v>10</v>
      </c>
      <c r="J1188" s="9">
        <f t="shared" si="36"/>
        <v>39000</v>
      </c>
      <c r="K1188" s="9">
        <f t="shared" si="37"/>
        <v>35100</v>
      </c>
      <c r="L1188" s="11" t="s">
        <v>76</v>
      </c>
      <c r="M1188" s="11" t="s">
        <v>77</v>
      </c>
      <c r="N1188">
        <v>5</v>
      </c>
      <c r="O1188">
        <v>2024</v>
      </c>
      <c r="P1188" s="29" t="s">
        <v>732</v>
      </c>
      <c r="Q1188" t="s">
        <v>736</v>
      </c>
      <c r="R1188" t="s">
        <v>738</v>
      </c>
    </row>
    <row r="1189" spans="1:18" x14ac:dyDescent="0.25">
      <c r="A1189" s="6">
        <v>1188</v>
      </c>
      <c r="B1189" s="7">
        <v>45203</v>
      </c>
      <c r="C1189" s="8" t="s">
        <v>106</v>
      </c>
      <c r="D1189" s="8" t="s">
        <v>109</v>
      </c>
      <c r="E1189" s="8" t="s">
        <v>79</v>
      </c>
      <c r="F1189" s="8" t="s">
        <v>172</v>
      </c>
      <c r="G1189" s="6">
        <v>33</v>
      </c>
      <c r="H1189" s="25">
        <v>22700</v>
      </c>
      <c r="I1189" s="6">
        <v>0</v>
      </c>
      <c r="J1189" s="6">
        <f t="shared" si="36"/>
        <v>749100</v>
      </c>
      <c r="K1189" s="6">
        <f t="shared" si="37"/>
        <v>749100</v>
      </c>
      <c r="L1189" s="8" t="s">
        <v>76</v>
      </c>
      <c r="M1189" s="8" t="s">
        <v>77</v>
      </c>
      <c r="N1189">
        <v>10</v>
      </c>
      <c r="O1189">
        <v>2023</v>
      </c>
      <c r="P1189" s="29" t="s">
        <v>726</v>
      </c>
      <c r="Q1189" t="s">
        <v>733</v>
      </c>
      <c r="R1189" t="s">
        <v>737</v>
      </c>
    </row>
    <row r="1190" spans="1:18" x14ac:dyDescent="0.25">
      <c r="A1190" s="9">
        <v>1189</v>
      </c>
      <c r="B1190" s="10">
        <v>45027</v>
      </c>
      <c r="C1190" s="11" t="s">
        <v>114</v>
      </c>
      <c r="D1190" s="11" t="s">
        <v>83</v>
      </c>
      <c r="E1190" s="11" t="s">
        <v>84</v>
      </c>
      <c r="F1190" s="11" t="s">
        <v>90</v>
      </c>
      <c r="G1190" s="9">
        <v>35</v>
      </c>
      <c r="H1190" s="26">
        <v>2000</v>
      </c>
      <c r="I1190" s="9">
        <v>20</v>
      </c>
      <c r="J1190" s="9">
        <f t="shared" si="36"/>
        <v>70000</v>
      </c>
      <c r="K1190" s="9">
        <f t="shared" si="37"/>
        <v>56000</v>
      </c>
      <c r="L1190" s="11" t="s">
        <v>76</v>
      </c>
      <c r="M1190" s="11" t="s">
        <v>91</v>
      </c>
      <c r="N1190">
        <v>4</v>
      </c>
      <c r="O1190">
        <v>2023</v>
      </c>
      <c r="P1190" s="29" t="s">
        <v>716</v>
      </c>
      <c r="Q1190" t="s">
        <v>736</v>
      </c>
      <c r="R1190" t="s">
        <v>739</v>
      </c>
    </row>
    <row r="1191" spans="1:18" x14ac:dyDescent="0.25">
      <c r="A1191" s="6">
        <v>1190</v>
      </c>
      <c r="B1191" s="7">
        <v>45393</v>
      </c>
      <c r="C1191" s="8" t="s">
        <v>124</v>
      </c>
      <c r="D1191" s="8" t="s">
        <v>73</v>
      </c>
      <c r="E1191" s="8" t="s">
        <v>111</v>
      </c>
      <c r="F1191" s="8" t="s">
        <v>166</v>
      </c>
      <c r="G1191" s="6">
        <v>12</v>
      </c>
      <c r="H1191" s="25">
        <v>29700</v>
      </c>
      <c r="I1191" s="6">
        <v>0</v>
      </c>
      <c r="J1191" s="6">
        <f t="shared" si="36"/>
        <v>356400</v>
      </c>
      <c r="K1191" s="6">
        <f t="shared" si="37"/>
        <v>356400</v>
      </c>
      <c r="L1191" s="8" t="s">
        <v>76</v>
      </c>
      <c r="M1191" s="8" t="s">
        <v>81</v>
      </c>
      <c r="N1191">
        <v>4</v>
      </c>
      <c r="O1191">
        <v>2024</v>
      </c>
      <c r="P1191" s="29" t="s">
        <v>722</v>
      </c>
      <c r="Q1191" t="s">
        <v>736</v>
      </c>
      <c r="R1191" t="s">
        <v>737</v>
      </c>
    </row>
    <row r="1192" spans="1:18" x14ac:dyDescent="0.25">
      <c r="A1192" s="9">
        <v>1191</v>
      </c>
      <c r="B1192" s="10">
        <v>45479</v>
      </c>
      <c r="C1192" s="11" t="s">
        <v>82</v>
      </c>
      <c r="D1192" s="11" t="s">
        <v>109</v>
      </c>
      <c r="E1192" s="11" t="s">
        <v>111</v>
      </c>
      <c r="F1192" s="11" t="s">
        <v>159</v>
      </c>
      <c r="G1192" s="9">
        <v>43</v>
      </c>
      <c r="H1192" s="26">
        <v>11700</v>
      </c>
      <c r="I1192" s="9">
        <v>0</v>
      </c>
      <c r="J1192" s="9">
        <f t="shared" si="36"/>
        <v>503100</v>
      </c>
      <c r="K1192" s="9">
        <f t="shared" si="37"/>
        <v>503100</v>
      </c>
      <c r="L1192" s="11" t="s">
        <v>76</v>
      </c>
      <c r="M1192" s="11" t="s">
        <v>91</v>
      </c>
      <c r="N1192">
        <v>7</v>
      </c>
      <c r="O1192">
        <v>2024</v>
      </c>
      <c r="P1192" s="29" t="s">
        <v>712</v>
      </c>
      <c r="Q1192" t="s">
        <v>734</v>
      </c>
      <c r="R1192" t="s">
        <v>737</v>
      </c>
    </row>
    <row r="1193" spans="1:18" x14ac:dyDescent="0.25">
      <c r="A1193" s="6">
        <v>1192</v>
      </c>
      <c r="B1193" s="7">
        <v>45610</v>
      </c>
      <c r="C1193" s="8" t="s">
        <v>101</v>
      </c>
      <c r="D1193" s="8" t="s">
        <v>83</v>
      </c>
      <c r="E1193" s="8" t="s">
        <v>111</v>
      </c>
      <c r="F1193" s="8" t="s">
        <v>112</v>
      </c>
      <c r="G1193" s="6">
        <v>28</v>
      </c>
      <c r="H1193" s="25">
        <v>66000</v>
      </c>
      <c r="I1193" s="6">
        <v>5</v>
      </c>
      <c r="J1193" s="6">
        <f t="shared" si="36"/>
        <v>1848000</v>
      </c>
      <c r="K1193" s="6">
        <f t="shared" si="37"/>
        <v>1755600</v>
      </c>
      <c r="L1193" s="8" t="s">
        <v>76</v>
      </c>
      <c r="M1193" s="8" t="s">
        <v>96</v>
      </c>
      <c r="N1193">
        <v>11</v>
      </c>
      <c r="O1193">
        <v>2024</v>
      </c>
      <c r="P1193" s="29" t="s">
        <v>714</v>
      </c>
      <c r="Q1193" t="s">
        <v>733</v>
      </c>
      <c r="R1193" t="s">
        <v>737</v>
      </c>
    </row>
    <row r="1194" spans="1:18" x14ac:dyDescent="0.25">
      <c r="A1194" s="9">
        <v>1193</v>
      </c>
      <c r="B1194" s="10">
        <v>45021</v>
      </c>
      <c r="C1194" s="11" t="s">
        <v>124</v>
      </c>
      <c r="D1194" s="11" t="s">
        <v>83</v>
      </c>
      <c r="E1194" s="11" t="s">
        <v>79</v>
      </c>
      <c r="F1194" s="11" t="s">
        <v>179</v>
      </c>
      <c r="G1194" s="9">
        <v>42</v>
      </c>
      <c r="H1194" s="26">
        <v>2300</v>
      </c>
      <c r="I1194" s="9">
        <v>0</v>
      </c>
      <c r="J1194" s="9">
        <f t="shared" si="36"/>
        <v>96600</v>
      </c>
      <c r="K1194" s="9">
        <f t="shared" si="37"/>
        <v>96600</v>
      </c>
      <c r="L1194" s="11" t="s">
        <v>107</v>
      </c>
      <c r="M1194" s="11" t="s">
        <v>91</v>
      </c>
      <c r="N1194">
        <v>4</v>
      </c>
      <c r="O1194">
        <v>2023</v>
      </c>
      <c r="P1194" s="29" t="s">
        <v>716</v>
      </c>
      <c r="Q1194" t="s">
        <v>736</v>
      </c>
      <c r="R1194" t="s">
        <v>739</v>
      </c>
    </row>
    <row r="1195" spans="1:18" x14ac:dyDescent="0.25">
      <c r="A1195" s="6">
        <v>1194</v>
      </c>
      <c r="B1195" s="7">
        <v>45290</v>
      </c>
      <c r="C1195" s="8" t="s">
        <v>108</v>
      </c>
      <c r="D1195" s="8" t="s">
        <v>83</v>
      </c>
      <c r="E1195" s="8" t="s">
        <v>111</v>
      </c>
      <c r="F1195" s="8" t="s">
        <v>135</v>
      </c>
      <c r="G1195" s="6">
        <v>11</v>
      </c>
      <c r="H1195" s="25">
        <v>103800</v>
      </c>
      <c r="I1195" s="6">
        <v>0</v>
      </c>
      <c r="J1195" s="6">
        <f t="shared" si="36"/>
        <v>1141800</v>
      </c>
      <c r="K1195" s="6">
        <f t="shared" si="37"/>
        <v>1141800</v>
      </c>
      <c r="L1195" s="8" t="s">
        <v>76</v>
      </c>
      <c r="M1195" s="8" t="s">
        <v>81</v>
      </c>
      <c r="N1195">
        <v>12</v>
      </c>
      <c r="O1195">
        <v>2023</v>
      </c>
      <c r="P1195" s="29" t="s">
        <v>725</v>
      </c>
      <c r="Q1195" t="s">
        <v>733</v>
      </c>
      <c r="R1195" t="s">
        <v>737</v>
      </c>
    </row>
    <row r="1196" spans="1:18" x14ac:dyDescent="0.25">
      <c r="A1196" s="9">
        <v>1195</v>
      </c>
      <c r="B1196" s="10">
        <v>45650</v>
      </c>
      <c r="C1196" s="11" t="s">
        <v>82</v>
      </c>
      <c r="D1196" s="11" t="s">
        <v>83</v>
      </c>
      <c r="E1196" s="11" t="s">
        <v>102</v>
      </c>
      <c r="F1196" s="11" t="s">
        <v>137</v>
      </c>
      <c r="G1196" s="9">
        <v>10</v>
      </c>
      <c r="H1196" s="26">
        <v>2100</v>
      </c>
      <c r="I1196" s="9">
        <v>5</v>
      </c>
      <c r="J1196" s="9">
        <f t="shared" si="36"/>
        <v>21000</v>
      </c>
      <c r="K1196" s="9">
        <f t="shared" si="37"/>
        <v>19950</v>
      </c>
      <c r="L1196" s="11" t="s">
        <v>76</v>
      </c>
      <c r="M1196" s="11" t="s">
        <v>96</v>
      </c>
      <c r="N1196">
        <v>12</v>
      </c>
      <c r="O1196">
        <v>2024</v>
      </c>
      <c r="P1196" s="29" t="s">
        <v>728</v>
      </c>
      <c r="Q1196" t="s">
        <v>733</v>
      </c>
      <c r="R1196" t="s">
        <v>738</v>
      </c>
    </row>
    <row r="1197" spans="1:18" x14ac:dyDescent="0.25">
      <c r="A1197" s="6">
        <v>1196</v>
      </c>
      <c r="B1197" s="7">
        <v>45070</v>
      </c>
      <c r="C1197" s="8" t="s">
        <v>101</v>
      </c>
      <c r="D1197" s="8" t="s">
        <v>117</v>
      </c>
      <c r="E1197" s="8" t="s">
        <v>111</v>
      </c>
      <c r="F1197" s="8" t="s">
        <v>112</v>
      </c>
      <c r="G1197" s="6">
        <v>42</v>
      </c>
      <c r="H1197" s="25">
        <v>73400</v>
      </c>
      <c r="I1197" s="6">
        <v>10</v>
      </c>
      <c r="J1197" s="6">
        <f t="shared" si="36"/>
        <v>3082800</v>
      </c>
      <c r="K1197" s="6">
        <f t="shared" si="37"/>
        <v>2774520</v>
      </c>
      <c r="L1197" s="8" t="s">
        <v>76</v>
      </c>
      <c r="M1197" s="8" t="s">
        <v>91</v>
      </c>
      <c r="N1197">
        <v>5</v>
      </c>
      <c r="O1197">
        <v>2023</v>
      </c>
      <c r="P1197" s="29" t="s">
        <v>730</v>
      </c>
      <c r="Q1197" t="s">
        <v>736</v>
      </c>
      <c r="R1197" t="s">
        <v>737</v>
      </c>
    </row>
    <row r="1198" spans="1:18" x14ac:dyDescent="0.25">
      <c r="A1198" s="9">
        <v>1197</v>
      </c>
      <c r="B1198" s="10">
        <v>45423</v>
      </c>
      <c r="C1198" s="11" t="s">
        <v>108</v>
      </c>
      <c r="D1198" s="11" t="s">
        <v>93</v>
      </c>
      <c r="E1198" s="11" t="s">
        <v>102</v>
      </c>
      <c r="F1198" s="11" t="s">
        <v>110</v>
      </c>
      <c r="G1198" s="9">
        <v>21</v>
      </c>
      <c r="H1198" s="26">
        <v>20500</v>
      </c>
      <c r="I1198" s="9">
        <v>10</v>
      </c>
      <c r="J1198" s="9">
        <f t="shared" si="36"/>
        <v>430500</v>
      </c>
      <c r="K1198" s="9">
        <f t="shared" si="37"/>
        <v>387450</v>
      </c>
      <c r="L1198" s="11" t="s">
        <v>76</v>
      </c>
      <c r="M1198" s="11" t="s">
        <v>96</v>
      </c>
      <c r="N1198">
        <v>5</v>
      </c>
      <c r="O1198">
        <v>2024</v>
      </c>
      <c r="P1198" s="29" t="s">
        <v>732</v>
      </c>
      <c r="Q1198" t="s">
        <v>736</v>
      </c>
      <c r="R1198" t="s">
        <v>737</v>
      </c>
    </row>
    <row r="1199" spans="1:18" x14ac:dyDescent="0.25">
      <c r="A1199" s="6">
        <v>1198</v>
      </c>
      <c r="B1199" s="7">
        <v>45559</v>
      </c>
      <c r="C1199" s="8" t="s">
        <v>114</v>
      </c>
      <c r="D1199" s="8" t="s">
        <v>73</v>
      </c>
      <c r="E1199" s="8" t="s">
        <v>79</v>
      </c>
      <c r="F1199" s="8" t="s">
        <v>136</v>
      </c>
      <c r="G1199" s="6">
        <v>11</v>
      </c>
      <c r="H1199" s="25">
        <v>94600</v>
      </c>
      <c r="I1199" s="6">
        <v>5</v>
      </c>
      <c r="J1199" s="6">
        <f t="shared" si="36"/>
        <v>1040600</v>
      </c>
      <c r="K1199" s="6">
        <f t="shared" si="37"/>
        <v>988570</v>
      </c>
      <c r="L1199" s="8" t="s">
        <v>76</v>
      </c>
      <c r="M1199" s="8" t="s">
        <v>77</v>
      </c>
      <c r="N1199">
        <v>9</v>
      </c>
      <c r="O1199">
        <v>2024</v>
      </c>
      <c r="P1199" s="29" t="s">
        <v>731</v>
      </c>
      <c r="Q1199" t="s">
        <v>734</v>
      </c>
      <c r="R1199" t="s">
        <v>737</v>
      </c>
    </row>
    <row r="1200" spans="1:18" x14ac:dyDescent="0.25">
      <c r="A1200" s="9">
        <v>1199</v>
      </c>
      <c r="B1200" s="10">
        <v>45622</v>
      </c>
      <c r="C1200" s="11" t="s">
        <v>119</v>
      </c>
      <c r="D1200" s="11" t="s">
        <v>117</v>
      </c>
      <c r="E1200" s="11" t="s">
        <v>84</v>
      </c>
      <c r="F1200" s="11" t="s">
        <v>90</v>
      </c>
      <c r="G1200" s="9">
        <v>12</v>
      </c>
      <c r="H1200" s="26">
        <v>1700</v>
      </c>
      <c r="I1200" s="9">
        <v>20</v>
      </c>
      <c r="J1200" s="9">
        <f t="shared" si="36"/>
        <v>20400</v>
      </c>
      <c r="K1200" s="9">
        <f t="shared" si="37"/>
        <v>16320</v>
      </c>
      <c r="L1200" s="11" t="s">
        <v>187</v>
      </c>
      <c r="M1200" s="11" t="s">
        <v>91</v>
      </c>
      <c r="N1200">
        <v>11</v>
      </c>
      <c r="O1200">
        <v>2024</v>
      </c>
      <c r="P1200" s="29" t="s">
        <v>714</v>
      </c>
      <c r="Q1200" t="s">
        <v>733</v>
      </c>
      <c r="R1200" t="s">
        <v>738</v>
      </c>
    </row>
    <row r="1201" spans="1:18" x14ac:dyDescent="0.25">
      <c r="A1201" s="6">
        <v>1200</v>
      </c>
      <c r="B1201" s="7">
        <v>45446</v>
      </c>
      <c r="C1201" s="8" t="s">
        <v>97</v>
      </c>
      <c r="D1201" s="8" t="s">
        <v>73</v>
      </c>
      <c r="E1201" s="8" t="s">
        <v>102</v>
      </c>
      <c r="F1201" s="8" t="s">
        <v>110</v>
      </c>
      <c r="G1201" s="6">
        <v>48</v>
      </c>
      <c r="H1201" s="25">
        <v>20400</v>
      </c>
      <c r="I1201" s="6">
        <v>10</v>
      </c>
      <c r="J1201" s="6">
        <f t="shared" si="36"/>
        <v>979200</v>
      </c>
      <c r="K1201" s="6">
        <f t="shared" si="37"/>
        <v>881280</v>
      </c>
      <c r="L1201" s="8" t="s">
        <v>76</v>
      </c>
      <c r="M1201" s="8" t="s">
        <v>96</v>
      </c>
      <c r="N1201">
        <v>6</v>
      </c>
      <c r="O1201">
        <v>2024</v>
      </c>
      <c r="P1201" s="29" t="s">
        <v>720</v>
      </c>
      <c r="Q1201" t="s">
        <v>736</v>
      </c>
      <c r="R1201" t="s">
        <v>737</v>
      </c>
    </row>
    <row r="1202" spans="1:18" x14ac:dyDescent="0.25">
      <c r="A1202" s="9">
        <v>1201</v>
      </c>
      <c r="B1202" s="10">
        <v>45514</v>
      </c>
      <c r="C1202" s="11" t="s">
        <v>78</v>
      </c>
      <c r="D1202" s="11" t="s">
        <v>109</v>
      </c>
      <c r="E1202" s="11" t="s">
        <v>74</v>
      </c>
      <c r="F1202" s="11" t="s">
        <v>118</v>
      </c>
      <c r="G1202" s="9">
        <v>25</v>
      </c>
      <c r="H1202" s="26">
        <v>30100</v>
      </c>
      <c r="I1202" s="9">
        <v>0</v>
      </c>
      <c r="J1202" s="9">
        <f t="shared" si="36"/>
        <v>752500</v>
      </c>
      <c r="K1202" s="9">
        <f t="shared" si="37"/>
        <v>752500</v>
      </c>
      <c r="L1202" s="11" t="s">
        <v>76</v>
      </c>
      <c r="M1202" s="11" t="s">
        <v>81</v>
      </c>
      <c r="N1202">
        <v>8</v>
      </c>
      <c r="O1202">
        <v>2024</v>
      </c>
      <c r="P1202" s="29" t="s">
        <v>710</v>
      </c>
      <c r="Q1202" t="s">
        <v>734</v>
      </c>
      <c r="R1202" t="s">
        <v>737</v>
      </c>
    </row>
    <row r="1203" spans="1:18" x14ac:dyDescent="0.25">
      <c r="A1203" s="6">
        <v>1202</v>
      </c>
      <c r="B1203" s="7">
        <v>45185</v>
      </c>
      <c r="C1203" s="8" t="s">
        <v>119</v>
      </c>
      <c r="D1203" s="8" t="s">
        <v>83</v>
      </c>
      <c r="E1203" s="8" t="s">
        <v>74</v>
      </c>
      <c r="F1203" s="8" t="s">
        <v>75</v>
      </c>
      <c r="G1203" s="6">
        <v>11</v>
      </c>
      <c r="H1203" s="25">
        <v>20900</v>
      </c>
      <c r="I1203" s="6">
        <v>0</v>
      </c>
      <c r="J1203" s="6">
        <f t="shared" si="36"/>
        <v>229900</v>
      </c>
      <c r="K1203" s="6">
        <f t="shared" si="37"/>
        <v>229900</v>
      </c>
      <c r="L1203" s="8" t="s">
        <v>76</v>
      </c>
      <c r="M1203" s="8" t="s">
        <v>81</v>
      </c>
      <c r="N1203">
        <v>9</v>
      </c>
      <c r="O1203">
        <v>2023</v>
      </c>
      <c r="P1203" s="29" t="s">
        <v>715</v>
      </c>
      <c r="Q1203" t="s">
        <v>734</v>
      </c>
      <c r="R1203" t="s">
        <v>737</v>
      </c>
    </row>
    <row r="1204" spans="1:18" x14ac:dyDescent="0.25">
      <c r="A1204" s="9">
        <v>1203</v>
      </c>
      <c r="B1204" s="10">
        <v>45523</v>
      </c>
      <c r="C1204" s="11" t="s">
        <v>78</v>
      </c>
      <c r="D1204" s="11" t="s">
        <v>73</v>
      </c>
      <c r="E1204" s="11" t="s">
        <v>84</v>
      </c>
      <c r="F1204" s="11" t="s">
        <v>206</v>
      </c>
      <c r="G1204" s="9">
        <v>1</v>
      </c>
      <c r="H1204" s="26">
        <v>15400</v>
      </c>
      <c r="I1204" s="9">
        <v>10</v>
      </c>
      <c r="J1204" s="9">
        <f t="shared" si="36"/>
        <v>15400</v>
      </c>
      <c r="K1204" s="9">
        <f t="shared" si="37"/>
        <v>13860</v>
      </c>
      <c r="L1204" s="11" t="s">
        <v>76</v>
      </c>
      <c r="M1204" s="11" t="s">
        <v>91</v>
      </c>
      <c r="N1204">
        <v>8</v>
      </c>
      <c r="O1204">
        <v>2024</v>
      </c>
      <c r="P1204" s="29" t="s">
        <v>710</v>
      </c>
      <c r="Q1204" t="s">
        <v>734</v>
      </c>
      <c r="R1204" t="s">
        <v>738</v>
      </c>
    </row>
    <row r="1205" spans="1:18" x14ac:dyDescent="0.25">
      <c r="A1205" s="9">
        <v>1204</v>
      </c>
      <c r="B1205" s="10">
        <v>45486</v>
      </c>
      <c r="C1205" s="11" t="s">
        <v>97</v>
      </c>
      <c r="D1205" s="11" t="s">
        <v>117</v>
      </c>
      <c r="E1205" s="11" t="s">
        <v>84</v>
      </c>
      <c r="F1205" s="11" t="s">
        <v>85</v>
      </c>
      <c r="G1205" s="9">
        <v>14</v>
      </c>
      <c r="H1205" s="26">
        <v>5100</v>
      </c>
      <c r="I1205" s="9">
        <v>10</v>
      </c>
      <c r="J1205" s="9">
        <f t="shared" si="36"/>
        <v>71400</v>
      </c>
      <c r="K1205" s="9">
        <f t="shared" si="37"/>
        <v>64260</v>
      </c>
      <c r="L1205" s="11" t="s">
        <v>76</v>
      </c>
      <c r="M1205" s="31" t="s">
        <v>695</v>
      </c>
      <c r="N1205">
        <v>7</v>
      </c>
      <c r="O1205">
        <v>2024</v>
      </c>
      <c r="P1205" s="29" t="s">
        <v>712</v>
      </c>
      <c r="Q1205" t="s">
        <v>734</v>
      </c>
      <c r="R1205" t="s">
        <v>739</v>
      </c>
    </row>
    <row r="1206" spans="1:18" x14ac:dyDescent="0.25">
      <c r="A1206" s="6">
        <v>1205</v>
      </c>
      <c r="B1206" s="7">
        <v>45287</v>
      </c>
      <c r="C1206" s="8" t="s">
        <v>88</v>
      </c>
      <c r="D1206" s="8" t="s">
        <v>93</v>
      </c>
      <c r="E1206" s="8" t="s">
        <v>102</v>
      </c>
      <c r="F1206" s="8" t="s">
        <v>103</v>
      </c>
      <c r="G1206" s="6">
        <v>29</v>
      </c>
      <c r="H1206" s="25">
        <v>10800</v>
      </c>
      <c r="I1206" s="6">
        <v>20</v>
      </c>
      <c r="J1206" s="6">
        <f t="shared" si="36"/>
        <v>313200</v>
      </c>
      <c r="K1206" s="6">
        <f t="shared" si="37"/>
        <v>250560</v>
      </c>
      <c r="L1206" s="8" t="s">
        <v>76</v>
      </c>
      <c r="M1206" s="8" t="s">
        <v>91</v>
      </c>
      <c r="N1206">
        <v>12</v>
      </c>
      <c r="O1206">
        <v>2023</v>
      </c>
      <c r="P1206" s="29" t="s">
        <v>725</v>
      </c>
      <c r="Q1206" t="s">
        <v>733</v>
      </c>
      <c r="R1206" t="s">
        <v>737</v>
      </c>
    </row>
    <row r="1207" spans="1:18" x14ac:dyDescent="0.25">
      <c r="A1207" s="9">
        <v>1206</v>
      </c>
      <c r="B1207" s="10">
        <v>44999</v>
      </c>
      <c r="C1207" s="11" t="s">
        <v>124</v>
      </c>
      <c r="D1207" s="11" t="s">
        <v>73</v>
      </c>
      <c r="E1207" s="11" t="s">
        <v>84</v>
      </c>
      <c r="F1207" s="11" t="s">
        <v>134</v>
      </c>
      <c r="G1207" s="9">
        <v>32</v>
      </c>
      <c r="H1207" s="26">
        <v>8900</v>
      </c>
      <c r="I1207" s="9">
        <v>0</v>
      </c>
      <c r="J1207" s="9">
        <f t="shared" si="36"/>
        <v>284800</v>
      </c>
      <c r="K1207" s="9">
        <f t="shared" si="37"/>
        <v>284800</v>
      </c>
      <c r="L1207" s="11" t="s">
        <v>76</v>
      </c>
      <c r="M1207" s="11" t="s">
        <v>96</v>
      </c>
      <c r="N1207">
        <v>3</v>
      </c>
      <c r="O1207">
        <v>2023</v>
      </c>
      <c r="P1207" s="29" t="s">
        <v>719</v>
      </c>
      <c r="Q1207" t="s">
        <v>735</v>
      </c>
      <c r="R1207" t="s">
        <v>737</v>
      </c>
    </row>
    <row r="1208" spans="1:18" x14ac:dyDescent="0.25">
      <c r="A1208" s="6">
        <v>1207</v>
      </c>
      <c r="B1208" s="7">
        <v>45156</v>
      </c>
      <c r="C1208" s="8" t="s">
        <v>101</v>
      </c>
      <c r="D1208" s="8" t="s">
        <v>117</v>
      </c>
      <c r="E1208" s="8" t="s">
        <v>111</v>
      </c>
      <c r="F1208" s="8" t="s">
        <v>132</v>
      </c>
      <c r="G1208" s="6">
        <v>11</v>
      </c>
      <c r="H1208" s="25">
        <v>6900</v>
      </c>
      <c r="I1208" s="6">
        <v>10</v>
      </c>
      <c r="J1208" s="6">
        <f t="shared" si="36"/>
        <v>75900</v>
      </c>
      <c r="K1208" s="6">
        <f t="shared" si="37"/>
        <v>68310</v>
      </c>
      <c r="L1208" s="8" t="s">
        <v>123</v>
      </c>
      <c r="M1208" s="8" t="s">
        <v>77</v>
      </c>
      <c r="N1208">
        <v>8</v>
      </c>
      <c r="O1208">
        <v>2023</v>
      </c>
      <c r="P1208" s="29" t="s">
        <v>713</v>
      </c>
      <c r="Q1208" t="s">
        <v>734</v>
      </c>
      <c r="R1208" t="s">
        <v>739</v>
      </c>
    </row>
    <row r="1209" spans="1:18" x14ac:dyDescent="0.25">
      <c r="A1209" s="9">
        <v>1208</v>
      </c>
      <c r="B1209" s="10">
        <v>45634</v>
      </c>
      <c r="C1209" s="11" t="s">
        <v>106</v>
      </c>
      <c r="D1209" s="11" t="s">
        <v>93</v>
      </c>
      <c r="E1209" s="11" t="s">
        <v>102</v>
      </c>
      <c r="F1209" s="11" t="s">
        <v>110</v>
      </c>
      <c r="G1209" s="9">
        <v>4</v>
      </c>
      <c r="H1209" s="26">
        <v>22000</v>
      </c>
      <c r="I1209" s="9">
        <v>10</v>
      </c>
      <c r="J1209" s="9">
        <f t="shared" si="36"/>
        <v>88000</v>
      </c>
      <c r="K1209" s="9">
        <f t="shared" si="37"/>
        <v>79200</v>
      </c>
      <c r="L1209" s="11" t="s">
        <v>76</v>
      </c>
      <c r="M1209" s="11" t="s">
        <v>77</v>
      </c>
      <c r="N1209">
        <v>12</v>
      </c>
      <c r="O1209">
        <v>2024</v>
      </c>
      <c r="P1209" s="29" t="s">
        <v>728</v>
      </c>
      <c r="Q1209" t="s">
        <v>733</v>
      </c>
      <c r="R1209" t="s">
        <v>739</v>
      </c>
    </row>
    <row r="1210" spans="1:18" x14ac:dyDescent="0.25">
      <c r="A1210" s="6">
        <v>1209</v>
      </c>
      <c r="B1210" s="7">
        <v>45409</v>
      </c>
      <c r="C1210" s="8" t="s">
        <v>101</v>
      </c>
      <c r="D1210" s="8" t="s">
        <v>73</v>
      </c>
      <c r="E1210" s="8" t="s">
        <v>79</v>
      </c>
      <c r="F1210" s="8" t="s">
        <v>120</v>
      </c>
      <c r="G1210" s="6">
        <v>13</v>
      </c>
      <c r="H1210" s="25">
        <v>6000</v>
      </c>
      <c r="I1210" s="6">
        <v>0</v>
      </c>
      <c r="J1210" s="6">
        <f t="shared" si="36"/>
        <v>78000</v>
      </c>
      <c r="K1210" s="6">
        <f t="shared" si="37"/>
        <v>78000</v>
      </c>
      <c r="L1210" s="8" t="s">
        <v>76</v>
      </c>
      <c r="M1210" s="8" t="s">
        <v>77</v>
      </c>
      <c r="N1210">
        <v>4</v>
      </c>
      <c r="O1210">
        <v>2024</v>
      </c>
      <c r="P1210" s="29" t="s">
        <v>722</v>
      </c>
      <c r="Q1210" t="s">
        <v>736</v>
      </c>
      <c r="R1210" t="s">
        <v>739</v>
      </c>
    </row>
    <row r="1211" spans="1:18" x14ac:dyDescent="0.25">
      <c r="A1211" s="9">
        <v>1210</v>
      </c>
      <c r="B1211" s="10">
        <v>45136</v>
      </c>
      <c r="C1211" s="11" t="s">
        <v>82</v>
      </c>
      <c r="D1211" s="11" t="s">
        <v>117</v>
      </c>
      <c r="E1211" s="11" t="s">
        <v>79</v>
      </c>
      <c r="F1211" s="11" t="s">
        <v>80</v>
      </c>
      <c r="G1211" s="9">
        <v>37</v>
      </c>
      <c r="H1211" s="26">
        <v>8700</v>
      </c>
      <c r="I1211" s="9">
        <v>0</v>
      </c>
      <c r="J1211" s="9">
        <f t="shared" si="36"/>
        <v>321900</v>
      </c>
      <c r="K1211" s="9">
        <f t="shared" si="37"/>
        <v>321900</v>
      </c>
      <c r="L1211" s="11" t="s">
        <v>107</v>
      </c>
      <c r="M1211" s="11" t="s">
        <v>77</v>
      </c>
      <c r="N1211">
        <v>7</v>
      </c>
      <c r="O1211">
        <v>2023</v>
      </c>
      <c r="P1211" s="29" t="s">
        <v>724</v>
      </c>
      <c r="Q1211" t="s">
        <v>734</v>
      </c>
      <c r="R1211" t="s">
        <v>737</v>
      </c>
    </row>
    <row r="1212" spans="1:18" x14ac:dyDescent="0.25">
      <c r="A1212" s="6">
        <v>1211</v>
      </c>
      <c r="B1212" s="7">
        <v>44999</v>
      </c>
      <c r="C1212" s="8" t="s">
        <v>114</v>
      </c>
      <c r="D1212" s="8" t="s">
        <v>93</v>
      </c>
      <c r="E1212" s="8" t="s">
        <v>102</v>
      </c>
      <c r="F1212" s="8" t="s">
        <v>137</v>
      </c>
      <c r="G1212" s="6">
        <v>31</v>
      </c>
      <c r="H1212" s="25">
        <v>2500</v>
      </c>
      <c r="I1212" s="6">
        <v>15</v>
      </c>
      <c r="J1212" s="6">
        <f t="shared" si="36"/>
        <v>77500</v>
      </c>
      <c r="K1212" s="6">
        <f t="shared" si="37"/>
        <v>65875</v>
      </c>
      <c r="L1212" s="8" t="s">
        <v>123</v>
      </c>
      <c r="M1212" s="8" t="s">
        <v>96</v>
      </c>
      <c r="N1212">
        <v>3</v>
      </c>
      <c r="O1212">
        <v>2023</v>
      </c>
      <c r="P1212" s="29" t="s">
        <v>719</v>
      </c>
      <c r="Q1212" t="s">
        <v>735</v>
      </c>
      <c r="R1212" t="s">
        <v>739</v>
      </c>
    </row>
    <row r="1213" spans="1:18" x14ac:dyDescent="0.25">
      <c r="A1213" s="9">
        <v>1212</v>
      </c>
      <c r="B1213" s="10">
        <v>45262</v>
      </c>
      <c r="C1213" s="11" t="s">
        <v>97</v>
      </c>
      <c r="D1213" s="11" t="s">
        <v>73</v>
      </c>
      <c r="E1213" s="11" t="s">
        <v>111</v>
      </c>
      <c r="F1213" s="11" t="s">
        <v>156</v>
      </c>
      <c r="G1213" s="9">
        <v>28</v>
      </c>
      <c r="H1213" s="26">
        <v>44600</v>
      </c>
      <c r="I1213" s="9">
        <v>0</v>
      </c>
      <c r="J1213" s="9">
        <f t="shared" si="36"/>
        <v>1248800</v>
      </c>
      <c r="K1213" s="9">
        <f t="shared" si="37"/>
        <v>1248800</v>
      </c>
      <c r="L1213" s="11" t="s">
        <v>76</v>
      </c>
      <c r="M1213" s="11" t="s">
        <v>81</v>
      </c>
      <c r="N1213">
        <v>12</v>
      </c>
      <c r="O1213">
        <v>2023</v>
      </c>
      <c r="P1213" s="29" t="s">
        <v>725</v>
      </c>
      <c r="Q1213" t="s">
        <v>733</v>
      </c>
      <c r="R1213" t="s">
        <v>737</v>
      </c>
    </row>
    <row r="1214" spans="1:18" x14ac:dyDescent="0.25">
      <c r="A1214" s="6">
        <v>1213</v>
      </c>
      <c r="B1214" s="7">
        <v>44983</v>
      </c>
      <c r="C1214" s="8" t="s">
        <v>78</v>
      </c>
      <c r="D1214" s="8" t="s">
        <v>109</v>
      </c>
      <c r="E1214" s="8" t="s">
        <v>102</v>
      </c>
      <c r="F1214" s="8" t="s">
        <v>151</v>
      </c>
      <c r="G1214" s="6">
        <v>48</v>
      </c>
      <c r="H1214" s="25">
        <v>8000</v>
      </c>
      <c r="I1214" s="6">
        <v>0</v>
      </c>
      <c r="J1214" s="6">
        <f t="shared" si="36"/>
        <v>384000</v>
      </c>
      <c r="K1214" s="6">
        <f t="shared" si="37"/>
        <v>384000</v>
      </c>
      <c r="L1214" s="8" t="s">
        <v>76</v>
      </c>
      <c r="M1214" s="8" t="s">
        <v>91</v>
      </c>
      <c r="N1214">
        <v>2</v>
      </c>
      <c r="O1214">
        <v>2023</v>
      </c>
      <c r="P1214" s="29" t="s">
        <v>717</v>
      </c>
      <c r="Q1214" t="s">
        <v>735</v>
      </c>
      <c r="R1214" t="s">
        <v>737</v>
      </c>
    </row>
    <row r="1215" spans="1:18" x14ac:dyDescent="0.25">
      <c r="A1215" s="9">
        <v>1214</v>
      </c>
      <c r="B1215" s="10">
        <v>45293</v>
      </c>
      <c r="C1215" s="11" t="s">
        <v>114</v>
      </c>
      <c r="D1215" s="11" t="s">
        <v>109</v>
      </c>
      <c r="E1215" s="11" t="s">
        <v>111</v>
      </c>
      <c r="F1215" s="11" t="s">
        <v>165</v>
      </c>
      <c r="G1215" s="9">
        <v>8</v>
      </c>
      <c r="H1215" s="26">
        <v>18700</v>
      </c>
      <c r="I1215" s="9">
        <v>0</v>
      </c>
      <c r="J1215" s="9">
        <f t="shared" si="36"/>
        <v>149600</v>
      </c>
      <c r="K1215" s="9">
        <f t="shared" si="37"/>
        <v>149600</v>
      </c>
      <c r="L1215" s="11" t="s">
        <v>76</v>
      </c>
      <c r="M1215" s="11" t="s">
        <v>96</v>
      </c>
      <c r="N1215">
        <v>1</v>
      </c>
      <c r="O1215">
        <v>2024</v>
      </c>
      <c r="P1215" s="29" t="s">
        <v>727</v>
      </c>
      <c r="Q1215" t="s">
        <v>735</v>
      </c>
      <c r="R1215" t="s">
        <v>739</v>
      </c>
    </row>
    <row r="1216" spans="1:18" x14ac:dyDescent="0.25">
      <c r="A1216" s="6">
        <v>1215</v>
      </c>
      <c r="B1216" s="7">
        <v>45125</v>
      </c>
      <c r="C1216" s="8" t="s">
        <v>88</v>
      </c>
      <c r="D1216" s="8" t="s">
        <v>83</v>
      </c>
      <c r="E1216" s="8" t="s">
        <v>79</v>
      </c>
      <c r="F1216" s="8" t="s">
        <v>80</v>
      </c>
      <c r="G1216" s="6">
        <v>38</v>
      </c>
      <c r="H1216" s="25">
        <v>8100</v>
      </c>
      <c r="I1216" s="6">
        <v>15</v>
      </c>
      <c r="J1216" s="6">
        <f t="shared" si="36"/>
        <v>307800</v>
      </c>
      <c r="K1216" s="6">
        <f t="shared" si="37"/>
        <v>261630</v>
      </c>
      <c r="L1216" s="8" t="s">
        <v>76</v>
      </c>
      <c r="M1216" s="8" t="s">
        <v>91</v>
      </c>
      <c r="N1216">
        <v>7</v>
      </c>
      <c r="O1216">
        <v>2023</v>
      </c>
      <c r="P1216" s="29" t="s">
        <v>724</v>
      </c>
      <c r="Q1216" t="s">
        <v>734</v>
      </c>
      <c r="R1216" t="s">
        <v>737</v>
      </c>
    </row>
    <row r="1217" spans="1:18" x14ac:dyDescent="0.25">
      <c r="A1217" s="9">
        <v>1216</v>
      </c>
      <c r="B1217" s="10">
        <v>45358</v>
      </c>
      <c r="C1217" s="11" t="s">
        <v>124</v>
      </c>
      <c r="D1217" s="11" t="s">
        <v>73</v>
      </c>
      <c r="E1217" s="11" t="s">
        <v>79</v>
      </c>
      <c r="F1217" s="11" t="s">
        <v>80</v>
      </c>
      <c r="G1217" s="9">
        <v>5</v>
      </c>
      <c r="H1217" s="26">
        <v>9400</v>
      </c>
      <c r="I1217" s="9">
        <v>0</v>
      </c>
      <c r="J1217" s="9">
        <f t="shared" si="36"/>
        <v>47000</v>
      </c>
      <c r="K1217" s="9">
        <f t="shared" si="37"/>
        <v>47000</v>
      </c>
      <c r="L1217" s="11" t="s">
        <v>76</v>
      </c>
      <c r="M1217" s="11" t="s">
        <v>91</v>
      </c>
      <c r="N1217">
        <v>3</v>
      </c>
      <c r="O1217">
        <v>2024</v>
      </c>
      <c r="P1217" s="29" t="s">
        <v>711</v>
      </c>
      <c r="Q1217" t="s">
        <v>735</v>
      </c>
      <c r="R1217" t="s">
        <v>738</v>
      </c>
    </row>
    <row r="1218" spans="1:18" x14ac:dyDescent="0.25">
      <c r="A1218" s="6">
        <v>1217</v>
      </c>
      <c r="B1218" s="7">
        <v>45216</v>
      </c>
      <c r="C1218" s="8" t="s">
        <v>78</v>
      </c>
      <c r="D1218" s="8" t="s">
        <v>117</v>
      </c>
      <c r="E1218" s="8" t="s">
        <v>74</v>
      </c>
      <c r="F1218" s="8" t="s">
        <v>75</v>
      </c>
      <c r="G1218" s="6">
        <v>9</v>
      </c>
      <c r="H1218" s="25">
        <v>25300</v>
      </c>
      <c r="I1218" s="6">
        <v>15</v>
      </c>
      <c r="J1218" s="6">
        <f t="shared" ref="J1218:J1281" si="38">G1218*H1218</f>
        <v>227700</v>
      </c>
      <c r="K1218" s="6">
        <f t="shared" ref="K1218:K1281" si="39">J1218*(1-I1218/100)</f>
        <v>193545</v>
      </c>
      <c r="L1218" s="8" t="s">
        <v>76</v>
      </c>
      <c r="M1218" s="8" t="s">
        <v>91</v>
      </c>
      <c r="N1218">
        <v>10</v>
      </c>
      <c r="O1218">
        <v>2023</v>
      </c>
      <c r="P1218" s="29" t="s">
        <v>726</v>
      </c>
      <c r="Q1218" t="s">
        <v>733</v>
      </c>
      <c r="R1218" t="s">
        <v>739</v>
      </c>
    </row>
    <row r="1219" spans="1:18" x14ac:dyDescent="0.25">
      <c r="A1219" s="9">
        <v>1218</v>
      </c>
      <c r="B1219" s="10">
        <v>45082</v>
      </c>
      <c r="C1219" s="11" t="s">
        <v>97</v>
      </c>
      <c r="D1219" s="11" t="s">
        <v>73</v>
      </c>
      <c r="E1219" s="11" t="s">
        <v>74</v>
      </c>
      <c r="F1219" s="11" t="s">
        <v>75</v>
      </c>
      <c r="G1219" s="9">
        <v>48</v>
      </c>
      <c r="H1219" s="26">
        <v>22500</v>
      </c>
      <c r="I1219" s="9">
        <v>5</v>
      </c>
      <c r="J1219" s="9">
        <f t="shared" si="38"/>
        <v>1080000</v>
      </c>
      <c r="K1219" s="9">
        <f t="shared" si="39"/>
        <v>1026000</v>
      </c>
      <c r="L1219" s="11" t="s">
        <v>187</v>
      </c>
      <c r="M1219" s="11" t="s">
        <v>81</v>
      </c>
      <c r="N1219">
        <v>6</v>
      </c>
      <c r="O1219">
        <v>2023</v>
      </c>
      <c r="P1219" s="29" t="s">
        <v>723</v>
      </c>
      <c r="Q1219" t="s">
        <v>736</v>
      </c>
      <c r="R1219" t="s">
        <v>737</v>
      </c>
    </row>
    <row r="1220" spans="1:18" x14ac:dyDescent="0.25">
      <c r="A1220" s="6">
        <v>1219</v>
      </c>
      <c r="B1220" s="7">
        <v>45657</v>
      </c>
      <c r="C1220" s="8" t="s">
        <v>101</v>
      </c>
      <c r="D1220" s="8" t="s">
        <v>117</v>
      </c>
      <c r="E1220" s="8" t="s">
        <v>102</v>
      </c>
      <c r="F1220" s="8" t="s">
        <v>110</v>
      </c>
      <c r="G1220" s="6">
        <v>16</v>
      </c>
      <c r="H1220" s="25">
        <v>24600</v>
      </c>
      <c r="I1220" s="6">
        <v>0</v>
      </c>
      <c r="J1220" s="6">
        <f t="shared" si="38"/>
        <v>393600</v>
      </c>
      <c r="K1220" s="6">
        <f t="shared" si="39"/>
        <v>393600</v>
      </c>
      <c r="L1220" s="8" t="s">
        <v>76</v>
      </c>
      <c r="M1220" s="8" t="s">
        <v>96</v>
      </c>
      <c r="N1220">
        <v>12</v>
      </c>
      <c r="O1220">
        <v>2024</v>
      </c>
      <c r="P1220" s="29" t="s">
        <v>728</v>
      </c>
      <c r="Q1220" t="s">
        <v>733</v>
      </c>
      <c r="R1220" t="s">
        <v>737</v>
      </c>
    </row>
    <row r="1221" spans="1:18" x14ac:dyDescent="0.25">
      <c r="A1221" s="9">
        <v>1220</v>
      </c>
      <c r="B1221" s="10">
        <v>45641</v>
      </c>
      <c r="C1221" s="11" t="s">
        <v>82</v>
      </c>
      <c r="D1221" s="11" t="s">
        <v>93</v>
      </c>
      <c r="E1221" s="11" t="s">
        <v>79</v>
      </c>
      <c r="F1221" s="11" t="s">
        <v>136</v>
      </c>
      <c r="G1221" s="9">
        <v>27</v>
      </c>
      <c r="H1221" s="26">
        <v>83900</v>
      </c>
      <c r="I1221" s="9">
        <v>0</v>
      </c>
      <c r="J1221" s="9">
        <f t="shared" si="38"/>
        <v>2265300</v>
      </c>
      <c r="K1221" s="9">
        <f t="shared" si="39"/>
        <v>2265300</v>
      </c>
      <c r="L1221" s="11" t="s">
        <v>187</v>
      </c>
      <c r="M1221" s="11" t="s">
        <v>91</v>
      </c>
      <c r="N1221">
        <v>12</v>
      </c>
      <c r="O1221">
        <v>2024</v>
      </c>
      <c r="P1221" s="29" t="s">
        <v>728</v>
      </c>
      <c r="Q1221" t="s">
        <v>733</v>
      </c>
      <c r="R1221" t="s">
        <v>737</v>
      </c>
    </row>
    <row r="1222" spans="1:18" x14ac:dyDescent="0.25">
      <c r="A1222" s="6">
        <v>1221</v>
      </c>
      <c r="B1222" s="7">
        <v>45007</v>
      </c>
      <c r="C1222" s="8" t="s">
        <v>106</v>
      </c>
      <c r="D1222" s="8" t="s">
        <v>109</v>
      </c>
      <c r="E1222" s="8" t="s">
        <v>102</v>
      </c>
      <c r="F1222" s="8" t="s">
        <v>181</v>
      </c>
      <c r="G1222" s="6">
        <v>36</v>
      </c>
      <c r="H1222" s="25">
        <v>4400</v>
      </c>
      <c r="I1222" s="6">
        <v>15</v>
      </c>
      <c r="J1222" s="6">
        <f t="shared" si="38"/>
        <v>158400</v>
      </c>
      <c r="K1222" s="6">
        <f t="shared" si="39"/>
        <v>134640</v>
      </c>
      <c r="L1222" s="8" t="s">
        <v>76</v>
      </c>
      <c r="M1222" s="8" t="s">
        <v>96</v>
      </c>
      <c r="N1222">
        <v>3</v>
      </c>
      <c r="O1222">
        <v>2023</v>
      </c>
      <c r="P1222" s="29" t="s">
        <v>719</v>
      </c>
      <c r="Q1222" t="s">
        <v>735</v>
      </c>
      <c r="R1222" t="s">
        <v>739</v>
      </c>
    </row>
    <row r="1223" spans="1:18" x14ac:dyDescent="0.25">
      <c r="A1223" s="9">
        <v>1222</v>
      </c>
      <c r="B1223" s="10">
        <v>45072</v>
      </c>
      <c r="C1223" s="11" t="s">
        <v>78</v>
      </c>
      <c r="D1223" s="11" t="s">
        <v>109</v>
      </c>
      <c r="E1223" s="11" t="s">
        <v>111</v>
      </c>
      <c r="F1223" s="11" t="s">
        <v>159</v>
      </c>
      <c r="G1223" s="9">
        <v>2</v>
      </c>
      <c r="H1223" s="26">
        <v>13700</v>
      </c>
      <c r="I1223" s="9">
        <v>0</v>
      </c>
      <c r="J1223" s="9">
        <f t="shared" si="38"/>
        <v>27400</v>
      </c>
      <c r="K1223" s="9">
        <f t="shared" si="39"/>
        <v>27400</v>
      </c>
      <c r="L1223" s="11" t="s">
        <v>76</v>
      </c>
      <c r="M1223" s="11" t="s">
        <v>77</v>
      </c>
      <c r="N1223">
        <v>5</v>
      </c>
      <c r="O1223">
        <v>2023</v>
      </c>
      <c r="P1223" s="29" t="s">
        <v>730</v>
      </c>
      <c r="Q1223" t="s">
        <v>736</v>
      </c>
      <c r="R1223" t="s">
        <v>738</v>
      </c>
    </row>
    <row r="1224" spans="1:18" x14ac:dyDescent="0.25">
      <c r="A1224" s="6">
        <v>1223</v>
      </c>
      <c r="B1224" s="7">
        <v>45270</v>
      </c>
      <c r="C1224" s="8" t="s">
        <v>124</v>
      </c>
      <c r="D1224" s="8" t="s">
        <v>83</v>
      </c>
      <c r="E1224" s="8" t="s">
        <v>74</v>
      </c>
      <c r="F1224" s="8" t="s">
        <v>118</v>
      </c>
      <c r="G1224" s="6">
        <v>40</v>
      </c>
      <c r="H1224" s="25">
        <v>25600</v>
      </c>
      <c r="I1224" s="6">
        <v>20</v>
      </c>
      <c r="J1224" s="6">
        <f t="shared" si="38"/>
        <v>1024000</v>
      </c>
      <c r="K1224" s="6">
        <f t="shared" si="39"/>
        <v>819200</v>
      </c>
      <c r="L1224" s="8" t="s">
        <v>76</v>
      </c>
      <c r="M1224" s="8" t="s">
        <v>77</v>
      </c>
      <c r="N1224">
        <v>12</v>
      </c>
      <c r="O1224">
        <v>2023</v>
      </c>
      <c r="P1224" s="29" t="s">
        <v>725</v>
      </c>
      <c r="Q1224" t="s">
        <v>733</v>
      </c>
      <c r="R1224" t="s">
        <v>737</v>
      </c>
    </row>
    <row r="1225" spans="1:18" x14ac:dyDescent="0.25">
      <c r="A1225" s="9">
        <v>1224</v>
      </c>
      <c r="B1225" s="10">
        <v>45318</v>
      </c>
      <c r="C1225" s="11" t="s">
        <v>114</v>
      </c>
      <c r="D1225" s="11" t="s">
        <v>83</v>
      </c>
      <c r="E1225" s="11" t="s">
        <v>79</v>
      </c>
      <c r="F1225" s="11" t="s">
        <v>80</v>
      </c>
      <c r="G1225" s="9">
        <v>12</v>
      </c>
      <c r="H1225" s="26">
        <v>8100</v>
      </c>
      <c r="I1225" s="6">
        <v>0</v>
      </c>
      <c r="J1225" s="9">
        <f t="shared" si="38"/>
        <v>97200</v>
      </c>
      <c r="K1225" s="9">
        <f t="shared" si="39"/>
        <v>97200</v>
      </c>
      <c r="L1225" s="11" t="s">
        <v>187</v>
      </c>
      <c r="M1225" s="11" t="s">
        <v>77</v>
      </c>
      <c r="N1225">
        <v>1</v>
      </c>
      <c r="O1225">
        <v>2024</v>
      </c>
      <c r="P1225" s="29" t="s">
        <v>727</v>
      </c>
      <c r="Q1225" t="s">
        <v>735</v>
      </c>
      <c r="R1225" t="s">
        <v>739</v>
      </c>
    </row>
    <row r="1226" spans="1:18" x14ac:dyDescent="0.25">
      <c r="A1226" s="6">
        <v>1225</v>
      </c>
      <c r="B1226" s="7">
        <v>45180</v>
      </c>
      <c r="C1226" s="8" t="s">
        <v>78</v>
      </c>
      <c r="D1226" s="8" t="s">
        <v>93</v>
      </c>
      <c r="E1226" s="8" t="s">
        <v>74</v>
      </c>
      <c r="F1226" s="8" t="s">
        <v>94</v>
      </c>
      <c r="G1226" s="6">
        <v>49</v>
      </c>
      <c r="H1226" s="25">
        <v>39500</v>
      </c>
      <c r="I1226" s="6">
        <v>0</v>
      </c>
      <c r="J1226" s="6">
        <f t="shared" si="38"/>
        <v>1935500</v>
      </c>
      <c r="K1226" s="6">
        <f t="shared" si="39"/>
        <v>1935500</v>
      </c>
      <c r="L1226" s="8" t="s">
        <v>107</v>
      </c>
      <c r="M1226" s="8" t="s">
        <v>96</v>
      </c>
      <c r="N1226">
        <v>9</v>
      </c>
      <c r="O1226">
        <v>2023</v>
      </c>
      <c r="P1226" s="29" t="s">
        <v>715</v>
      </c>
      <c r="Q1226" t="s">
        <v>734</v>
      </c>
      <c r="R1226" t="s">
        <v>737</v>
      </c>
    </row>
    <row r="1227" spans="1:18" x14ac:dyDescent="0.25">
      <c r="A1227" s="9">
        <v>1226</v>
      </c>
      <c r="B1227" s="10">
        <v>45532</v>
      </c>
      <c r="C1227" s="11" t="s">
        <v>106</v>
      </c>
      <c r="D1227" s="11" t="s">
        <v>73</v>
      </c>
      <c r="E1227" s="11" t="s">
        <v>74</v>
      </c>
      <c r="F1227" s="11" t="s">
        <v>140</v>
      </c>
      <c r="G1227" s="9">
        <v>47</v>
      </c>
      <c r="H1227" s="26">
        <v>5000</v>
      </c>
      <c r="I1227" s="9">
        <v>20</v>
      </c>
      <c r="J1227" s="9">
        <f t="shared" si="38"/>
        <v>235000</v>
      </c>
      <c r="K1227" s="9">
        <f t="shared" si="39"/>
        <v>188000</v>
      </c>
      <c r="L1227" s="11" t="s">
        <v>107</v>
      </c>
      <c r="M1227" s="11" t="s">
        <v>77</v>
      </c>
      <c r="N1227">
        <v>8</v>
      </c>
      <c r="O1227">
        <v>2024</v>
      </c>
      <c r="P1227" s="29" t="s">
        <v>710</v>
      </c>
      <c r="Q1227" t="s">
        <v>734</v>
      </c>
      <c r="R1227" t="s">
        <v>739</v>
      </c>
    </row>
    <row r="1228" spans="1:18" x14ac:dyDescent="0.25">
      <c r="A1228" s="6">
        <v>1227</v>
      </c>
      <c r="B1228" s="7">
        <v>45038</v>
      </c>
      <c r="C1228" s="8" t="s">
        <v>82</v>
      </c>
      <c r="D1228" s="8" t="s">
        <v>83</v>
      </c>
      <c r="E1228" s="8" t="s">
        <v>74</v>
      </c>
      <c r="F1228" s="8" t="s">
        <v>99</v>
      </c>
      <c r="G1228" s="6">
        <v>47</v>
      </c>
      <c r="H1228" s="25">
        <v>3500</v>
      </c>
      <c r="I1228" s="6">
        <v>0</v>
      </c>
      <c r="J1228" s="6">
        <f t="shared" si="38"/>
        <v>164500</v>
      </c>
      <c r="K1228" s="6">
        <f t="shared" si="39"/>
        <v>164500</v>
      </c>
      <c r="L1228" s="8" t="s">
        <v>76</v>
      </c>
      <c r="M1228" s="8" t="s">
        <v>96</v>
      </c>
      <c r="N1228">
        <v>4</v>
      </c>
      <c r="O1228">
        <v>2023</v>
      </c>
      <c r="P1228" s="29" t="s">
        <v>716</v>
      </c>
      <c r="Q1228" t="s">
        <v>736</v>
      </c>
      <c r="R1228" t="s">
        <v>739</v>
      </c>
    </row>
    <row r="1229" spans="1:18" x14ac:dyDescent="0.25">
      <c r="A1229" s="9">
        <v>1228</v>
      </c>
      <c r="B1229" s="10">
        <v>45317</v>
      </c>
      <c r="C1229" s="11" t="s">
        <v>119</v>
      </c>
      <c r="D1229" s="11" t="s">
        <v>109</v>
      </c>
      <c r="E1229" s="11" t="s">
        <v>84</v>
      </c>
      <c r="F1229" s="11" t="s">
        <v>206</v>
      </c>
      <c r="G1229" s="9">
        <v>44</v>
      </c>
      <c r="H1229" s="26">
        <v>13600</v>
      </c>
      <c r="I1229" s="9">
        <v>0</v>
      </c>
      <c r="J1229" s="9">
        <f t="shared" si="38"/>
        <v>598400</v>
      </c>
      <c r="K1229" s="9">
        <f t="shared" si="39"/>
        <v>598400</v>
      </c>
      <c r="L1229" s="11" t="s">
        <v>123</v>
      </c>
      <c r="M1229" s="11" t="s">
        <v>77</v>
      </c>
      <c r="N1229">
        <v>1</v>
      </c>
      <c r="O1229">
        <v>2024</v>
      </c>
      <c r="P1229" s="29" t="s">
        <v>727</v>
      </c>
      <c r="Q1229" t="s">
        <v>735</v>
      </c>
      <c r="R1229" t="s">
        <v>737</v>
      </c>
    </row>
    <row r="1230" spans="1:18" x14ac:dyDescent="0.25">
      <c r="A1230" s="6">
        <v>1229</v>
      </c>
      <c r="B1230" s="7">
        <v>45542</v>
      </c>
      <c r="C1230" s="8" t="s">
        <v>101</v>
      </c>
      <c r="D1230" s="8" t="s">
        <v>117</v>
      </c>
      <c r="E1230" s="8" t="s">
        <v>102</v>
      </c>
      <c r="F1230" s="8" t="s">
        <v>151</v>
      </c>
      <c r="G1230" s="6">
        <v>18</v>
      </c>
      <c r="H1230" s="25">
        <v>6800</v>
      </c>
      <c r="I1230" s="6">
        <v>20</v>
      </c>
      <c r="J1230" s="6">
        <f t="shared" si="38"/>
        <v>122400</v>
      </c>
      <c r="K1230" s="6">
        <f t="shared" si="39"/>
        <v>97920</v>
      </c>
      <c r="L1230" s="8" t="s">
        <v>76</v>
      </c>
      <c r="M1230" s="8" t="s">
        <v>96</v>
      </c>
      <c r="N1230">
        <v>9</v>
      </c>
      <c r="O1230">
        <v>2024</v>
      </c>
      <c r="P1230" s="29" t="s">
        <v>731</v>
      </c>
      <c r="Q1230" t="s">
        <v>734</v>
      </c>
      <c r="R1230" t="s">
        <v>739</v>
      </c>
    </row>
    <row r="1231" spans="1:18" x14ac:dyDescent="0.25">
      <c r="A1231" s="9">
        <v>1230</v>
      </c>
      <c r="B1231" s="10">
        <v>45595</v>
      </c>
      <c r="C1231" s="11" t="s">
        <v>124</v>
      </c>
      <c r="D1231" s="11" t="s">
        <v>73</v>
      </c>
      <c r="E1231" s="11" t="s">
        <v>79</v>
      </c>
      <c r="F1231" s="11" t="s">
        <v>179</v>
      </c>
      <c r="G1231" s="9">
        <v>21</v>
      </c>
      <c r="H1231" s="26">
        <v>2600</v>
      </c>
      <c r="I1231" s="9">
        <v>5</v>
      </c>
      <c r="J1231" s="9">
        <f t="shared" si="38"/>
        <v>54600</v>
      </c>
      <c r="K1231" s="9">
        <f t="shared" si="39"/>
        <v>51870</v>
      </c>
      <c r="L1231" s="11" t="s">
        <v>187</v>
      </c>
      <c r="M1231" s="11" t="s">
        <v>81</v>
      </c>
      <c r="N1231">
        <v>10</v>
      </c>
      <c r="O1231">
        <v>2024</v>
      </c>
      <c r="P1231" s="29" t="s">
        <v>709</v>
      </c>
      <c r="Q1231" t="s">
        <v>733</v>
      </c>
      <c r="R1231" t="s">
        <v>739</v>
      </c>
    </row>
    <row r="1232" spans="1:18" x14ac:dyDescent="0.25">
      <c r="A1232" s="6">
        <v>1231</v>
      </c>
      <c r="B1232" s="7">
        <v>45400</v>
      </c>
      <c r="C1232" s="8" t="s">
        <v>78</v>
      </c>
      <c r="D1232" s="30" t="s">
        <v>703</v>
      </c>
      <c r="E1232" s="8" t="s">
        <v>79</v>
      </c>
      <c r="F1232" s="8" t="s">
        <v>172</v>
      </c>
      <c r="G1232" s="6">
        <v>23</v>
      </c>
      <c r="H1232" s="25">
        <v>22700</v>
      </c>
      <c r="I1232" s="6">
        <v>5</v>
      </c>
      <c r="J1232" s="6">
        <f t="shared" si="38"/>
        <v>522100</v>
      </c>
      <c r="K1232" s="6">
        <f t="shared" si="39"/>
        <v>495995</v>
      </c>
      <c r="L1232" s="8" t="s">
        <v>76</v>
      </c>
      <c r="M1232" s="8" t="s">
        <v>81</v>
      </c>
      <c r="N1232">
        <v>4</v>
      </c>
      <c r="O1232">
        <v>2024</v>
      </c>
      <c r="P1232" s="29" t="s">
        <v>722</v>
      </c>
      <c r="Q1232" t="s">
        <v>736</v>
      </c>
      <c r="R1232" t="s">
        <v>737</v>
      </c>
    </row>
    <row r="1233" spans="1:18" x14ac:dyDescent="0.25">
      <c r="A1233" s="9">
        <v>1232</v>
      </c>
      <c r="B1233" s="10">
        <v>44929</v>
      </c>
      <c r="C1233" s="11" t="s">
        <v>124</v>
      </c>
      <c r="D1233" s="11" t="s">
        <v>73</v>
      </c>
      <c r="E1233" s="11" t="s">
        <v>74</v>
      </c>
      <c r="F1233" s="11" t="s">
        <v>212</v>
      </c>
      <c r="G1233" s="9">
        <v>29</v>
      </c>
      <c r="H1233" s="26">
        <v>9100</v>
      </c>
      <c r="I1233" s="9">
        <v>0</v>
      </c>
      <c r="J1233" s="9">
        <f t="shared" si="38"/>
        <v>263900</v>
      </c>
      <c r="K1233" s="9">
        <f t="shared" si="39"/>
        <v>263900</v>
      </c>
      <c r="L1233" s="11" t="s">
        <v>76</v>
      </c>
      <c r="M1233" s="11" t="s">
        <v>96</v>
      </c>
      <c r="N1233">
        <v>1</v>
      </c>
      <c r="O1233">
        <v>2023</v>
      </c>
      <c r="P1233" s="29" t="s">
        <v>721</v>
      </c>
      <c r="Q1233" t="s">
        <v>735</v>
      </c>
      <c r="R1233" t="s">
        <v>737</v>
      </c>
    </row>
    <row r="1234" spans="1:18" x14ac:dyDescent="0.25">
      <c r="A1234" s="6">
        <v>1233</v>
      </c>
      <c r="B1234" s="7">
        <v>45433</v>
      </c>
      <c r="C1234" s="8" t="s">
        <v>108</v>
      </c>
      <c r="D1234" s="8" t="s">
        <v>109</v>
      </c>
      <c r="E1234" s="8" t="s">
        <v>84</v>
      </c>
      <c r="F1234" s="8" t="s">
        <v>128</v>
      </c>
      <c r="G1234" s="6">
        <v>42</v>
      </c>
      <c r="H1234" s="25">
        <v>4700</v>
      </c>
      <c r="I1234" s="6">
        <v>15</v>
      </c>
      <c r="J1234" s="6">
        <f t="shared" si="38"/>
        <v>197400</v>
      </c>
      <c r="K1234" s="6">
        <f t="shared" si="39"/>
        <v>167790</v>
      </c>
      <c r="L1234" s="8" t="s">
        <v>76</v>
      </c>
      <c r="M1234" s="8" t="s">
        <v>77</v>
      </c>
      <c r="N1234">
        <v>5</v>
      </c>
      <c r="O1234">
        <v>2024</v>
      </c>
      <c r="P1234" s="29" t="s">
        <v>732</v>
      </c>
      <c r="Q1234" t="s">
        <v>736</v>
      </c>
      <c r="R1234" t="s">
        <v>739</v>
      </c>
    </row>
    <row r="1235" spans="1:18" x14ac:dyDescent="0.25">
      <c r="A1235" s="9">
        <v>1234</v>
      </c>
      <c r="B1235" s="10">
        <v>45171</v>
      </c>
      <c r="C1235" s="11" t="s">
        <v>108</v>
      </c>
      <c r="D1235" s="11" t="s">
        <v>93</v>
      </c>
      <c r="E1235" s="11" t="s">
        <v>111</v>
      </c>
      <c r="F1235" s="11" t="s">
        <v>132</v>
      </c>
      <c r="G1235" s="9">
        <v>46</v>
      </c>
      <c r="H1235" s="26">
        <v>6800</v>
      </c>
      <c r="I1235" s="9">
        <v>0</v>
      </c>
      <c r="J1235" s="9">
        <f t="shared" si="38"/>
        <v>312800</v>
      </c>
      <c r="K1235" s="9">
        <f t="shared" si="39"/>
        <v>312800</v>
      </c>
      <c r="L1235" s="11" t="s">
        <v>76</v>
      </c>
      <c r="M1235" s="31" t="s">
        <v>695</v>
      </c>
      <c r="N1235">
        <v>9</v>
      </c>
      <c r="O1235">
        <v>2023</v>
      </c>
      <c r="P1235" s="29" t="s">
        <v>715</v>
      </c>
      <c r="Q1235" t="s">
        <v>734</v>
      </c>
      <c r="R1235" t="s">
        <v>737</v>
      </c>
    </row>
    <row r="1236" spans="1:18" x14ac:dyDescent="0.25">
      <c r="A1236" s="6">
        <v>1235</v>
      </c>
      <c r="B1236" s="7">
        <v>44943</v>
      </c>
      <c r="C1236" s="8" t="s">
        <v>88</v>
      </c>
      <c r="D1236" s="8" t="s">
        <v>93</v>
      </c>
      <c r="E1236" s="8" t="s">
        <v>79</v>
      </c>
      <c r="F1236" s="8" t="s">
        <v>80</v>
      </c>
      <c r="G1236" s="6">
        <v>5</v>
      </c>
      <c r="H1236" s="25">
        <v>8400</v>
      </c>
      <c r="I1236" s="6">
        <v>10</v>
      </c>
      <c r="J1236" s="6">
        <f t="shared" si="38"/>
        <v>42000</v>
      </c>
      <c r="K1236" s="6">
        <f t="shared" si="39"/>
        <v>37800</v>
      </c>
      <c r="L1236" s="8" t="s">
        <v>76</v>
      </c>
      <c r="M1236" s="8" t="s">
        <v>77</v>
      </c>
      <c r="N1236">
        <v>1</v>
      </c>
      <c r="O1236">
        <v>2023</v>
      </c>
      <c r="P1236" s="29" t="s">
        <v>721</v>
      </c>
      <c r="Q1236" t="s">
        <v>735</v>
      </c>
      <c r="R1236" t="s">
        <v>738</v>
      </c>
    </row>
    <row r="1237" spans="1:18" x14ac:dyDescent="0.25">
      <c r="A1237" s="9">
        <v>1236</v>
      </c>
      <c r="B1237" s="10">
        <v>45006</v>
      </c>
      <c r="C1237" s="11" t="s">
        <v>106</v>
      </c>
      <c r="D1237" s="11" t="s">
        <v>109</v>
      </c>
      <c r="E1237" s="11" t="s">
        <v>74</v>
      </c>
      <c r="F1237" s="11" t="s">
        <v>212</v>
      </c>
      <c r="G1237" s="9">
        <v>44</v>
      </c>
      <c r="H1237" s="26">
        <v>8900</v>
      </c>
      <c r="I1237" s="9">
        <v>0</v>
      </c>
      <c r="J1237" s="9">
        <f t="shared" si="38"/>
        <v>391600</v>
      </c>
      <c r="K1237" s="9">
        <f t="shared" si="39"/>
        <v>391600</v>
      </c>
      <c r="L1237" s="11" t="s">
        <v>76</v>
      </c>
      <c r="M1237" s="11" t="s">
        <v>91</v>
      </c>
      <c r="N1237">
        <v>3</v>
      </c>
      <c r="O1237">
        <v>2023</v>
      </c>
      <c r="P1237" s="29" t="s">
        <v>719</v>
      </c>
      <c r="Q1237" t="s">
        <v>735</v>
      </c>
      <c r="R1237" t="s">
        <v>737</v>
      </c>
    </row>
    <row r="1238" spans="1:18" x14ac:dyDescent="0.25">
      <c r="A1238" s="6">
        <v>1237</v>
      </c>
      <c r="B1238" s="7">
        <v>45073</v>
      </c>
      <c r="C1238" s="8" t="s">
        <v>78</v>
      </c>
      <c r="D1238" s="8" t="s">
        <v>117</v>
      </c>
      <c r="E1238" s="8" t="s">
        <v>102</v>
      </c>
      <c r="F1238" s="8" t="s">
        <v>157</v>
      </c>
      <c r="G1238" s="6">
        <v>27</v>
      </c>
      <c r="H1238" s="25">
        <v>11800</v>
      </c>
      <c r="I1238" s="6">
        <v>5</v>
      </c>
      <c r="J1238" s="6">
        <f t="shared" si="38"/>
        <v>318600</v>
      </c>
      <c r="K1238" s="6">
        <f t="shared" si="39"/>
        <v>302670</v>
      </c>
      <c r="L1238" s="8" t="s">
        <v>107</v>
      </c>
      <c r="M1238" s="8" t="s">
        <v>96</v>
      </c>
      <c r="N1238">
        <v>5</v>
      </c>
      <c r="O1238">
        <v>2023</v>
      </c>
      <c r="P1238" s="29" t="s">
        <v>730</v>
      </c>
      <c r="Q1238" t="s">
        <v>736</v>
      </c>
      <c r="R1238" t="s">
        <v>737</v>
      </c>
    </row>
    <row r="1239" spans="1:18" x14ac:dyDescent="0.25">
      <c r="A1239" s="9">
        <v>1238</v>
      </c>
      <c r="B1239" s="10">
        <v>45228</v>
      </c>
      <c r="C1239" s="11" t="s">
        <v>124</v>
      </c>
      <c r="D1239" s="11" t="s">
        <v>73</v>
      </c>
      <c r="E1239" s="11" t="s">
        <v>84</v>
      </c>
      <c r="F1239" s="11" t="s">
        <v>200</v>
      </c>
      <c r="G1239" s="9">
        <v>10</v>
      </c>
      <c r="H1239" s="26">
        <v>2900</v>
      </c>
      <c r="I1239" s="9">
        <v>0</v>
      </c>
      <c r="J1239" s="9">
        <f t="shared" si="38"/>
        <v>29000</v>
      </c>
      <c r="K1239" s="9">
        <f t="shared" si="39"/>
        <v>29000</v>
      </c>
      <c r="L1239" s="11" t="s">
        <v>107</v>
      </c>
      <c r="M1239" s="11" t="s">
        <v>77</v>
      </c>
      <c r="N1239">
        <v>10</v>
      </c>
      <c r="O1239">
        <v>2023</v>
      </c>
      <c r="P1239" s="29" t="s">
        <v>726</v>
      </c>
      <c r="Q1239" t="s">
        <v>733</v>
      </c>
      <c r="R1239" t="s">
        <v>738</v>
      </c>
    </row>
    <row r="1240" spans="1:18" x14ac:dyDescent="0.25">
      <c r="A1240" s="6">
        <v>1239</v>
      </c>
      <c r="B1240" s="7">
        <v>45550</v>
      </c>
      <c r="C1240" s="8" t="s">
        <v>106</v>
      </c>
      <c r="D1240" s="8" t="s">
        <v>117</v>
      </c>
      <c r="E1240" s="8" t="s">
        <v>102</v>
      </c>
      <c r="F1240" s="8" t="s">
        <v>157</v>
      </c>
      <c r="G1240" s="6">
        <v>25</v>
      </c>
      <c r="H1240" s="25">
        <v>13600</v>
      </c>
      <c r="I1240" s="6">
        <v>15</v>
      </c>
      <c r="J1240" s="6">
        <f t="shared" si="38"/>
        <v>340000</v>
      </c>
      <c r="K1240" s="6">
        <f t="shared" si="39"/>
        <v>289000</v>
      </c>
      <c r="L1240" s="8" t="s">
        <v>187</v>
      </c>
      <c r="M1240" s="8" t="s">
        <v>77</v>
      </c>
      <c r="N1240">
        <v>9</v>
      </c>
      <c r="O1240">
        <v>2024</v>
      </c>
      <c r="P1240" s="29" t="s">
        <v>731</v>
      </c>
      <c r="Q1240" t="s">
        <v>734</v>
      </c>
      <c r="R1240" t="s">
        <v>737</v>
      </c>
    </row>
    <row r="1241" spans="1:18" x14ac:dyDescent="0.25">
      <c r="A1241" s="9">
        <v>1240</v>
      </c>
      <c r="B1241" s="10">
        <v>44991</v>
      </c>
      <c r="C1241" s="11" t="s">
        <v>114</v>
      </c>
      <c r="D1241" s="11" t="s">
        <v>73</v>
      </c>
      <c r="E1241" s="11" t="s">
        <v>79</v>
      </c>
      <c r="F1241" s="11" t="s">
        <v>80</v>
      </c>
      <c r="G1241" s="9">
        <v>37</v>
      </c>
      <c r="H1241" s="26">
        <v>8900</v>
      </c>
      <c r="I1241" s="9">
        <v>10</v>
      </c>
      <c r="J1241" s="9">
        <f t="shared" si="38"/>
        <v>329300</v>
      </c>
      <c r="K1241" s="9">
        <f t="shared" si="39"/>
        <v>296370</v>
      </c>
      <c r="L1241" s="11" t="s">
        <v>76</v>
      </c>
      <c r="M1241" s="11" t="s">
        <v>91</v>
      </c>
      <c r="N1241">
        <v>3</v>
      </c>
      <c r="O1241">
        <v>2023</v>
      </c>
      <c r="P1241" s="29" t="s">
        <v>719</v>
      </c>
      <c r="Q1241" t="s">
        <v>735</v>
      </c>
      <c r="R1241" t="s">
        <v>737</v>
      </c>
    </row>
    <row r="1242" spans="1:18" x14ac:dyDescent="0.25">
      <c r="A1242" s="6">
        <v>1241</v>
      </c>
      <c r="B1242" s="7">
        <v>45051</v>
      </c>
      <c r="C1242" s="8" t="s">
        <v>82</v>
      </c>
      <c r="D1242" s="8" t="s">
        <v>73</v>
      </c>
      <c r="E1242" s="8" t="s">
        <v>102</v>
      </c>
      <c r="F1242" s="8" t="s">
        <v>197</v>
      </c>
      <c r="G1242" s="6">
        <v>34</v>
      </c>
      <c r="H1242" s="25">
        <v>4000</v>
      </c>
      <c r="I1242" s="6">
        <v>0</v>
      </c>
      <c r="J1242" s="6">
        <f t="shared" si="38"/>
        <v>136000</v>
      </c>
      <c r="K1242" s="6">
        <f t="shared" si="39"/>
        <v>136000</v>
      </c>
      <c r="L1242" s="8" t="s">
        <v>76</v>
      </c>
      <c r="M1242" s="8" t="s">
        <v>96</v>
      </c>
      <c r="N1242">
        <v>5</v>
      </c>
      <c r="O1242">
        <v>2023</v>
      </c>
      <c r="P1242" s="29" t="s">
        <v>730</v>
      </c>
      <c r="Q1242" t="s">
        <v>736</v>
      </c>
      <c r="R1242" t="s">
        <v>739</v>
      </c>
    </row>
    <row r="1243" spans="1:18" x14ac:dyDescent="0.25">
      <c r="A1243" s="9">
        <v>1242</v>
      </c>
      <c r="B1243" s="10">
        <v>45634</v>
      </c>
      <c r="C1243" s="11" t="s">
        <v>101</v>
      </c>
      <c r="D1243" s="11" t="s">
        <v>109</v>
      </c>
      <c r="E1243" s="11" t="s">
        <v>74</v>
      </c>
      <c r="F1243" s="11" t="s">
        <v>75</v>
      </c>
      <c r="G1243" s="12">
        <v>24</v>
      </c>
      <c r="H1243" s="26">
        <v>24200</v>
      </c>
      <c r="I1243" s="9">
        <v>15</v>
      </c>
      <c r="J1243" s="9">
        <f t="shared" si="38"/>
        <v>580800</v>
      </c>
      <c r="K1243" s="9">
        <f t="shared" si="39"/>
        <v>493680</v>
      </c>
      <c r="L1243" s="11" t="s">
        <v>76</v>
      </c>
      <c r="M1243" s="11" t="s">
        <v>96</v>
      </c>
      <c r="N1243">
        <v>12</v>
      </c>
      <c r="O1243">
        <v>2024</v>
      </c>
      <c r="P1243" s="29" t="s">
        <v>728</v>
      </c>
      <c r="Q1243" t="s">
        <v>733</v>
      </c>
      <c r="R1243" t="s">
        <v>737</v>
      </c>
    </row>
    <row r="1244" spans="1:18" x14ac:dyDescent="0.25">
      <c r="A1244" s="6">
        <v>1243</v>
      </c>
      <c r="B1244" s="7">
        <v>45045</v>
      </c>
      <c r="C1244" s="8" t="s">
        <v>106</v>
      </c>
      <c r="D1244" s="30" t="s">
        <v>703</v>
      </c>
      <c r="E1244" s="8" t="s">
        <v>111</v>
      </c>
      <c r="F1244" s="8" t="s">
        <v>132</v>
      </c>
      <c r="G1244" s="6">
        <v>36</v>
      </c>
      <c r="H1244" s="25">
        <v>6900</v>
      </c>
      <c r="I1244" s="6">
        <v>15</v>
      </c>
      <c r="J1244" s="6">
        <f t="shared" si="38"/>
        <v>248400</v>
      </c>
      <c r="K1244" s="6">
        <f t="shared" si="39"/>
        <v>211140</v>
      </c>
      <c r="L1244" s="8" t="s">
        <v>76</v>
      </c>
      <c r="M1244" s="8" t="s">
        <v>96</v>
      </c>
      <c r="N1244">
        <v>4</v>
      </c>
      <c r="O1244">
        <v>2023</v>
      </c>
      <c r="P1244" s="29" t="s">
        <v>716</v>
      </c>
      <c r="Q1244" t="s">
        <v>736</v>
      </c>
      <c r="R1244" t="s">
        <v>737</v>
      </c>
    </row>
    <row r="1245" spans="1:18" x14ac:dyDescent="0.25">
      <c r="A1245" s="9">
        <v>1244</v>
      </c>
      <c r="B1245" s="10">
        <v>45570</v>
      </c>
      <c r="C1245" s="11" t="s">
        <v>124</v>
      </c>
      <c r="D1245" s="11" t="s">
        <v>109</v>
      </c>
      <c r="E1245" s="11" t="s">
        <v>111</v>
      </c>
      <c r="F1245" s="11" t="s">
        <v>165</v>
      </c>
      <c r="G1245" s="9">
        <v>9</v>
      </c>
      <c r="H1245" s="26">
        <v>17200</v>
      </c>
      <c r="I1245" s="9">
        <v>20</v>
      </c>
      <c r="J1245" s="9">
        <f t="shared" si="38"/>
        <v>154800</v>
      </c>
      <c r="K1245" s="9">
        <f t="shared" si="39"/>
        <v>123840</v>
      </c>
      <c r="L1245" s="11" t="s">
        <v>107</v>
      </c>
      <c r="M1245" s="11" t="s">
        <v>81</v>
      </c>
      <c r="N1245">
        <v>10</v>
      </c>
      <c r="O1245">
        <v>2024</v>
      </c>
      <c r="P1245" s="29" t="s">
        <v>709</v>
      </c>
      <c r="Q1245" t="s">
        <v>733</v>
      </c>
      <c r="R1245" t="s">
        <v>739</v>
      </c>
    </row>
    <row r="1246" spans="1:18" x14ac:dyDescent="0.25">
      <c r="A1246" s="6">
        <v>1245</v>
      </c>
      <c r="B1246" s="7">
        <v>45344</v>
      </c>
      <c r="C1246" s="8" t="s">
        <v>124</v>
      </c>
      <c r="D1246" s="8" t="s">
        <v>109</v>
      </c>
      <c r="E1246" s="8" t="s">
        <v>102</v>
      </c>
      <c r="F1246" s="8" t="s">
        <v>110</v>
      </c>
      <c r="G1246" s="6">
        <v>22</v>
      </c>
      <c r="H1246" s="25">
        <v>24200</v>
      </c>
      <c r="I1246" s="6">
        <v>5</v>
      </c>
      <c r="J1246" s="6">
        <f t="shared" si="38"/>
        <v>532400</v>
      </c>
      <c r="K1246" s="6">
        <f t="shared" si="39"/>
        <v>505780</v>
      </c>
      <c r="L1246" s="8" t="s">
        <v>76</v>
      </c>
      <c r="M1246" s="8" t="s">
        <v>77</v>
      </c>
      <c r="N1246">
        <v>2</v>
      </c>
      <c r="O1246">
        <v>2024</v>
      </c>
      <c r="P1246" s="29" t="s">
        <v>729</v>
      </c>
      <c r="Q1246" t="s">
        <v>735</v>
      </c>
      <c r="R1246" t="s">
        <v>737</v>
      </c>
    </row>
    <row r="1247" spans="1:18" x14ac:dyDescent="0.25">
      <c r="A1247" s="9">
        <v>1246</v>
      </c>
      <c r="B1247" s="10">
        <v>45476</v>
      </c>
      <c r="C1247" s="11" t="s">
        <v>82</v>
      </c>
      <c r="D1247" s="11" t="s">
        <v>109</v>
      </c>
      <c r="E1247" s="11" t="s">
        <v>102</v>
      </c>
      <c r="F1247" s="11" t="s">
        <v>197</v>
      </c>
      <c r="G1247" s="9">
        <v>50</v>
      </c>
      <c r="H1247" s="26">
        <v>4000</v>
      </c>
      <c r="I1247" s="9">
        <v>5</v>
      </c>
      <c r="J1247" s="9">
        <f t="shared" si="38"/>
        <v>200000</v>
      </c>
      <c r="K1247" s="9">
        <f t="shared" si="39"/>
        <v>190000</v>
      </c>
      <c r="L1247" s="11" t="s">
        <v>76</v>
      </c>
      <c r="M1247" s="11" t="s">
        <v>81</v>
      </c>
      <c r="N1247">
        <v>7</v>
      </c>
      <c r="O1247">
        <v>2024</v>
      </c>
      <c r="P1247" s="29" t="s">
        <v>712</v>
      </c>
      <c r="Q1247" t="s">
        <v>734</v>
      </c>
      <c r="R1247" t="s">
        <v>739</v>
      </c>
    </row>
    <row r="1248" spans="1:18" x14ac:dyDescent="0.25">
      <c r="A1248" s="6">
        <v>1247</v>
      </c>
      <c r="B1248" s="7">
        <v>44942</v>
      </c>
      <c r="C1248" s="8" t="s">
        <v>108</v>
      </c>
      <c r="D1248" s="8" t="s">
        <v>73</v>
      </c>
      <c r="E1248" s="8" t="s">
        <v>111</v>
      </c>
      <c r="F1248" s="8" t="s">
        <v>135</v>
      </c>
      <c r="G1248" s="6">
        <v>46</v>
      </c>
      <c r="H1248" s="25">
        <v>125500</v>
      </c>
      <c r="I1248" s="6">
        <v>0</v>
      </c>
      <c r="J1248" s="6">
        <f t="shared" si="38"/>
        <v>5773000</v>
      </c>
      <c r="K1248" s="6">
        <f t="shared" si="39"/>
        <v>5773000</v>
      </c>
      <c r="L1248" s="8" t="s">
        <v>123</v>
      </c>
      <c r="M1248" s="8" t="s">
        <v>77</v>
      </c>
      <c r="N1248">
        <v>1</v>
      </c>
      <c r="O1248">
        <v>2023</v>
      </c>
      <c r="P1248" s="29" t="s">
        <v>721</v>
      </c>
      <c r="Q1248" t="s">
        <v>735</v>
      </c>
      <c r="R1248" t="s">
        <v>737</v>
      </c>
    </row>
    <row r="1249" spans="1:18" x14ac:dyDescent="0.25">
      <c r="A1249" s="9">
        <v>1248</v>
      </c>
      <c r="B1249" s="10">
        <v>45018</v>
      </c>
      <c r="C1249" s="11" t="s">
        <v>114</v>
      </c>
      <c r="D1249" s="11" t="s">
        <v>73</v>
      </c>
      <c r="E1249" s="11" t="s">
        <v>84</v>
      </c>
      <c r="F1249" s="11" t="s">
        <v>150</v>
      </c>
      <c r="G1249" s="9">
        <v>34</v>
      </c>
      <c r="H1249" s="26">
        <v>5100</v>
      </c>
      <c r="I1249" s="9">
        <v>0</v>
      </c>
      <c r="J1249" s="9">
        <f t="shared" si="38"/>
        <v>173400</v>
      </c>
      <c r="K1249" s="9">
        <f t="shared" si="39"/>
        <v>173400</v>
      </c>
      <c r="L1249" s="11" t="s">
        <v>107</v>
      </c>
      <c r="M1249" s="11" t="s">
        <v>91</v>
      </c>
      <c r="N1249">
        <v>4</v>
      </c>
      <c r="O1249">
        <v>2023</v>
      </c>
      <c r="P1249" s="29" t="s">
        <v>716</v>
      </c>
      <c r="Q1249" t="s">
        <v>736</v>
      </c>
      <c r="R1249" t="s">
        <v>739</v>
      </c>
    </row>
    <row r="1250" spans="1:18" x14ac:dyDescent="0.25">
      <c r="A1250" s="6">
        <v>1249</v>
      </c>
      <c r="B1250" s="7">
        <v>45235</v>
      </c>
      <c r="C1250" s="8" t="s">
        <v>114</v>
      </c>
      <c r="D1250" s="8" t="s">
        <v>93</v>
      </c>
      <c r="E1250" s="8" t="s">
        <v>84</v>
      </c>
      <c r="F1250" s="8" t="s">
        <v>134</v>
      </c>
      <c r="G1250" s="6">
        <v>22</v>
      </c>
      <c r="H1250" s="25">
        <v>8900</v>
      </c>
      <c r="I1250" s="6">
        <v>15</v>
      </c>
      <c r="J1250" s="6">
        <f t="shared" si="38"/>
        <v>195800</v>
      </c>
      <c r="K1250" s="6">
        <f t="shared" si="39"/>
        <v>166430</v>
      </c>
      <c r="L1250" s="8" t="s">
        <v>76</v>
      </c>
      <c r="M1250" s="8" t="s">
        <v>77</v>
      </c>
      <c r="N1250">
        <v>11</v>
      </c>
      <c r="O1250">
        <v>2023</v>
      </c>
      <c r="P1250" s="29" t="s">
        <v>718</v>
      </c>
      <c r="Q1250" t="s">
        <v>733</v>
      </c>
      <c r="R1250" t="s">
        <v>739</v>
      </c>
    </row>
    <row r="1251" spans="1:18" x14ac:dyDescent="0.25">
      <c r="A1251" s="9">
        <v>1250</v>
      </c>
      <c r="B1251" s="10">
        <v>44973</v>
      </c>
      <c r="C1251" s="11" t="s">
        <v>97</v>
      </c>
      <c r="D1251" s="11" t="s">
        <v>117</v>
      </c>
      <c r="E1251" s="11" t="s">
        <v>111</v>
      </c>
      <c r="F1251" s="11" t="s">
        <v>165</v>
      </c>
      <c r="G1251" s="9">
        <v>48</v>
      </c>
      <c r="H1251" s="26">
        <v>19000</v>
      </c>
      <c r="I1251" s="9">
        <v>20</v>
      </c>
      <c r="J1251" s="9">
        <f t="shared" si="38"/>
        <v>912000</v>
      </c>
      <c r="K1251" s="9">
        <f t="shared" si="39"/>
        <v>729600</v>
      </c>
      <c r="L1251" s="11" t="s">
        <v>187</v>
      </c>
      <c r="M1251" s="11" t="s">
        <v>96</v>
      </c>
      <c r="N1251">
        <v>2</v>
      </c>
      <c r="O1251">
        <v>2023</v>
      </c>
      <c r="P1251" s="29" t="s">
        <v>717</v>
      </c>
      <c r="Q1251" t="s">
        <v>735</v>
      </c>
      <c r="R1251" t="s">
        <v>737</v>
      </c>
    </row>
    <row r="1252" spans="1:18" x14ac:dyDescent="0.25">
      <c r="A1252" s="6">
        <v>1251</v>
      </c>
      <c r="B1252" s="7">
        <v>45356</v>
      </c>
      <c r="C1252" s="8" t="s">
        <v>108</v>
      </c>
      <c r="D1252" s="8" t="s">
        <v>109</v>
      </c>
      <c r="E1252" s="8" t="s">
        <v>102</v>
      </c>
      <c r="F1252" s="8" t="s">
        <v>137</v>
      </c>
      <c r="G1252" s="6">
        <v>1</v>
      </c>
      <c r="H1252" s="25">
        <v>2100</v>
      </c>
      <c r="I1252" s="6">
        <v>15</v>
      </c>
      <c r="J1252" s="6">
        <f t="shared" si="38"/>
        <v>2100</v>
      </c>
      <c r="K1252" s="6">
        <f t="shared" si="39"/>
        <v>1785</v>
      </c>
      <c r="L1252" s="8" t="s">
        <v>76</v>
      </c>
      <c r="M1252" s="8" t="s">
        <v>96</v>
      </c>
      <c r="N1252">
        <v>3</v>
      </c>
      <c r="O1252">
        <v>2024</v>
      </c>
      <c r="P1252" s="29" t="s">
        <v>711</v>
      </c>
      <c r="Q1252" t="s">
        <v>735</v>
      </c>
      <c r="R1252" t="s">
        <v>738</v>
      </c>
    </row>
    <row r="1253" spans="1:18" x14ac:dyDescent="0.25">
      <c r="A1253" s="9">
        <v>1252</v>
      </c>
      <c r="B1253" s="10">
        <v>45591</v>
      </c>
      <c r="C1253" s="11" t="s">
        <v>119</v>
      </c>
      <c r="D1253" s="11" t="s">
        <v>83</v>
      </c>
      <c r="E1253" s="11" t="s">
        <v>74</v>
      </c>
      <c r="F1253" s="11" t="s">
        <v>99</v>
      </c>
      <c r="G1253" s="9">
        <v>47</v>
      </c>
      <c r="H1253" s="26">
        <v>3300</v>
      </c>
      <c r="I1253" s="9">
        <v>0</v>
      </c>
      <c r="J1253" s="9">
        <f t="shared" si="38"/>
        <v>155100</v>
      </c>
      <c r="K1253" s="9">
        <f t="shared" si="39"/>
        <v>155100</v>
      </c>
      <c r="L1253" s="11" t="s">
        <v>76</v>
      </c>
      <c r="M1253" s="11" t="s">
        <v>77</v>
      </c>
      <c r="N1253">
        <v>10</v>
      </c>
      <c r="O1253">
        <v>2024</v>
      </c>
      <c r="P1253" s="29" t="s">
        <v>709</v>
      </c>
      <c r="Q1253" t="s">
        <v>733</v>
      </c>
      <c r="R1253" t="s">
        <v>739</v>
      </c>
    </row>
    <row r="1254" spans="1:18" x14ac:dyDescent="0.25">
      <c r="A1254" s="6">
        <v>1253</v>
      </c>
      <c r="B1254" s="7">
        <v>44937</v>
      </c>
      <c r="C1254" s="8" t="s">
        <v>119</v>
      </c>
      <c r="D1254" s="8" t="s">
        <v>117</v>
      </c>
      <c r="E1254" s="8" t="s">
        <v>79</v>
      </c>
      <c r="F1254" s="8" t="s">
        <v>115</v>
      </c>
      <c r="G1254" s="6">
        <v>25</v>
      </c>
      <c r="H1254" s="25">
        <v>8700</v>
      </c>
      <c r="I1254" s="6">
        <v>0</v>
      </c>
      <c r="J1254" s="6">
        <f t="shared" si="38"/>
        <v>217500</v>
      </c>
      <c r="K1254" s="6">
        <f t="shared" si="39"/>
        <v>217500</v>
      </c>
      <c r="L1254" s="8" t="s">
        <v>76</v>
      </c>
      <c r="M1254" s="8" t="s">
        <v>81</v>
      </c>
      <c r="N1254">
        <v>1</v>
      </c>
      <c r="O1254">
        <v>2023</v>
      </c>
      <c r="P1254" s="29" t="s">
        <v>721</v>
      </c>
      <c r="Q1254" t="s">
        <v>735</v>
      </c>
      <c r="R1254" t="s">
        <v>737</v>
      </c>
    </row>
    <row r="1255" spans="1:18" x14ac:dyDescent="0.25">
      <c r="A1255" s="9">
        <v>1254</v>
      </c>
      <c r="B1255" s="10">
        <v>45262</v>
      </c>
      <c r="C1255" s="11" t="s">
        <v>106</v>
      </c>
      <c r="D1255" s="11" t="s">
        <v>83</v>
      </c>
      <c r="E1255" s="11" t="s">
        <v>102</v>
      </c>
      <c r="F1255" s="11" t="s">
        <v>110</v>
      </c>
      <c r="G1255" s="9">
        <v>40</v>
      </c>
      <c r="H1255" s="26">
        <v>23000</v>
      </c>
      <c r="I1255" s="9">
        <v>0</v>
      </c>
      <c r="J1255" s="9">
        <f t="shared" si="38"/>
        <v>920000</v>
      </c>
      <c r="K1255" s="9">
        <f t="shared" si="39"/>
        <v>920000</v>
      </c>
      <c r="L1255" s="11" t="s">
        <v>76</v>
      </c>
      <c r="M1255" s="11" t="s">
        <v>96</v>
      </c>
      <c r="N1255">
        <v>12</v>
      </c>
      <c r="O1255">
        <v>2023</v>
      </c>
      <c r="P1255" s="29" t="s">
        <v>725</v>
      </c>
      <c r="Q1255" t="s">
        <v>733</v>
      </c>
      <c r="R1255" t="s">
        <v>737</v>
      </c>
    </row>
    <row r="1256" spans="1:18" x14ac:dyDescent="0.25">
      <c r="A1256" s="6">
        <v>1255</v>
      </c>
      <c r="B1256" s="7">
        <v>45096</v>
      </c>
      <c r="C1256" s="8" t="s">
        <v>97</v>
      </c>
      <c r="D1256" s="8" t="s">
        <v>117</v>
      </c>
      <c r="E1256" s="8" t="s">
        <v>74</v>
      </c>
      <c r="F1256" s="8" t="s">
        <v>99</v>
      </c>
      <c r="G1256" s="6">
        <v>11</v>
      </c>
      <c r="H1256" s="25">
        <v>3500</v>
      </c>
      <c r="I1256" s="6">
        <v>10</v>
      </c>
      <c r="J1256" s="6">
        <f t="shared" si="38"/>
        <v>38500</v>
      </c>
      <c r="K1256" s="6">
        <f t="shared" si="39"/>
        <v>34650</v>
      </c>
      <c r="L1256" s="8" t="s">
        <v>76</v>
      </c>
      <c r="M1256" s="8" t="s">
        <v>96</v>
      </c>
      <c r="N1256">
        <v>6</v>
      </c>
      <c r="O1256">
        <v>2023</v>
      </c>
      <c r="P1256" s="29" t="s">
        <v>723</v>
      </c>
      <c r="Q1256" t="s">
        <v>736</v>
      </c>
      <c r="R1256" t="s">
        <v>738</v>
      </c>
    </row>
    <row r="1257" spans="1:18" x14ac:dyDescent="0.25">
      <c r="A1257" s="9">
        <v>1256</v>
      </c>
      <c r="B1257" s="10">
        <v>45035</v>
      </c>
      <c r="C1257" s="11" t="s">
        <v>106</v>
      </c>
      <c r="D1257" s="11" t="s">
        <v>117</v>
      </c>
      <c r="E1257" s="11" t="s">
        <v>84</v>
      </c>
      <c r="F1257" s="11" t="s">
        <v>150</v>
      </c>
      <c r="G1257" s="9">
        <v>33</v>
      </c>
      <c r="H1257" s="26">
        <v>5200</v>
      </c>
      <c r="I1257" s="9">
        <v>10</v>
      </c>
      <c r="J1257" s="9">
        <f t="shared" si="38"/>
        <v>171600</v>
      </c>
      <c r="K1257" s="9">
        <f t="shared" si="39"/>
        <v>154440</v>
      </c>
      <c r="L1257" s="11" t="s">
        <v>187</v>
      </c>
      <c r="M1257" s="11" t="s">
        <v>77</v>
      </c>
      <c r="N1257">
        <v>4</v>
      </c>
      <c r="O1257">
        <v>2023</v>
      </c>
      <c r="P1257" s="29" t="s">
        <v>716</v>
      </c>
      <c r="Q1257" t="s">
        <v>736</v>
      </c>
      <c r="R1257" t="s">
        <v>739</v>
      </c>
    </row>
    <row r="1258" spans="1:18" x14ac:dyDescent="0.25">
      <c r="A1258" s="6">
        <v>1257</v>
      </c>
      <c r="B1258" s="7">
        <v>45201</v>
      </c>
      <c r="C1258" s="8" t="s">
        <v>82</v>
      </c>
      <c r="D1258" s="8" t="s">
        <v>93</v>
      </c>
      <c r="E1258" s="8" t="s">
        <v>84</v>
      </c>
      <c r="F1258" s="8" t="s">
        <v>206</v>
      </c>
      <c r="G1258" s="6">
        <v>2</v>
      </c>
      <c r="H1258" s="25">
        <v>14300</v>
      </c>
      <c r="I1258" s="6">
        <v>10</v>
      </c>
      <c r="J1258" s="6">
        <f t="shared" si="38"/>
        <v>28600</v>
      </c>
      <c r="K1258" s="6">
        <f t="shared" si="39"/>
        <v>25740</v>
      </c>
      <c r="L1258" s="8" t="s">
        <v>76</v>
      </c>
      <c r="M1258" s="8" t="s">
        <v>96</v>
      </c>
      <c r="N1258">
        <v>10</v>
      </c>
      <c r="O1258">
        <v>2023</v>
      </c>
      <c r="P1258" s="29" t="s">
        <v>726</v>
      </c>
      <c r="Q1258" t="s">
        <v>733</v>
      </c>
      <c r="R1258" t="s">
        <v>738</v>
      </c>
    </row>
    <row r="1259" spans="1:18" x14ac:dyDescent="0.25">
      <c r="A1259" s="9">
        <v>1258</v>
      </c>
      <c r="B1259" s="10">
        <v>45629</v>
      </c>
      <c r="C1259" s="11" t="s">
        <v>119</v>
      </c>
      <c r="D1259" s="11" t="s">
        <v>93</v>
      </c>
      <c r="E1259" s="11" t="s">
        <v>84</v>
      </c>
      <c r="F1259" s="11" t="s">
        <v>85</v>
      </c>
      <c r="G1259" s="9">
        <v>8</v>
      </c>
      <c r="H1259" s="26">
        <v>5300</v>
      </c>
      <c r="I1259" s="9">
        <v>5</v>
      </c>
      <c r="J1259" s="9">
        <f t="shared" si="38"/>
        <v>42400</v>
      </c>
      <c r="K1259" s="9">
        <f t="shared" si="39"/>
        <v>40280</v>
      </c>
      <c r="L1259" s="11" t="s">
        <v>187</v>
      </c>
      <c r="M1259" s="11" t="s">
        <v>77</v>
      </c>
      <c r="N1259">
        <v>12</v>
      </c>
      <c r="O1259">
        <v>2024</v>
      </c>
      <c r="P1259" s="29" t="s">
        <v>728</v>
      </c>
      <c r="Q1259" t="s">
        <v>733</v>
      </c>
      <c r="R1259" t="s">
        <v>738</v>
      </c>
    </row>
    <row r="1260" spans="1:18" x14ac:dyDescent="0.25">
      <c r="A1260" s="6">
        <v>1259</v>
      </c>
      <c r="B1260" s="7">
        <v>45369</v>
      </c>
      <c r="C1260" s="8" t="s">
        <v>119</v>
      </c>
      <c r="D1260" s="8" t="s">
        <v>117</v>
      </c>
      <c r="E1260" s="8" t="s">
        <v>79</v>
      </c>
      <c r="F1260" s="8" t="s">
        <v>122</v>
      </c>
      <c r="G1260" s="6">
        <v>47</v>
      </c>
      <c r="H1260" s="25">
        <v>20700</v>
      </c>
      <c r="I1260" s="6">
        <v>20</v>
      </c>
      <c r="J1260" s="6">
        <f t="shared" si="38"/>
        <v>972900</v>
      </c>
      <c r="K1260" s="6">
        <f t="shared" si="39"/>
        <v>778320</v>
      </c>
      <c r="L1260" s="8" t="s">
        <v>187</v>
      </c>
      <c r="M1260" s="8" t="s">
        <v>96</v>
      </c>
      <c r="N1260">
        <v>3</v>
      </c>
      <c r="O1260">
        <v>2024</v>
      </c>
      <c r="P1260" s="29" t="s">
        <v>711</v>
      </c>
      <c r="Q1260" t="s">
        <v>735</v>
      </c>
      <c r="R1260" t="s">
        <v>737</v>
      </c>
    </row>
    <row r="1261" spans="1:18" x14ac:dyDescent="0.25">
      <c r="A1261" s="9">
        <v>1260</v>
      </c>
      <c r="B1261" s="10">
        <v>45007</v>
      </c>
      <c r="C1261" s="11" t="s">
        <v>106</v>
      </c>
      <c r="D1261" s="11" t="s">
        <v>73</v>
      </c>
      <c r="E1261" s="11" t="s">
        <v>74</v>
      </c>
      <c r="F1261" s="11" t="s">
        <v>142</v>
      </c>
      <c r="G1261" s="9">
        <v>18</v>
      </c>
      <c r="H1261" s="26">
        <v>12300</v>
      </c>
      <c r="I1261" s="9">
        <v>15</v>
      </c>
      <c r="J1261" s="9">
        <f t="shared" si="38"/>
        <v>221400</v>
      </c>
      <c r="K1261" s="9">
        <f t="shared" si="39"/>
        <v>188190</v>
      </c>
      <c r="L1261" s="11" t="s">
        <v>76</v>
      </c>
      <c r="M1261" s="11" t="s">
        <v>77</v>
      </c>
      <c r="N1261">
        <v>3</v>
      </c>
      <c r="O1261">
        <v>2023</v>
      </c>
      <c r="P1261" s="29" t="s">
        <v>719</v>
      </c>
      <c r="Q1261" t="s">
        <v>735</v>
      </c>
      <c r="R1261" t="s">
        <v>739</v>
      </c>
    </row>
    <row r="1262" spans="1:18" x14ac:dyDescent="0.25">
      <c r="A1262" s="6">
        <v>1261</v>
      </c>
      <c r="B1262" s="7">
        <v>45424</v>
      </c>
      <c r="C1262" s="8" t="s">
        <v>88</v>
      </c>
      <c r="D1262" s="8" t="s">
        <v>73</v>
      </c>
      <c r="E1262" s="8" t="s">
        <v>111</v>
      </c>
      <c r="F1262" s="8" t="s">
        <v>112</v>
      </c>
      <c r="G1262" s="6">
        <v>34</v>
      </c>
      <c r="H1262" s="25">
        <v>73700</v>
      </c>
      <c r="I1262" s="6">
        <v>15</v>
      </c>
      <c r="J1262" s="6">
        <f t="shared" si="38"/>
        <v>2505800</v>
      </c>
      <c r="K1262" s="6">
        <f t="shared" si="39"/>
        <v>2129930</v>
      </c>
      <c r="L1262" s="8" t="s">
        <v>76</v>
      </c>
      <c r="M1262" s="8" t="s">
        <v>77</v>
      </c>
      <c r="N1262">
        <v>5</v>
      </c>
      <c r="O1262">
        <v>2024</v>
      </c>
      <c r="P1262" s="29" t="s">
        <v>732</v>
      </c>
      <c r="Q1262" t="s">
        <v>736</v>
      </c>
      <c r="R1262" t="s">
        <v>737</v>
      </c>
    </row>
    <row r="1263" spans="1:18" x14ac:dyDescent="0.25">
      <c r="A1263" s="9">
        <v>1262</v>
      </c>
      <c r="B1263" s="10">
        <v>45392</v>
      </c>
      <c r="C1263" s="11" t="s">
        <v>78</v>
      </c>
      <c r="D1263" s="11" t="s">
        <v>109</v>
      </c>
      <c r="E1263" s="11" t="s">
        <v>84</v>
      </c>
      <c r="F1263" s="11" t="s">
        <v>148</v>
      </c>
      <c r="G1263" s="9">
        <v>15</v>
      </c>
      <c r="H1263" s="26">
        <v>5400</v>
      </c>
      <c r="I1263" s="9">
        <v>5</v>
      </c>
      <c r="J1263" s="9">
        <f t="shared" si="38"/>
        <v>81000</v>
      </c>
      <c r="K1263" s="9">
        <f t="shared" si="39"/>
        <v>76950</v>
      </c>
      <c r="L1263" s="11" t="s">
        <v>187</v>
      </c>
      <c r="M1263" s="11" t="s">
        <v>96</v>
      </c>
      <c r="N1263">
        <v>4</v>
      </c>
      <c r="O1263">
        <v>2024</v>
      </c>
      <c r="P1263" s="29" t="s">
        <v>722</v>
      </c>
      <c r="Q1263" t="s">
        <v>736</v>
      </c>
      <c r="R1263" t="s">
        <v>739</v>
      </c>
    </row>
    <row r="1264" spans="1:18" x14ac:dyDescent="0.25">
      <c r="A1264" s="6">
        <v>1263</v>
      </c>
      <c r="B1264" s="7">
        <v>45052</v>
      </c>
      <c r="C1264" s="8" t="s">
        <v>119</v>
      </c>
      <c r="D1264" s="8" t="s">
        <v>109</v>
      </c>
      <c r="E1264" s="8" t="s">
        <v>111</v>
      </c>
      <c r="F1264" s="8" t="s">
        <v>135</v>
      </c>
      <c r="G1264" s="6">
        <v>41</v>
      </c>
      <c r="H1264" s="25">
        <v>107300</v>
      </c>
      <c r="I1264" s="6">
        <v>0</v>
      </c>
      <c r="J1264" s="6">
        <f t="shared" si="38"/>
        <v>4399300</v>
      </c>
      <c r="K1264" s="6">
        <f t="shared" si="39"/>
        <v>4399300</v>
      </c>
      <c r="L1264" s="8" t="s">
        <v>107</v>
      </c>
      <c r="M1264" s="8" t="s">
        <v>81</v>
      </c>
      <c r="N1264">
        <v>5</v>
      </c>
      <c r="O1264">
        <v>2023</v>
      </c>
      <c r="P1264" s="29" t="s">
        <v>730</v>
      </c>
      <c r="Q1264" t="s">
        <v>736</v>
      </c>
      <c r="R1264" t="s">
        <v>737</v>
      </c>
    </row>
    <row r="1265" spans="1:18" x14ac:dyDescent="0.25">
      <c r="A1265" s="9">
        <v>1264</v>
      </c>
      <c r="B1265" s="10">
        <v>45371</v>
      </c>
      <c r="C1265" s="11" t="s">
        <v>97</v>
      </c>
      <c r="D1265" s="11" t="s">
        <v>83</v>
      </c>
      <c r="E1265" s="11" t="s">
        <v>102</v>
      </c>
      <c r="F1265" s="11" t="s">
        <v>181</v>
      </c>
      <c r="G1265" s="9">
        <v>3</v>
      </c>
      <c r="H1265" s="26">
        <v>4800</v>
      </c>
      <c r="I1265" s="9">
        <v>10</v>
      </c>
      <c r="J1265" s="9">
        <f t="shared" si="38"/>
        <v>14400</v>
      </c>
      <c r="K1265" s="9">
        <f t="shared" si="39"/>
        <v>12960</v>
      </c>
      <c r="L1265" s="11" t="s">
        <v>76</v>
      </c>
      <c r="M1265" s="11" t="s">
        <v>96</v>
      </c>
      <c r="N1265">
        <v>3</v>
      </c>
      <c r="O1265">
        <v>2024</v>
      </c>
      <c r="P1265" s="29" t="s">
        <v>711</v>
      </c>
      <c r="Q1265" t="s">
        <v>735</v>
      </c>
      <c r="R1265" t="s">
        <v>738</v>
      </c>
    </row>
    <row r="1266" spans="1:18" x14ac:dyDescent="0.25">
      <c r="A1266" s="6">
        <v>1265</v>
      </c>
      <c r="B1266" s="7">
        <v>45316</v>
      </c>
      <c r="C1266" s="8" t="s">
        <v>124</v>
      </c>
      <c r="D1266" s="8" t="s">
        <v>109</v>
      </c>
      <c r="E1266" s="8" t="s">
        <v>74</v>
      </c>
      <c r="F1266" s="8" t="s">
        <v>99</v>
      </c>
      <c r="G1266" s="6">
        <v>12</v>
      </c>
      <c r="H1266" s="25">
        <v>3600</v>
      </c>
      <c r="I1266" s="6">
        <v>0</v>
      </c>
      <c r="J1266" s="6">
        <f t="shared" si="38"/>
        <v>43200</v>
      </c>
      <c r="K1266" s="6">
        <f t="shared" si="39"/>
        <v>43200</v>
      </c>
      <c r="L1266" s="8" t="s">
        <v>107</v>
      </c>
      <c r="M1266" s="8" t="s">
        <v>81</v>
      </c>
      <c r="N1266">
        <v>1</v>
      </c>
      <c r="O1266">
        <v>2024</v>
      </c>
      <c r="P1266" s="29" t="s">
        <v>727</v>
      </c>
      <c r="Q1266" t="s">
        <v>735</v>
      </c>
      <c r="R1266" t="s">
        <v>738</v>
      </c>
    </row>
    <row r="1267" spans="1:18" x14ac:dyDescent="0.25">
      <c r="A1267" s="9">
        <v>1266</v>
      </c>
      <c r="B1267" s="10">
        <v>45611</v>
      </c>
      <c r="C1267" s="11" t="s">
        <v>119</v>
      </c>
      <c r="D1267" s="11" t="s">
        <v>83</v>
      </c>
      <c r="E1267" s="11" t="s">
        <v>111</v>
      </c>
      <c r="F1267" s="11" t="s">
        <v>132</v>
      </c>
      <c r="G1267" s="9">
        <v>19</v>
      </c>
      <c r="H1267" s="26">
        <v>7800</v>
      </c>
      <c r="I1267" s="9">
        <v>20</v>
      </c>
      <c r="J1267" s="9">
        <f t="shared" si="38"/>
        <v>148200</v>
      </c>
      <c r="K1267" s="9">
        <f t="shared" si="39"/>
        <v>118560</v>
      </c>
      <c r="L1267" s="11" t="s">
        <v>76</v>
      </c>
      <c r="M1267" s="11" t="s">
        <v>77</v>
      </c>
      <c r="N1267">
        <v>11</v>
      </c>
      <c r="O1267">
        <v>2024</v>
      </c>
      <c r="P1267" s="29" t="s">
        <v>714</v>
      </c>
      <c r="Q1267" t="s">
        <v>733</v>
      </c>
      <c r="R1267" t="s">
        <v>739</v>
      </c>
    </row>
    <row r="1268" spans="1:18" x14ac:dyDescent="0.25">
      <c r="A1268" s="6">
        <v>1267</v>
      </c>
      <c r="B1268" s="7">
        <v>45221</v>
      </c>
      <c r="C1268" s="8" t="s">
        <v>114</v>
      </c>
      <c r="D1268" s="8" t="s">
        <v>83</v>
      </c>
      <c r="E1268" s="8" t="s">
        <v>74</v>
      </c>
      <c r="F1268" s="8" t="s">
        <v>75</v>
      </c>
      <c r="G1268" s="6">
        <v>8</v>
      </c>
      <c r="H1268" s="25">
        <v>23400</v>
      </c>
      <c r="I1268" s="6">
        <v>15</v>
      </c>
      <c r="J1268" s="6">
        <f t="shared" si="38"/>
        <v>187200</v>
      </c>
      <c r="K1268" s="6">
        <f t="shared" si="39"/>
        <v>159120</v>
      </c>
      <c r="L1268" s="8" t="s">
        <v>76</v>
      </c>
      <c r="M1268" s="8" t="s">
        <v>96</v>
      </c>
      <c r="N1268">
        <v>10</v>
      </c>
      <c r="O1268">
        <v>2023</v>
      </c>
      <c r="P1268" s="29" t="s">
        <v>726</v>
      </c>
      <c r="Q1268" t="s">
        <v>733</v>
      </c>
      <c r="R1268" t="s">
        <v>739</v>
      </c>
    </row>
    <row r="1269" spans="1:18" x14ac:dyDescent="0.25">
      <c r="A1269" s="9">
        <v>1268</v>
      </c>
      <c r="B1269" s="10">
        <v>45043</v>
      </c>
      <c r="C1269" s="11" t="s">
        <v>88</v>
      </c>
      <c r="D1269" s="11" t="s">
        <v>83</v>
      </c>
      <c r="E1269" s="11" t="s">
        <v>84</v>
      </c>
      <c r="F1269" s="11" t="s">
        <v>85</v>
      </c>
      <c r="G1269" s="9">
        <v>32</v>
      </c>
      <c r="H1269" s="26">
        <v>6000</v>
      </c>
      <c r="I1269" s="9">
        <v>0</v>
      </c>
      <c r="J1269" s="9">
        <f t="shared" si="38"/>
        <v>192000</v>
      </c>
      <c r="K1269" s="9">
        <f t="shared" si="39"/>
        <v>192000</v>
      </c>
      <c r="L1269" s="11" t="s">
        <v>76</v>
      </c>
      <c r="M1269" s="11" t="s">
        <v>81</v>
      </c>
      <c r="N1269">
        <v>4</v>
      </c>
      <c r="O1269">
        <v>2023</v>
      </c>
      <c r="P1269" s="29" t="s">
        <v>716</v>
      </c>
      <c r="Q1269" t="s">
        <v>736</v>
      </c>
      <c r="R1269" t="s">
        <v>739</v>
      </c>
    </row>
    <row r="1270" spans="1:18" x14ac:dyDescent="0.25">
      <c r="A1270" s="6">
        <v>1269</v>
      </c>
      <c r="B1270" s="7">
        <v>45224</v>
      </c>
      <c r="C1270" s="8" t="s">
        <v>101</v>
      </c>
      <c r="D1270" s="8" t="s">
        <v>93</v>
      </c>
      <c r="E1270" s="8" t="s">
        <v>84</v>
      </c>
      <c r="F1270" s="8" t="s">
        <v>148</v>
      </c>
      <c r="G1270" s="6">
        <v>50</v>
      </c>
      <c r="H1270" s="25">
        <v>4400</v>
      </c>
      <c r="I1270" s="6">
        <v>5</v>
      </c>
      <c r="J1270" s="6">
        <f t="shared" si="38"/>
        <v>220000</v>
      </c>
      <c r="K1270" s="6">
        <f t="shared" si="39"/>
        <v>209000</v>
      </c>
      <c r="L1270" s="8" t="s">
        <v>76</v>
      </c>
      <c r="M1270" s="31" t="s">
        <v>695</v>
      </c>
      <c r="N1270">
        <v>10</v>
      </c>
      <c r="O1270">
        <v>2023</v>
      </c>
      <c r="P1270" s="29" t="s">
        <v>726</v>
      </c>
      <c r="Q1270" t="s">
        <v>733</v>
      </c>
      <c r="R1270" t="s">
        <v>737</v>
      </c>
    </row>
    <row r="1271" spans="1:18" x14ac:dyDescent="0.25">
      <c r="A1271" s="9">
        <v>1270</v>
      </c>
      <c r="B1271" s="10">
        <v>45414</v>
      </c>
      <c r="C1271" s="11" t="s">
        <v>119</v>
      </c>
      <c r="D1271" s="11" t="s">
        <v>83</v>
      </c>
      <c r="E1271" s="11" t="s">
        <v>111</v>
      </c>
      <c r="F1271" s="11" t="s">
        <v>135</v>
      </c>
      <c r="G1271" s="9">
        <v>18</v>
      </c>
      <c r="H1271" s="26">
        <v>129700</v>
      </c>
      <c r="I1271" s="9">
        <v>0</v>
      </c>
      <c r="J1271" s="9">
        <f t="shared" si="38"/>
        <v>2334600</v>
      </c>
      <c r="K1271" s="9">
        <f t="shared" si="39"/>
        <v>2334600</v>
      </c>
      <c r="L1271" s="11" t="s">
        <v>76</v>
      </c>
      <c r="M1271" s="11" t="s">
        <v>81</v>
      </c>
      <c r="N1271">
        <v>5</v>
      </c>
      <c r="O1271">
        <v>2024</v>
      </c>
      <c r="P1271" s="29" t="s">
        <v>732</v>
      </c>
      <c r="Q1271" t="s">
        <v>736</v>
      </c>
      <c r="R1271" t="s">
        <v>737</v>
      </c>
    </row>
    <row r="1272" spans="1:18" x14ac:dyDescent="0.25">
      <c r="A1272" s="6">
        <v>1271</v>
      </c>
      <c r="B1272" s="7">
        <v>45578</v>
      </c>
      <c r="C1272" s="8" t="s">
        <v>78</v>
      </c>
      <c r="D1272" s="8" t="s">
        <v>117</v>
      </c>
      <c r="E1272" s="8" t="s">
        <v>111</v>
      </c>
      <c r="F1272" s="8" t="s">
        <v>165</v>
      </c>
      <c r="G1272" s="6">
        <v>11</v>
      </c>
      <c r="H1272" s="25">
        <v>17200</v>
      </c>
      <c r="I1272" s="6">
        <v>10</v>
      </c>
      <c r="J1272" s="6">
        <f t="shared" si="38"/>
        <v>189200</v>
      </c>
      <c r="K1272" s="6">
        <f t="shared" si="39"/>
        <v>170280</v>
      </c>
      <c r="L1272" s="8" t="s">
        <v>76</v>
      </c>
      <c r="M1272" s="8" t="s">
        <v>77</v>
      </c>
      <c r="N1272">
        <v>10</v>
      </c>
      <c r="O1272">
        <v>2024</v>
      </c>
      <c r="P1272" s="29" t="s">
        <v>709</v>
      </c>
      <c r="Q1272" t="s">
        <v>733</v>
      </c>
      <c r="R1272" t="s">
        <v>739</v>
      </c>
    </row>
    <row r="1273" spans="1:18" x14ac:dyDescent="0.25">
      <c r="A1273" s="9">
        <v>1272</v>
      </c>
      <c r="B1273" s="10">
        <v>45552</v>
      </c>
      <c r="C1273" s="11" t="s">
        <v>88</v>
      </c>
      <c r="D1273" s="11" t="s">
        <v>109</v>
      </c>
      <c r="E1273" s="11" t="s">
        <v>102</v>
      </c>
      <c r="F1273" s="11" t="s">
        <v>138</v>
      </c>
      <c r="G1273" s="9">
        <v>2</v>
      </c>
      <c r="H1273" s="26">
        <v>7400</v>
      </c>
      <c r="I1273" s="9">
        <v>20</v>
      </c>
      <c r="J1273" s="9">
        <f t="shared" si="38"/>
        <v>14800</v>
      </c>
      <c r="K1273" s="9">
        <f t="shared" si="39"/>
        <v>11840</v>
      </c>
      <c r="L1273" s="11" t="s">
        <v>187</v>
      </c>
      <c r="M1273" s="11" t="s">
        <v>77</v>
      </c>
      <c r="N1273">
        <v>9</v>
      </c>
      <c r="O1273">
        <v>2024</v>
      </c>
      <c r="P1273" s="29" t="s">
        <v>731</v>
      </c>
      <c r="Q1273" t="s">
        <v>734</v>
      </c>
      <c r="R1273" t="s">
        <v>738</v>
      </c>
    </row>
    <row r="1274" spans="1:18" x14ac:dyDescent="0.25">
      <c r="A1274" s="6">
        <v>1273</v>
      </c>
      <c r="B1274" s="7">
        <v>45648</v>
      </c>
      <c r="C1274" s="8" t="s">
        <v>88</v>
      </c>
      <c r="D1274" s="8" t="s">
        <v>117</v>
      </c>
      <c r="E1274" s="8" t="s">
        <v>102</v>
      </c>
      <c r="F1274" s="8" t="s">
        <v>137</v>
      </c>
      <c r="G1274" s="6">
        <v>34</v>
      </c>
      <c r="H1274" s="25">
        <v>2300</v>
      </c>
      <c r="I1274" s="6">
        <v>0</v>
      </c>
      <c r="J1274" s="6">
        <f t="shared" si="38"/>
        <v>78200</v>
      </c>
      <c r="K1274" s="6">
        <f t="shared" si="39"/>
        <v>78200</v>
      </c>
      <c r="L1274" s="8" t="s">
        <v>76</v>
      </c>
      <c r="M1274" s="8" t="s">
        <v>81</v>
      </c>
      <c r="N1274">
        <v>12</v>
      </c>
      <c r="O1274">
        <v>2024</v>
      </c>
      <c r="P1274" s="29" t="s">
        <v>728</v>
      </c>
      <c r="Q1274" t="s">
        <v>733</v>
      </c>
      <c r="R1274" t="s">
        <v>739</v>
      </c>
    </row>
    <row r="1275" spans="1:18" x14ac:dyDescent="0.25">
      <c r="A1275" s="9">
        <v>1274</v>
      </c>
      <c r="B1275" s="10">
        <v>45329</v>
      </c>
      <c r="C1275" s="11" t="s">
        <v>114</v>
      </c>
      <c r="D1275" s="11" t="s">
        <v>109</v>
      </c>
      <c r="E1275" s="11" t="s">
        <v>74</v>
      </c>
      <c r="F1275" s="11" t="s">
        <v>142</v>
      </c>
      <c r="G1275" s="9">
        <v>22</v>
      </c>
      <c r="H1275" s="26">
        <v>13500</v>
      </c>
      <c r="I1275" s="9">
        <v>0</v>
      </c>
      <c r="J1275" s="9">
        <f t="shared" si="38"/>
        <v>297000</v>
      </c>
      <c r="K1275" s="9">
        <f t="shared" si="39"/>
        <v>297000</v>
      </c>
      <c r="L1275" s="11" t="s">
        <v>76</v>
      </c>
      <c r="M1275" s="11" t="s">
        <v>81</v>
      </c>
      <c r="N1275">
        <v>2</v>
      </c>
      <c r="O1275">
        <v>2024</v>
      </c>
      <c r="P1275" s="29" t="s">
        <v>729</v>
      </c>
      <c r="Q1275" t="s">
        <v>735</v>
      </c>
      <c r="R1275" t="s">
        <v>737</v>
      </c>
    </row>
    <row r="1276" spans="1:18" x14ac:dyDescent="0.25">
      <c r="A1276" s="6">
        <v>1275</v>
      </c>
      <c r="B1276" s="7">
        <v>45079</v>
      </c>
      <c r="C1276" s="8" t="s">
        <v>78</v>
      </c>
      <c r="D1276" s="8" t="s">
        <v>93</v>
      </c>
      <c r="E1276" s="8" t="s">
        <v>79</v>
      </c>
      <c r="F1276" s="8" t="s">
        <v>115</v>
      </c>
      <c r="G1276" s="6">
        <v>3</v>
      </c>
      <c r="H1276" s="25">
        <v>9900</v>
      </c>
      <c r="I1276" s="6">
        <v>0</v>
      </c>
      <c r="J1276" s="6">
        <f t="shared" si="38"/>
        <v>29700</v>
      </c>
      <c r="K1276" s="6">
        <f t="shared" si="39"/>
        <v>29700</v>
      </c>
      <c r="L1276" s="8" t="s">
        <v>76</v>
      </c>
      <c r="M1276" s="8" t="s">
        <v>96</v>
      </c>
      <c r="N1276">
        <v>6</v>
      </c>
      <c r="O1276">
        <v>2023</v>
      </c>
      <c r="P1276" s="29" t="s">
        <v>723</v>
      </c>
      <c r="Q1276" t="s">
        <v>736</v>
      </c>
      <c r="R1276" t="s">
        <v>738</v>
      </c>
    </row>
    <row r="1277" spans="1:18" x14ac:dyDescent="0.25">
      <c r="A1277" s="9">
        <v>1276</v>
      </c>
      <c r="B1277" s="10">
        <v>45162</v>
      </c>
      <c r="C1277" s="11" t="s">
        <v>106</v>
      </c>
      <c r="D1277" s="11" t="s">
        <v>73</v>
      </c>
      <c r="E1277" s="11" t="s">
        <v>74</v>
      </c>
      <c r="F1277" s="11" t="s">
        <v>118</v>
      </c>
      <c r="G1277" s="9">
        <v>25</v>
      </c>
      <c r="H1277" s="26">
        <v>30900</v>
      </c>
      <c r="I1277" s="9">
        <v>20</v>
      </c>
      <c r="J1277" s="9">
        <f t="shared" si="38"/>
        <v>772500</v>
      </c>
      <c r="K1277" s="9">
        <f t="shared" si="39"/>
        <v>618000</v>
      </c>
      <c r="L1277" s="11" t="s">
        <v>187</v>
      </c>
      <c r="M1277" s="11" t="s">
        <v>81</v>
      </c>
      <c r="N1277">
        <v>8</v>
      </c>
      <c r="O1277">
        <v>2023</v>
      </c>
      <c r="P1277" s="29" t="s">
        <v>713</v>
      </c>
      <c r="Q1277" t="s">
        <v>734</v>
      </c>
      <c r="R1277" t="s">
        <v>737</v>
      </c>
    </row>
    <row r="1278" spans="1:18" x14ac:dyDescent="0.25">
      <c r="A1278" s="6">
        <v>1277</v>
      </c>
      <c r="B1278" s="7">
        <v>45026</v>
      </c>
      <c r="C1278" s="8" t="s">
        <v>97</v>
      </c>
      <c r="D1278" s="8" t="s">
        <v>73</v>
      </c>
      <c r="E1278" s="8" t="s">
        <v>79</v>
      </c>
      <c r="F1278" s="8" t="s">
        <v>115</v>
      </c>
      <c r="G1278" s="6">
        <v>48</v>
      </c>
      <c r="H1278" s="25">
        <v>8100</v>
      </c>
      <c r="I1278" s="6">
        <v>0</v>
      </c>
      <c r="J1278" s="6">
        <f t="shared" si="38"/>
        <v>388800</v>
      </c>
      <c r="K1278" s="6">
        <f t="shared" si="39"/>
        <v>388800</v>
      </c>
      <c r="L1278" s="8" t="s">
        <v>187</v>
      </c>
      <c r="M1278" s="8" t="s">
        <v>81</v>
      </c>
      <c r="N1278">
        <v>4</v>
      </c>
      <c r="O1278">
        <v>2023</v>
      </c>
      <c r="P1278" s="29" t="s">
        <v>716</v>
      </c>
      <c r="Q1278" t="s">
        <v>736</v>
      </c>
      <c r="R1278" t="s">
        <v>737</v>
      </c>
    </row>
    <row r="1279" spans="1:18" x14ac:dyDescent="0.25">
      <c r="A1279" s="9">
        <v>1278</v>
      </c>
      <c r="B1279" s="10">
        <v>45529</v>
      </c>
      <c r="C1279" s="11" t="s">
        <v>114</v>
      </c>
      <c r="D1279" s="11" t="s">
        <v>109</v>
      </c>
      <c r="E1279" s="11" t="s">
        <v>102</v>
      </c>
      <c r="F1279" s="11" t="s">
        <v>110</v>
      </c>
      <c r="G1279" s="9">
        <v>28</v>
      </c>
      <c r="H1279" s="26">
        <v>24100</v>
      </c>
      <c r="I1279" s="9">
        <v>0</v>
      </c>
      <c r="J1279" s="9">
        <f t="shared" si="38"/>
        <v>674800</v>
      </c>
      <c r="K1279" s="9">
        <f t="shared" si="39"/>
        <v>674800</v>
      </c>
      <c r="L1279" s="11" t="s">
        <v>76</v>
      </c>
      <c r="M1279" s="11" t="s">
        <v>77</v>
      </c>
      <c r="N1279">
        <v>8</v>
      </c>
      <c r="O1279">
        <v>2024</v>
      </c>
      <c r="P1279" s="29" t="s">
        <v>710</v>
      </c>
      <c r="Q1279" t="s">
        <v>734</v>
      </c>
      <c r="R1279" t="s">
        <v>737</v>
      </c>
    </row>
    <row r="1280" spans="1:18" x14ac:dyDescent="0.25">
      <c r="A1280" s="6">
        <v>1279</v>
      </c>
      <c r="B1280" s="7">
        <v>45148</v>
      </c>
      <c r="C1280" s="8" t="s">
        <v>119</v>
      </c>
      <c r="D1280" s="8" t="s">
        <v>109</v>
      </c>
      <c r="E1280" s="8" t="s">
        <v>79</v>
      </c>
      <c r="F1280" s="8" t="s">
        <v>179</v>
      </c>
      <c r="G1280" s="6">
        <v>37</v>
      </c>
      <c r="H1280" s="25">
        <v>2900</v>
      </c>
      <c r="I1280" s="6">
        <v>5</v>
      </c>
      <c r="J1280" s="6">
        <f t="shared" si="38"/>
        <v>107300</v>
      </c>
      <c r="K1280" s="6">
        <f t="shared" si="39"/>
        <v>101935</v>
      </c>
      <c r="L1280" s="8" t="s">
        <v>76</v>
      </c>
      <c r="M1280" s="8" t="s">
        <v>96</v>
      </c>
      <c r="N1280">
        <v>8</v>
      </c>
      <c r="O1280">
        <v>2023</v>
      </c>
      <c r="P1280" s="29" t="s">
        <v>713</v>
      </c>
      <c r="Q1280" t="s">
        <v>734</v>
      </c>
      <c r="R1280" t="s">
        <v>739</v>
      </c>
    </row>
    <row r="1281" spans="1:18" x14ac:dyDescent="0.25">
      <c r="A1281" s="9">
        <v>1280</v>
      </c>
      <c r="B1281" s="10">
        <v>45081</v>
      </c>
      <c r="C1281" s="11" t="s">
        <v>106</v>
      </c>
      <c r="D1281" s="11" t="s">
        <v>83</v>
      </c>
      <c r="E1281" s="11" t="s">
        <v>102</v>
      </c>
      <c r="F1281" s="11" t="s">
        <v>110</v>
      </c>
      <c r="G1281" s="9">
        <v>45</v>
      </c>
      <c r="H1281" s="26">
        <v>22500</v>
      </c>
      <c r="I1281" s="9">
        <v>5</v>
      </c>
      <c r="J1281" s="9">
        <f t="shared" si="38"/>
        <v>1012500</v>
      </c>
      <c r="K1281" s="9">
        <f t="shared" si="39"/>
        <v>961875</v>
      </c>
      <c r="L1281" s="11" t="s">
        <v>76</v>
      </c>
      <c r="M1281" s="11" t="s">
        <v>81</v>
      </c>
      <c r="N1281">
        <v>6</v>
      </c>
      <c r="O1281">
        <v>2023</v>
      </c>
      <c r="P1281" s="29" t="s">
        <v>723</v>
      </c>
      <c r="Q1281" t="s">
        <v>736</v>
      </c>
      <c r="R1281" t="s">
        <v>737</v>
      </c>
    </row>
    <row r="1282" spans="1:18" x14ac:dyDescent="0.25">
      <c r="A1282" s="6">
        <v>1281</v>
      </c>
      <c r="B1282" s="7">
        <v>44944</v>
      </c>
      <c r="C1282" s="8" t="s">
        <v>119</v>
      </c>
      <c r="D1282" s="8" t="s">
        <v>83</v>
      </c>
      <c r="E1282" s="8" t="s">
        <v>74</v>
      </c>
      <c r="F1282" s="8" t="s">
        <v>118</v>
      </c>
      <c r="G1282" s="6">
        <v>37</v>
      </c>
      <c r="H1282" s="25">
        <v>28400</v>
      </c>
      <c r="I1282" s="6">
        <v>20</v>
      </c>
      <c r="J1282" s="6">
        <f t="shared" ref="J1282:J1345" si="40">G1282*H1282</f>
        <v>1050800</v>
      </c>
      <c r="K1282" s="6">
        <f t="shared" ref="K1282:K1345" si="41">J1282*(1-I1282/100)</f>
        <v>840640</v>
      </c>
      <c r="L1282" s="8" t="s">
        <v>123</v>
      </c>
      <c r="M1282" s="8" t="s">
        <v>91</v>
      </c>
      <c r="N1282">
        <v>1</v>
      </c>
      <c r="O1282">
        <v>2023</v>
      </c>
      <c r="P1282" s="29" t="s">
        <v>721</v>
      </c>
      <c r="Q1282" t="s">
        <v>735</v>
      </c>
      <c r="R1282" t="s">
        <v>737</v>
      </c>
    </row>
    <row r="1283" spans="1:18" x14ac:dyDescent="0.25">
      <c r="A1283" s="9">
        <v>1282</v>
      </c>
      <c r="B1283" s="10">
        <v>45164</v>
      </c>
      <c r="C1283" s="11" t="s">
        <v>119</v>
      </c>
      <c r="D1283" s="11" t="s">
        <v>117</v>
      </c>
      <c r="E1283" s="11" t="s">
        <v>111</v>
      </c>
      <c r="F1283" s="11" t="s">
        <v>112</v>
      </c>
      <c r="G1283" s="9">
        <v>22</v>
      </c>
      <c r="H1283" s="26">
        <v>68900</v>
      </c>
      <c r="I1283" s="9">
        <v>0</v>
      </c>
      <c r="J1283" s="9">
        <f t="shared" si="40"/>
        <v>1515800</v>
      </c>
      <c r="K1283" s="9">
        <f t="shared" si="41"/>
        <v>1515800</v>
      </c>
      <c r="L1283" s="11" t="s">
        <v>76</v>
      </c>
      <c r="M1283" s="11" t="s">
        <v>77</v>
      </c>
      <c r="N1283">
        <v>8</v>
      </c>
      <c r="O1283">
        <v>2023</v>
      </c>
      <c r="P1283" s="29" t="s">
        <v>713</v>
      </c>
      <c r="Q1283" t="s">
        <v>734</v>
      </c>
      <c r="R1283" t="s">
        <v>737</v>
      </c>
    </row>
    <row r="1284" spans="1:18" x14ac:dyDescent="0.25">
      <c r="A1284" s="6">
        <v>1283</v>
      </c>
      <c r="B1284" s="7">
        <v>45501</v>
      </c>
      <c r="C1284" s="8" t="s">
        <v>108</v>
      </c>
      <c r="D1284" s="8" t="s">
        <v>109</v>
      </c>
      <c r="E1284" s="8" t="s">
        <v>111</v>
      </c>
      <c r="F1284" s="8" t="s">
        <v>156</v>
      </c>
      <c r="G1284" s="6">
        <v>26</v>
      </c>
      <c r="H1284" s="25">
        <v>38700</v>
      </c>
      <c r="I1284" s="6">
        <v>10</v>
      </c>
      <c r="J1284" s="6">
        <f t="shared" si="40"/>
        <v>1006200</v>
      </c>
      <c r="K1284" s="6">
        <f t="shared" si="41"/>
        <v>905580</v>
      </c>
      <c r="L1284" s="8" t="s">
        <v>76</v>
      </c>
      <c r="M1284" s="8" t="s">
        <v>91</v>
      </c>
      <c r="N1284">
        <v>7</v>
      </c>
      <c r="O1284">
        <v>2024</v>
      </c>
      <c r="P1284" s="29" t="s">
        <v>712</v>
      </c>
      <c r="Q1284" t="s">
        <v>734</v>
      </c>
      <c r="R1284" t="s">
        <v>737</v>
      </c>
    </row>
    <row r="1285" spans="1:18" x14ac:dyDescent="0.25">
      <c r="A1285" s="9">
        <v>1284</v>
      </c>
      <c r="B1285" s="10">
        <v>45359</v>
      </c>
      <c r="C1285" s="11" t="s">
        <v>106</v>
      </c>
      <c r="D1285" s="11" t="s">
        <v>73</v>
      </c>
      <c r="E1285" s="11" t="s">
        <v>111</v>
      </c>
      <c r="F1285" s="11" t="s">
        <v>135</v>
      </c>
      <c r="G1285" s="9">
        <v>48</v>
      </c>
      <c r="H1285" s="26">
        <v>115300</v>
      </c>
      <c r="I1285" s="9">
        <v>0</v>
      </c>
      <c r="J1285" s="9">
        <f t="shared" si="40"/>
        <v>5534400</v>
      </c>
      <c r="K1285" s="9">
        <f t="shared" si="41"/>
        <v>5534400</v>
      </c>
      <c r="L1285" s="11" t="s">
        <v>76</v>
      </c>
      <c r="M1285" s="11" t="s">
        <v>81</v>
      </c>
      <c r="N1285">
        <v>3</v>
      </c>
      <c r="O1285">
        <v>2024</v>
      </c>
      <c r="P1285" s="29" t="s">
        <v>711</v>
      </c>
      <c r="Q1285" t="s">
        <v>735</v>
      </c>
      <c r="R1285" t="s">
        <v>737</v>
      </c>
    </row>
    <row r="1286" spans="1:18" x14ac:dyDescent="0.25">
      <c r="A1286" s="6">
        <v>1285</v>
      </c>
      <c r="B1286" s="7">
        <v>45256</v>
      </c>
      <c r="C1286" s="8" t="s">
        <v>124</v>
      </c>
      <c r="D1286" s="8" t="s">
        <v>93</v>
      </c>
      <c r="E1286" s="8" t="s">
        <v>111</v>
      </c>
      <c r="F1286" s="8" t="s">
        <v>192</v>
      </c>
      <c r="G1286" s="6">
        <v>14</v>
      </c>
      <c r="H1286" s="25">
        <v>91900</v>
      </c>
      <c r="I1286" s="6">
        <v>10</v>
      </c>
      <c r="J1286" s="6">
        <f t="shared" si="40"/>
        <v>1286600</v>
      </c>
      <c r="K1286" s="6">
        <f t="shared" si="41"/>
        <v>1157940</v>
      </c>
      <c r="L1286" s="8" t="s">
        <v>187</v>
      </c>
      <c r="M1286" s="8" t="s">
        <v>91</v>
      </c>
      <c r="N1286">
        <v>11</v>
      </c>
      <c r="O1286">
        <v>2023</v>
      </c>
      <c r="P1286" s="29" t="s">
        <v>718</v>
      </c>
      <c r="Q1286" t="s">
        <v>733</v>
      </c>
      <c r="R1286" t="s">
        <v>737</v>
      </c>
    </row>
    <row r="1287" spans="1:18" x14ac:dyDescent="0.25">
      <c r="A1287" s="9">
        <v>1286</v>
      </c>
      <c r="B1287" s="10">
        <v>45438</v>
      </c>
      <c r="C1287" s="11" t="s">
        <v>88</v>
      </c>
      <c r="D1287" s="11" t="s">
        <v>109</v>
      </c>
      <c r="E1287" s="11" t="s">
        <v>74</v>
      </c>
      <c r="F1287" s="11" t="s">
        <v>99</v>
      </c>
      <c r="G1287" s="9">
        <v>33</v>
      </c>
      <c r="H1287" s="26">
        <v>3800</v>
      </c>
      <c r="I1287" s="9">
        <v>0</v>
      </c>
      <c r="J1287" s="9">
        <f t="shared" si="40"/>
        <v>125400</v>
      </c>
      <c r="K1287" s="9">
        <f t="shared" si="41"/>
        <v>125400</v>
      </c>
      <c r="L1287" s="11" t="s">
        <v>76</v>
      </c>
      <c r="M1287" s="11" t="s">
        <v>77</v>
      </c>
      <c r="N1287">
        <v>5</v>
      </c>
      <c r="O1287">
        <v>2024</v>
      </c>
      <c r="P1287" s="29" t="s">
        <v>732</v>
      </c>
      <c r="Q1287" t="s">
        <v>736</v>
      </c>
      <c r="R1287" t="s">
        <v>739</v>
      </c>
    </row>
    <row r="1288" spans="1:18" x14ac:dyDescent="0.25">
      <c r="A1288" s="6">
        <v>1287</v>
      </c>
      <c r="B1288" s="7">
        <v>45599</v>
      </c>
      <c r="C1288" s="8" t="s">
        <v>97</v>
      </c>
      <c r="D1288" s="8" t="s">
        <v>83</v>
      </c>
      <c r="E1288" s="8" t="s">
        <v>84</v>
      </c>
      <c r="F1288" s="8" t="s">
        <v>206</v>
      </c>
      <c r="G1288" s="6">
        <v>48</v>
      </c>
      <c r="H1288" s="25">
        <v>13200</v>
      </c>
      <c r="I1288" s="6">
        <v>5</v>
      </c>
      <c r="J1288" s="6">
        <f t="shared" si="40"/>
        <v>633600</v>
      </c>
      <c r="K1288" s="6">
        <f t="shared" si="41"/>
        <v>601920</v>
      </c>
      <c r="L1288" s="8" t="s">
        <v>76</v>
      </c>
      <c r="M1288" s="8" t="s">
        <v>81</v>
      </c>
      <c r="N1288">
        <v>11</v>
      </c>
      <c r="O1288">
        <v>2024</v>
      </c>
      <c r="P1288" s="29" t="s">
        <v>714</v>
      </c>
      <c r="Q1288" t="s">
        <v>733</v>
      </c>
      <c r="R1288" t="s">
        <v>737</v>
      </c>
    </row>
    <row r="1289" spans="1:18" x14ac:dyDescent="0.25">
      <c r="A1289" s="9">
        <v>1288</v>
      </c>
      <c r="B1289" s="10">
        <v>45043</v>
      </c>
      <c r="C1289" s="11" t="s">
        <v>78</v>
      </c>
      <c r="D1289" s="11" t="s">
        <v>83</v>
      </c>
      <c r="E1289" s="11" t="s">
        <v>111</v>
      </c>
      <c r="F1289" s="11" t="s">
        <v>166</v>
      </c>
      <c r="G1289" s="9">
        <v>34</v>
      </c>
      <c r="H1289" s="26">
        <v>29600</v>
      </c>
      <c r="I1289" s="9">
        <v>5</v>
      </c>
      <c r="J1289" s="9">
        <f t="shared" si="40"/>
        <v>1006400</v>
      </c>
      <c r="K1289" s="9">
        <f t="shared" si="41"/>
        <v>956080</v>
      </c>
      <c r="L1289" s="11" t="s">
        <v>76</v>
      </c>
      <c r="M1289" s="11" t="s">
        <v>91</v>
      </c>
      <c r="N1289">
        <v>4</v>
      </c>
      <c r="O1289">
        <v>2023</v>
      </c>
      <c r="P1289" s="29" t="s">
        <v>716</v>
      </c>
      <c r="Q1289" t="s">
        <v>736</v>
      </c>
      <c r="R1289" t="s">
        <v>737</v>
      </c>
    </row>
    <row r="1290" spans="1:18" x14ac:dyDescent="0.25">
      <c r="A1290" s="6">
        <v>1289</v>
      </c>
      <c r="B1290" s="7">
        <v>45200</v>
      </c>
      <c r="C1290" s="8" t="s">
        <v>101</v>
      </c>
      <c r="D1290" s="30" t="s">
        <v>703</v>
      </c>
      <c r="E1290" s="8" t="s">
        <v>111</v>
      </c>
      <c r="F1290" s="8" t="s">
        <v>135</v>
      </c>
      <c r="G1290" s="6">
        <v>44</v>
      </c>
      <c r="H1290" s="25">
        <v>124200</v>
      </c>
      <c r="I1290" s="6">
        <v>10</v>
      </c>
      <c r="J1290" s="6">
        <f t="shared" si="40"/>
        <v>5464800</v>
      </c>
      <c r="K1290" s="6">
        <f t="shared" si="41"/>
        <v>4918320</v>
      </c>
      <c r="L1290" s="8" t="s">
        <v>76</v>
      </c>
      <c r="M1290" s="8" t="s">
        <v>96</v>
      </c>
      <c r="N1290">
        <v>10</v>
      </c>
      <c r="O1290">
        <v>2023</v>
      </c>
      <c r="P1290" s="29" t="s">
        <v>726</v>
      </c>
      <c r="Q1290" t="s">
        <v>733</v>
      </c>
      <c r="R1290" t="s">
        <v>737</v>
      </c>
    </row>
    <row r="1291" spans="1:18" x14ac:dyDescent="0.25">
      <c r="A1291" s="9">
        <v>1290</v>
      </c>
      <c r="B1291" s="10">
        <v>45307</v>
      </c>
      <c r="C1291" s="11" t="s">
        <v>124</v>
      </c>
      <c r="D1291" s="11" t="s">
        <v>109</v>
      </c>
      <c r="E1291" s="11" t="s">
        <v>84</v>
      </c>
      <c r="F1291" s="11" t="s">
        <v>134</v>
      </c>
      <c r="G1291" s="9">
        <v>14</v>
      </c>
      <c r="H1291" s="26">
        <v>9900</v>
      </c>
      <c r="I1291" s="9">
        <v>10</v>
      </c>
      <c r="J1291" s="9">
        <f t="shared" si="40"/>
        <v>138600</v>
      </c>
      <c r="K1291" s="9">
        <f t="shared" si="41"/>
        <v>124740</v>
      </c>
      <c r="L1291" s="11" t="s">
        <v>187</v>
      </c>
      <c r="M1291" s="11" t="s">
        <v>96</v>
      </c>
      <c r="N1291">
        <v>1</v>
      </c>
      <c r="O1291">
        <v>2024</v>
      </c>
      <c r="P1291" s="29" t="s">
        <v>727</v>
      </c>
      <c r="Q1291" t="s">
        <v>735</v>
      </c>
      <c r="R1291" t="s">
        <v>739</v>
      </c>
    </row>
    <row r="1292" spans="1:18" x14ac:dyDescent="0.25">
      <c r="A1292" s="6">
        <v>1291</v>
      </c>
      <c r="B1292" s="7">
        <v>45605</v>
      </c>
      <c r="C1292" s="8" t="s">
        <v>101</v>
      </c>
      <c r="D1292" s="8" t="s">
        <v>83</v>
      </c>
      <c r="E1292" s="8" t="s">
        <v>111</v>
      </c>
      <c r="F1292" s="8" t="s">
        <v>156</v>
      </c>
      <c r="G1292" s="6">
        <v>48</v>
      </c>
      <c r="H1292" s="25">
        <v>47600</v>
      </c>
      <c r="I1292" s="6">
        <v>0</v>
      </c>
      <c r="J1292" s="6">
        <f t="shared" si="40"/>
        <v>2284800</v>
      </c>
      <c r="K1292" s="6">
        <f t="shared" si="41"/>
        <v>2284800</v>
      </c>
      <c r="L1292" s="8" t="s">
        <v>187</v>
      </c>
      <c r="M1292" s="8" t="s">
        <v>81</v>
      </c>
      <c r="N1292">
        <v>11</v>
      </c>
      <c r="O1292">
        <v>2024</v>
      </c>
      <c r="P1292" s="29" t="s">
        <v>714</v>
      </c>
      <c r="Q1292" t="s">
        <v>733</v>
      </c>
      <c r="R1292" t="s">
        <v>737</v>
      </c>
    </row>
    <row r="1293" spans="1:18" x14ac:dyDescent="0.25">
      <c r="A1293" s="9">
        <v>1292</v>
      </c>
      <c r="B1293" s="10">
        <v>45463</v>
      </c>
      <c r="C1293" s="11" t="s">
        <v>119</v>
      </c>
      <c r="D1293" s="11" t="s">
        <v>73</v>
      </c>
      <c r="E1293" s="11" t="s">
        <v>74</v>
      </c>
      <c r="F1293" s="11" t="s">
        <v>140</v>
      </c>
      <c r="G1293" s="9">
        <v>31</v>
      </c>
      <c r="H1293" s="26">
        <v>4300</v>
      </c>
      <c r="I1293" s="9">
        <v>0</v>
      </c>
      <c r="J1293" s="9">
        <f t="shared" si="40"/>
        <v>133300</v>
      </c>
      <c r="K1293" s="9">
        <f t="shared" si="41"/>
        <v>133300</v>
      </c>
      <c r="L1293" s="11" t="s">
        <v>76</v>
      </c>
      <c r="M1293" s="11" t="s">
        <v>77</v>
      </c>
      <c r="N1293">
        <v>6</v>
      </c>
      <c r="O1293">
        <v>2024</v>
      </c>
      <c r="P1293" s="29" t="s">
        <v>720</v>
      </c>
      <c r="Q1293" t="s">
        <v>736</v>
      </c>
      <c r="R1293" t="s">
        <v>739</v>
      </c>
    </row>
    <row r="1294" spans="1:18" x14ac:dyDescent="0.25">
      <c r="A1294" s="6">
        <v>1293</v>
      </c>
      <c r="B1294" s="7">
        <v>45645</v>
      </c>
      <c r="C1294" s="8" t="s">
        <v>106</v>
      </c>
      <c r="D1294" s="8" t="s">
        <v>109</v>
      </c>
      <c r="E1294" s="8" t="s">
        <v>79</v>
      </c>
      <c r="F1294" s="8" t="s">
        <v>172</v>
      </c>
      <c r="G1294" s="6">
        <v>4</v>
      </c>
      <c r="H1294" s="25">
        <v>24600</v>
      </c>
      <c r="I1294" s="6">
        <v>0</v>
      </c>
      <c r="J1294" s="6">
        <f t="shared" si="40"/>
        <v>98400</v>
      </c>
      <c r="K1294" s="6">
        <f t="shared" si="41"/>
        <v>98400</v>
      </c>
      <c r="L1294" s="8" t="s">
        <v>76</v>
      </c>
      <c r="M1294" s="8" t="s">
        <v>81</v>
      </c>
      <c r="N1294">
        <v>12</v>
      </c>
      <c r="O1294">
        <v>2024</v>
      </c>
      <c r="P1294" s="29" t="s">
        <v>728</v>
      </c>
      <c r="Q1294" t="s">
        <v>733</v>
      </c>
      <c r="R1294" t="s">
        <v>739</v>
      </c>
    </row>
    <row r="1295" spans="1:18" x14ac:dyDescent="0.25">
      <c r="A1295" s="9">
        <v>1294</v>
      </c>
      <c r="B1295" s="10">
        <v>45285</v>
      </c>
      <c r="C1295" s="11" t="s">
        <v>82</v>
      </c>
      <c r="D1295" s="11" t="s">
        <v>109</v>
      </c>
      <c r="E1295" s="11" t="s">
        <v>74</v>
      </c>
      <c r="F1295" s="11" t="s">
        <v>94</v>
      </c>
      <c r="G1295" s="9">
        <v>18</v>
      </c>
      <c r="H1295" s="26">
        <v>39600</v>
      </c>
      <c r="I1295" s="9">
        <v>10</v>
      </c>
      <c r="J1295" s="9">
        <f t="shared" si="40"/>
        <v>712800</v>
      </c>
      <c r="K1295" s="9">
        <f t="shared" si="41"/>
        <v>641520</v>
      </c>
      <c r="L1295" s="11" t="s">
        <v>76</v>
      </c>
      <c r="M1295" s="11" t="s">
        <v>91</v>
      </c>
      <c r="N1295">
        <v>12</v>
      </c>
      <c r="O1295">
        <v>2023</v>
      </c>
      <c r="P1295" s="29" t="s">
        <v>725</v>
      </c>
      <c r="Q1295" t="s">
        <v>733</v>
      </c>
      <c r="R1295" t="s">
        <v>737</v>
      </c>
    </row>
    <row r="1296" spans="1:18" x14ac:dyDescent="0.25">
      <c r="A1296" s="6">
        <v>1295</v>
      </c>
      <c r="B1296" s="7">
        <v>45210</v>
      </c>
      <c r="C1296" s="8" t="s">
        <v>88</v>
      </c>
      <c r="D1296" s="8" t="s">
        <v>93</v>
      </c>
      <c r="E1296" s="8" t="s">
        <v>111</v>
      </c>
      <c r="F1296" s="8" t="s">
        <v>135</v>
      </c>
      <c r="G1296" s="6">
        <v>42</v>
      </c>
      <c r="H1296" s="25">
        <v>119600</v>
      </c>
      <c r="I1296" s="6">
        <v>10</v>
      </c>
      <c r="J1296" s="6">
        <f t="shared" si="40"/>
        <v>5023200</v>
      </c>
      <c r="K1296" s="6">
        <f t="shared" si="41"/>
        <v>4520880</v>
      </c>
      <c r="L1296" s="8" t="s">
        <v>187</v>
      </c>
      <c r="M1296" s="8" t="s">
        <v>77</v>
      </c>
      <c r="N1296">
        <v>10</v>
      </c>
      <c r="O1296">
        <v>2023</v>
      </c>
      <c r="P1296" s="29" t="s">
        <v>726</v>
      </c>
      <c r="Q1296" t="s">
        <v>733</v>
      </c>
      <c r="R1296" t="s">
        <v>737</v>
      </c>
    </row>
    <row r="1297" spans="1:18" x14ac:dyDescent="0.25">
      <c r="A1297" s="9">
        <v>1296</v>
      </c>
      <c r="B1297" s="10">
        <v>45083</v>
      </c>
      <c r="C1297" s="11" t="s">
        <v>97</v>
      </c>
      <c r="D1297" s="11" t="s">
        <v>109</v>
      </c>
      <c r="E1297" s="11" t="s">
        <v>74</v>
      </c>
      <c r="F1297" s="11" t="s">
        <v>142</v>
      </c>
      <c r="G1297" s="9">
        <v>7</v>
      </c>
      <c r="H1297" s="26">
        <v>11600</v>
      </c>
      <c r="I1297" s="9">
        <v>0</v>
      </c>
      <c r="J1297" s="9">
        <f t="shared" si="40"/>
        <v>81200</v>
      </c>
      <c r="K1297" s="9">
        <f t="shared" si="41"/>
        <v>81200</v>
      </c>
      <c r="L1297" s="11" t="s">
        <v>76</v>
      </c>
      <c r="M1297" s="11" t="s">
        <v>91</v>
      </c>
      <c r="N1297">
        <v>6</v>
      </c>
      <c r="O1297">
        <v>2023</v>
      </c>
      <c r="P1297" s="29" t="s">
        <v>723</v>
      </c>
      <c r="Q1297" t="s">
        <v>736</v>
      </c>
      <c r="R1297" t="s">
        <v>739</v>
      </c>
    </row>
    <row r="1298" spans="1:18" x14ac:dyDescent="0.25">
      <c r="A1298" s="6">
        <v>1297</v>
      </c>
      <c r="B1298" s="7">
        <v>45634</v>
      </c>
      <c r="C1298" s="8" t="s">
        <v>124</v>
      </c>
      <c r="D1298" s="8" t="s">
        <v>93</v>
      </c>
      <c r="E1298" s="8" t="s">
        <v>74</v>
      </c>
      <c r="F1298" s="8" t="s">
        <v>99</v>
      </c>
      <c r="G1298" s="6">
        <v>1</v>
      </c>
      <c r="H1298" s="25">
        <v>3300</v>
      </c>
      <c r="I1298" s="6">
        <v>0</v>
      </c>
      <c r="J1298" s="6">
        <f t="shared" si="40"/>
        <v>3300</v>
      </c>
      <c r="K1298" s="6">
        <f t="shared" si="41"/>
        <v>3300</v>
      </c>
      <c r="L1298" s="8" t="s">
        <v>187</v>
      </c>
      <c r="M1298" s="8" t="s">
        <v>81</v>
      </c>
      <c r="N1298">
        <v>12</v>
      </c>
      <c r="O1298">
        <v>2024</v>
      </c>
      <c r="P1298" s="29" t="s">
        <v>728</v>
      </c>
      <c r="Q1298" t="s">
        <v>733</v>
      </c>
      <c r="R1298" t="s">
        <v>738</v>
      </c>
    </row>
    <row r="1299" spans="1:18" x14ac:dyDescent="0.25">
      <c r="A1299" s="9">
        <v>1298</v>
      </c>
      <c r="B1299" s="10">
        <v>45556</v>
      </c>
      <c r="C1299" s="11" t="s">
        <v>108</v>
      </c>
      <c r="D1299" s="11" t="s">
        <v>109</v>
      </c>
      <c r="E1299" s="11" t="s">
        <v>84</v>
      </c>
      <c r="F1299" s="11" t="s">
        <v>85</v>
      </c>
      <c r="G1299" s="9">
        <v>21</v>
      </c>
      <c r="H1299" s="26">
        <v>6000</v>
      </c>
      <c r="I1299" s="9">
        <v>0</v>
      </c>
      <c r="J1299" s="9">
        <f t="shared" si="40"/>
        <v>126000</v>
      </c>
      <c r="K1299" s="9">
        <f t="shared" si="41"/>
        <v>126000</v>
      </c>
      <c r="L1299" s="11" t="s">
        <v>76</v>
      </c>
      <c r="M1299" s="11" t="s">
        <v>77</v>
      </c>
      <c r="N1299">
        <v>9</v>
      </c>
      <c r="O1299">
        <v>2024</v>
      </c>
      <c r="P1299" s="29" t="s">
        <v>731</v>
      </c>
      <c r="Q1299" t="s">
        <v>734</v>
      </c>
      <c r="R1299" t="s">
        <v>739</v>
      </c>
    </row>
    <row r="1300" spans="1:18" x14ac:dyDescent="0.25">
      <c r="A1300" s="6">
        <v>1299</v>
      </c>
      <c r="B1300" s="7">
        <v>45479</v>
      </c>
      <c r="C1300" s="8" t="s">
        <v>119</v>
      </c>
      <c r="D1300" s="30" t="s">
        <v>703</v>
      </c>
      <c r="E1300" s="8" t="s">
        <v>111</v>
      </c>
      <c r="F1300" s="8" t="s">
        <v>132</v>
      </c>
      <c r="G1300" s="6">
        <v>49</v>
      </c>
      <c r="H1300" s="25">
        <v>7300</v>
      </c>
      <c r="I1300" s="6">
        <v>5</v>
      </c>
      <c r="J1300" s="6">
        <f t="shared" si="40"/>
        <v>357700</v>
      </c>
      <c r="K1300" s="6">
        <f t="shared" si="41"/>
        <v>339815</v>
      </c>
      <c r="L1300" s="8" t="s">
        <v>76</v>
      </c>
      <c r="M1300" s="8" t="s">
        <v>91</v>
      </c>
      <c r="N1300">
        <v>7</v>
      </c>
      <c r="O1300">
        <v>2024</v>
      </c>
      <c r="P1300" s="29" t="s">
        <v>712</v>
      </c>
      <c r="Q1300" t="s">
        <v>734</v>
      </c>
      <c r="R1300" t="s">
        <v>737</v>
      </c>
    </row>
    <row r="1301" spans="1:18" x14ac:dyDescent="0.25">
      <c r="A1301" s="9">
        <v>1300</v>
      </c>
      <c r="B1301" s="10">
        <v>45321</v>
      </c>
      <c r="C1301" s="11" t="s">
        <v>119</v>
      </c>
      <c r="D1301" s="11" t="s">
        <v>117</v>
      </c>
      <c r="E1301" s="11" t="s">
        <v>74</v>
      </c>
      <c r="F1301" s="11" t="s">
        <v>212</v>
      </c>
      <c r="G1301" s="9">
        <v>39</v>
      </c>
      <c r="H1301" s="26">
        <v>8300</v>
      </c>
      <c r="I1301" s="9">
        <v>15</v>
      </c>
      <c r="J1301" s="9">
        <f t="shared" si="40"/>
        <v>323700</v>
      </c>
      <c r="K1301" s="9">
        <f t="shared" si="41"/>
        <v>275145</v>
      </c>
      <c r="L1301" s="11" t="s">
        <v>187</v>
      </c>
      <c r="M1301" s="11" t="s">
        <v>81</v>
      </c>
      <c r="N1301">
        <v>1</v>
      </c>
      <c r="O1301">
        <v>2024</v>
      </c>
      <c r="P1301" s="29" t="s">
        <v>727</v>
      </c>
      <c r="Q1301" t="s">
        <v>735</v>
      </c>
      <c r="R1301" t="s">
        <v>737</v>
      </c>
    </row>
    <row r="1302" spans="1:18" x14ac:dyDescent="0.25">
      <c r="A1302" s="6">
        <v>1301</v>
      </c>
      <c r="B1302" s="7">
        <v>45270</v>
      </c>
      <c r="C1302" s="8" t="s">
        <v>108</v>
      </c>
      <c r="D1302" s="8" t="s">
        <v>83</v>
      </c>
      <c r="E1302" s="8" t="s">
        <v>102</v>
      </c>
      <c r="F1302" s="8" t="s">
        <v>197</v>
      </c>
      <c r="G1302" s="6">
        <v>17</v>
      </c>
      <c r="H1302" s="25">
        <v>3900</v>
      </c>
      <c r="I1302" s="6">
        <v>15</v>
      </c>
      <c r="J1302" s="6">
        <f t="shared" si="40"/>
        <v>66300</v>
      </c>
      <c r="K1302" s="6">
        <f t="shared" si="41"/>
        <v>56355</v>
      </c>
      <c r="L1302" s="8" t="s">
        <v>187</v>
      </c>
      <c r="M1302" s="8" t="s">
        <v>91</v>
      </c>
      <c r="N1302">
        <v>12</v>
      </c>
      <c r="O1302">
        <v>2023</v>
      </c>
      <c r="P1302" s="29" t="s">
        <v>725</v>
      </c>
      <c r="Q1302" t="s">
        <v>733</v>
      </c>
      <c r="R1302" t="s">
        <v>739</v>
      </c>
    </row>
    <row r="1303" spans="1:18" x14ac:dyDescent="0.25">
      <c r="A1303" s="9">
        <v>1302</v>
      </c>
      <c r="B1303" s="10">
        <v>45283</v>
      </c>
      <c r="C1303" s="11" t="s">
        <v>108</v>
      </c>
      <c r="D1303" s="11" t="s">
        <v>73</v>
      </c>
      <c r="E1303" s="11" t="s">
        <v>74</v>
      </c>
      <c r="F1303" s="11" t="s">
        <v>99</v>
      </c>
      <c r="G1303" s="9">
        <v>23</v>
      </c>
      <c r="H1303" s="26">
        <v>3800</v>
      </c>
      <c r="I1303" s="9">
        <v>10</v>
      </c>
      <c r="J1303" s="9">
        <f t="shared" si="40"/>
        <v>87400</v>
      </c>
      <c r="K1303" s="9">
        <f t="shared" si="41"/>
        <v>78660</v>
      </c>
      <c r="L1303" s="11" t="s">
        <v>187</v>
      </c>
      <c r="M1303" s="11" t="s">
        <v>81</v>
      </c>
      <c r="N1303">
        <v>12</v>
      </c>
      <c r="O1303">
        <v>2023</v>
      </c>
      <c r="P1303" s="29" t="s">
        <v>725</v>
      </c>
      <c r="Q1303" t="s">
        <v>733</v>
      </c>
      <c r="R1303" t="s">
        <v>739</v>
      </c>
    </row>
    <row r="1304" spans="1:18" x14ac:dyDescent="0.25">
      <c r="A1304" s="6">
        <v>1303</v>
      </c>
      <c r="B1304" s="7">
        <v>45500</v>
      </c>
      <c r="C1304" s="8" t="s">
        <v>106</v>
      </c>
      <c r="D1304" s="8" t="s">
        <v>83</v>
      </c>
      <c r="E1304" s="8" t="s">
        <v>74</v>
      </c>
      <c r="F1304" s="8" t="s">
        <v>142</v>
      </c>
      <c r="G1304" s="6">
        <v>1</v>
      </c>
      <c r="H1304" s="25">
        <v>13600</v>
      </c>
      <c r="I1304" s="6">
        <v>10</v>
      </c>
      <c r="J1304" s="6">
        <f t="shared" si="40"/>
        <v>13600</v>
      </c>
      <c r="K1304" s="6">
        <f t="shared" si="41"/>
        <v>12240</v>
      </c>
      <c r="L1304" s="8" t="s">
        <v>76</v>
      </c>
      <c r="M1304" s="8" t="s">
        <v>96</v>
      </c>
      <c r="N1304">
        <v>7</v>
      </c>
      <c r="O1304">
        <v>2024</v>
      </c>
      <c r="P1304" s="29" t="s">
        <v>712</v>
      </c>
      <c r="Q1304" t="s">
        <v>734</v>
      </c>
      <c r="R1304" t="s">
        <v>738</v>
      </c>
    </row>
    <row r="1305" spans="1:18" x14ac:dyDescent="0.25">
      <c r="A1305" s="9">
        <v>1304</v>
      </c>
      <c r="B1305" s="10">
        <v>45126</v>
      </c>
      <c r="C1305" s="11" t="s">
        <v>78</v>
      </c>
      <c r="D1305" s="11" t="s">
        <v>93</v>
      </c>
      <c r="E1305" s="11" t="s">
        <v>74</v>
      </c>
      <c r="F1305" s="11" t="s">
        <v>212</v>
      </c>
      <c r="G1305" s="9">
        <v>24</v>
      </c>
      <c r="H1305" s="26">
        <v>7400</v>
      </c>
      <c r="I1305" s="9">
        <v>10</v>
      </c>
      <c r="J1305" s="9">
        <f t="shared" si="40"/>
        <v>177600</v>
      </c>
      <c r="K1305" s="9">
        <f t="shared" si="41"/>
        <v>159840</v>
      </c>
      <c r="L1305" s="11" t="s">
        <v>107</v>
      </c>
      <c r="M1305" s="11" t="s">
        <v>77</v>
      </c>
      <c r="N1305">
        <v>7</v>
      </c>
      <c r="O1305">
        <v>2023</v>
      </c>
      <c r="P1305" s="29" t="s">
        <v>724</v>
      </c>
      <c r="Q1305" t="s">
        <v>734</v>
      </c>
      <c r="R1305" t="s">
        <v>739</v>
      </c>
    </row>
    <row r="1306" spans="1:18" x14ac:dyDescent="0.25">
      <c r="A1306" s="6">
        <v>1305</v>
      </c>
      <c r="B1306" s="7">
        <v>45117</v>
      </c>
      <c r="C1306" s="8" t="s">
        <v>78</v>
      </c>
      <c r="D1306" s="8" t="s">
        <v>117</v>
      </c>
      <c r="E1306" s="8" t="s">
        <v>111</v>
      </c>
      <c r="F1306" s="8" t="s">
        <v>165</v>
      </c>
      <c r="G1306" s="6">
        <v>45</v>
      </c>
      <c r="H1306" s="25">
        <v>16400</v>
      </c>
      <c r="I1306" s="6">
        <v>15</v>
      </c>
      <c r="J1306" s="6">
        <f t="shared" si="40"/>
        <v>738000</v>
      </c>
      <c r="K1306" s="6">
        <f t="shared" si="41"/>
        <v>627300</v>
      </c>
      <c r="L1306" s="8" t="s">
        <v>187</v>
      </c>
      <c r="M1306" s="8" t="s">
        <v>96</v>
      </c>
      <c r="N1306">
        <v>7</v>
      </c>
      <c r="O1306">
        <v>2023</v>
      </c>
      <c r="P1306" s="29" t="s">
        <v>724</v>
      </c>
      <c r="Q1306" t="s">
        <v>734</v>
      </c>
      <c r="R1306" t="s">
        <v>737</v>
      </c>
    </row>
    <row r="1307" spans="1:18" x14ac:dyDescent="0.25">
      <c r="A1307" s="9">
        <v>1306</v>
      </c>
      <c r="B1307" s="10">
        <v>44985</v>
      </c>
      <c r="C1307" s="11" t="s">
        <v>124</v>
      </c>
      <c r="D1307" s="11" t="s">
        <v>73</v>
      </c>
      <c r="E1307" s="11" t="s">
        <v>111</v>
      </c>
      <c r="F1307" s="11" t="s">
        <v>159</v>
      </c>
      <c r="G1307" s="9">
        <v>31</v>
      </c>
      <c r="H1307" s="26">
        <v>12300</v>
      </c>
      <c r="I1307" s="9">
        <v>0</v>
      </c>
      <c r="J1307" s="9">
        <f t="shared" si="40"/>
        <v>381300</v>
      </c>
      <c r="K1307" s="9">
        <f t="shared" si="41"/>
        <v>381300</v>
      </c>
      <c r="L1307" s="11" t="s">
        <v>187</v>
      </c>
      <c r="M1307" s="11" t="s">
        <v>77</v>
      </c>
      <c r="N1307">
        <v>2</v>
      </c>
      <c r="O1307">
        <v>2023</v>
      </c>
      <c r="P1307" s="29" t="s">
        <v>717</v>
      </c>
      <c r="Q1307" t="s">
        <v>735</v>
      </c>
      <c r="R1307" t="s">
        <v>737</v>
      </c>
    </row>
    <row r="1308" spans="1:18" x14ac:dyDescent="0.25">
      <c r="A1308" s="6">
        <v>1307</v>
      </c>
      <c r="B1308" s="7">
        <v>45305</v>
      </c>
      <c r="C1308" s="8" t="s">
        <v>78</v>
      </c>
      <c r="D1308" s="8" t="s">
        <v>93</v>
      </c>
      <c r="E1308" s="8" t="s">
        <v>84</v>
      </c>
      <c r="F1308" s="8" t="s">
        <v>128</v>
      </c>
      <c r="G1308" s="6">
        <v>9</v>
      </c>
      <c r="H1308" s="25">
        <v>4700</v>
      </c>
      <c r="I1308" s="6">
        <v>0</v>
      </c>
      <c r="J1308" s="6">
        <f t="shared" si="40"/>
        <v>42300</v>
      </c>
      <c r="K1308" s="6">
        <f t="shared" si="41"/>
        <v>42300</v>
      </c>
      <c r="L1308" s="8" t="s">
        <v>76</v>
      </c>
      <c r="M1308" s="8" t="s">
        <v>77</v>
      </c>
      <c r="N1308">
        <v>1</v>
      </c>
      <c r="O1308">
        <v>2024</v>
      </c>
      <c r="P1308" s="29" t="s">
        <v>727</v>
      </c>
      <c r="Q1308" t="s">
        <v>735</v>
      </c>
      <c r="R1308" t="s">
        <v>738</v>
      </c>
    </row>
    <row r="1309" spans="1:18" x14ac:dyDescent="0.25">
      <c r="A1309" s="9">
        <v>1308</v>
      </c>
      <c r="B1309" s="10">
        <v>45381</v>
      </c>
      <c r="C1309" s="11" t="s">
        <v>78</v>
      </c>
      <c r="D1309" s="11" t="s">
        <v>117</v>
      </c>
      <c r="E1309" s="11" t="s">
        <v>79</v>
      </c>
      <c r="F1309" s="11" t="s">
        <v>179</v>
      </c>
      <c r="G1309" s="9">
        <v>13</v>
      </c>
      <c r="H1309" s="26">
        <v>2900</v>
      </c>
      <c r="I1309" s="9">
        <v>0</v>
      </c>
      <c r="J1309" s="9">
        <f t="shared" si="40"/>
        <v>37700</v>
      </c>
      <c r="K1309" s="9">
        <f t="shared" si="41"/>
        <v>37700</v>
      </c>
      <c r="L1309" s="11" t="s">
        <v>187</v>
      </c>
      <c r="M1309" s="11" t="s">
        <v>77</v>
      </c>
      <c r="N1309">
        <v>3</v>
      </c>
      <c r="O1309">
        <v>2024</v>
      </c>
      <c r="P1309" s="29" t="s">
        <v>711</v>
      </c>
      <c r="Q1309" t="s">
        <v>735</v>
      </c>
      <c r="R1309" t="s">
        <v>738</v>
      </c>
    </row>
    <row r="1310" spans="1:18" x14ac:dyDescent="0.25">
      <c r="A1310" s="6">
        <v>1309</v>
      </c>
      <c r="B1310" s="7">
        <v>45615</v>
      </c>
      <c r="C1310" s="8" t="s">
        <v>88</v>
      </c>
      <c r="D1310" s="8" t="s">
        <v>109</v>
      </c>
      <c r="E1310" s="8" t="s">
        <v>102</v>
      </c>
      <c r="F1310" s="8" t="s">
        <v>157</v>
      </c>
      <c r="G1310" s="6">
        <v>43</v>
      </c>
      <c r="H1310" s="25">
        <v>12300</v>
      </c>
      <c r="I1310" s="6">
        <v>0</v>
      </c>
      <c r="J1310" s="6">
        <f t="shared" si="40"/>
        <v>528900</v>
      </c>
      <c r="K1310" s="6">
        <f t="shared" si="41"/>
        <v>528900</v>
      </c>
      <c r="L1310" s="8" t="s">
        <v>76</v>
      </c>
      <c r="M1310" s="8" t="s">
        <v>77</v>
      </c>
      <c r="N1310">
        <v>11</v>
      </c>
      <c r="O1310">
        <v>2024</v>
      </c>
      <c r="P1310" s="29" t="s">
        <v>714</v>
      </c>
      <c r="Q1310" t="s">
        <v>733</v>
      </c>
      <c r="R1310" t="s">
        <v>737</v>
      </c>
    </row>
    <row r="1311" spans="1:18" x14ac:dyDescent="0.25">
      <c r="A1311" s="9">
        <v>1310</v>
      </c>
      <c r="B1311" s="10">
        <v>45124</v>
      </c>
      <c r="C1311" s="11" t="s">
        <v>82</v>
      </c>
      <c r="D1311" s="11" t="s">
        <v>109</v>
      </c>
      <c r="E1311" s="11" t="s">
        <v>74</v>
      </c>
      <c r="F1311" s="11" t="s">
        <v>118</v>
      </c>
      <c r="G1311" s="9">
        <v>3</v>
      </c>
      <c r="H1311" s="26">
        <v>26400</v>
      </c>
      <c r="I1311" s="9">
        <v>15</v>
      </c>
      <c r="J1311" s="9">
        <f t="shared" si="40"/>
        <v>79200</v>
      </c>
      <c r="K1311" s="9">
        <f t="shared" si="41"/>
        <v>67320</v>
      </c>
      <c r="L1311" s="11" t="s">
        <v>76</v>
      </c>
      <c r="M1311" s="11" t="s">
        <v>81</v>
      </c>
      <c r="N1311">
        <v>7</v>
      </c>
      <c r="O1311">
        <v>2023</v>
      </c>
      <c r="P1311" s="29" t="s">
        <v>724</v>
      </c>
      <c r="Q1311" t="s">
        <v>734</v>
      </c>
      <c r="R1311" t="s">
        <v>739</v>
      </c>
    </row>
    <row r="1312" spans="1:18" x14ac:dyDescent="0.25">
      <c r="A1312" s="6">
        <v>1311</v>
      </c>
      <c r="B1312" s="7">
        <v>45297</v>
      </c>
      <c r="C1312" s="8" t="s">
        <v>114</v>
      </c>
      <c r="D1312" s="8" t="s">
        <v>109</v>
      </c>
      <c r="E1312" s="8" t="s">
        <v>79</v>
      </c>
      <c r="F1312" s="8" t="s">
        <v>179</v>
      </c>
      <c r="G1312" s="6">
        <v>23</v>
      </c>
      <c r="H1312" s="25">
        <v>2400</v>
      </c>
      <c r="I1312" s="6">
        <v>10</v>
      </c>
      <c r="J1312" s="6">
        <f t="shared" si="40"/>
        <v>55200</v>
      </c>
      <c r="K1312" s="6">
        <f t="shared" si="41"/>
        <v>49680</v>
      </c>
      <c r="L1312" s="8" t="s">
        <v>76</v>
      </c>
      <c r="M1312" s="8" t="s">
        <v>91</v>
      </c>
      <c r="N1312">
        <v>1</v>
      </c>
      <c r="O1312">
        <v>2024</v>
      </c>
      <c r="P1312" s="29" t="s">
        <v>727</v>
      </c>
      <c r="Q1312" t="s">
        <v>735</v>
      </c>
      <c r="R1312" t="s">
        <v>738</v>
      </c>
    </row>
    <row r="1313" spans="1:18" x14ac:dyDescent="0.25">
      <c r="A1313" s="9">
        <v>1312</v>
      </c>
      <c r="B1313" s="10">
        <v>45640</v>
      </c>
      <c r="C1313" s="11" t="s">
        <v>97</v>
      </c>
      <c r="D1313" s="11" t="s">
        <v>93</v>
      </c>
      <c r="E1313" s="11" t="s">
        <v>111</v>
      </c>
      <c r="F1313" s="11" t="s">
        <v>112</v>
      </c>
      <c r="G1313" s="9">
        <v>6</v>
      </c>
      <c r="H1313" s="26">
        <v>60400</v>
      </c>
      <c r="I1313" s="9">
        <v>0</v>
      </c>
      <c r="J1313" s="9">
        <f t="shared" si="40"/>
        <v>362400</v>
      </c>
      <c r="K1313" s="9">
        <f t="shared" si="41"/>
        <v>362400</v>
      </c>
      <c r="L1313" s="11" t="s">
        <v>76</v>
      </c>
      <c r="M1313" s="11" t="s">
        <v>77</v>
      </c>
      <c r="N1313">
        <v>12</v>
      </c>
      <c r="O1313">
        <v>2024</v>
      </c>
      <c r="P1313" s="29" t="s">
        <v>728</v>
      </c>
      <c r="Q1313" t="s">
        <v>733</v>
      </c>
      <c r="R1313" t="s">
        <v>737</v>
      </c>
    </row>
    <row r="1314" spans="1:18" x14ac:dyDescent="0.25">
      <c r="A1314" s="6">
        <v>1313</v>
      </c>
      <c r="B1314" s="7">
        <v>45252</v>
      </c>
      <c r="C1314" s="8" t="s">
        <v>124</v>
      </c>
      <c r="D1314" s="8" t="s">
        <v>73</v>
      </c>
      <c r="E1314" s="8" t="s">
        <v>84</v>
      </c>
      <c r="F1314" s="8" t="s">
        <v>206</v>
      </c>
      <c r="G1314" s="6">
        <v>24</v>
      </c>
      <c r="H1314" s="25">
        <v>13400</v>
      </c>
      <c r="I1314" s="6">
        <v>0</v>
      </c>
      <c r="J1314" s="6">
        <f t="shared" si="40"/>
        <v>321600</v>
      </c>
      <c r="K1314" s="6">
        <f t="shared" si="41"/>
        <v>321600</v>
      </c>
      <c r="L1314" s="8" t="s">
        <v>76</v>
      </c>
      <c r="M1314" s="8" t="s">
        <v>81</v>
      </c>
      <c r="N1314">
        <v>11</v>
      </c>
      <c r="O1314">
        <v>2023</v>
      </c>
      <c r="P1314" s="29" t="s">
        <v>718</v>
      </c>
      <c r="Q1314" t="s">
        <v>733</v>
      </c>
      <c r="R1314" t="s">
        <v>737</v>
      </c>
    </row>
    <row r="1315" spans="1:18" x14ac:dyDescent="0.25">
      <c r="A1315" s="9">
        <v>1314</v>
      </c>
      <c r="B1315" s="10">
        <v>45624</v>
      </c>
      <c r="C1315" s="11" t="s">
        <v>106</v>
      </c>
      <c r="D1315" s="11" t="s">
        <v>109</v>
      </c>
      <c r="E1315" s="11" t="s">
        <v>74</v>
      </c>
      <c r="F1315" s="11" t="s">
        <v>94</v>
      </c>
      <c r="G1315" s="9">
        <v>19</v>
      </c>
      <c r="H1315" s="26">
        <v>34800</v>
      </c>
      <c r="I1315" s="9">
        <v>10</v>
      </c>
      <c r="J1315" s="9">
        <f t="shared" si="40"/>
        <v>661200</v>
      </c>
      <c r="K1315" s="9">
        <f t="shared" si="41"/>
        <v>595080</v>
      </c>
      <c r="L1315" s="11" t="s">
        <v>76</v>
      </c>
      <c r="M1315" s="11" t="s">
        <v>81</v>
      </c>
      <c r="N1315">
        <v>11</v>
      </c>
      <c r="O1315">
        <v>2024</v>
      </c>
      <c r="P1315" s="29" t="s">
        <v>714</v>
      </c>
      <c r="Q1315" t="s">
        <v>733</v>
      </c>
      <c r="R1315" t="s">
        <v>737</v>
      </c>
    </row>
    <row r="1316" spans="1:18" x14ac:dyDescent="0.25">
      <c r="A1316" s="6">
        <v>1315</v>
      </c>
      <c r="B1316" s="7">
        <v>45250</v>
      </c>
      <c r="C1316" s="8" t="s">
        <v>114</v>
      </c>
      <c r="D1316" s="8" t="s">
        <v>109</v>
      </c>
      <c r="E1316" s="8" t="s">
        <v>84</v>
      </c>
      <c r="F1316" s="8" t="s">
        <v>134</v>
      </c>
      <c r="G1316" s="6">
        <v>12</v>
      </c>
      <c r="H1316" s="25">
        <v>10800</v>
      </c>
      <c r="I1316" s="6">
        <v>15</v>
      </c>
      <c r="J1316" s="6">
        <f t="shared" si="40"/>
        <v>129600</v>
      </c>
      <c r="K1316" s="6">
        <f t="shared" si="41"/>
        <v>110160</v>
      </c>
      <c r="L1316" s="8" t="s">
        <v>123</v>
      </c>
      <c r="M1316" s="8" t="s">
        <v>96</v>
      </c>
      <c r="N1316">
        <v>11</v>
      </c>
      <c r="O1316">
        <v>2023</v>
      </c>
      <c r="P1316" s="29" t="s">
        <v>718</v>
      </c>
      <c r="Q1316" t="s">
        <v>733</v>
      </c>
      <c r="R1316" t="s">
        <v>739</v>
      </c>
    </row>
    <row r="1317" spans="1:18" x14ac:dyDescent="0.25">
      <c r="A1317" s="9">
        <v>1316</v>
      </c>
      <c r="B1317" s="10">
        <v>45377</v>
      </c>
      <c r="C1317" s="11" t="s">
        <v>101</v>
      </c>
      <c r="D1317" s="11" t="s">
        <v>73</v>
      </c>
      <c r="E1317" s="11" t="s">
        <v>111</v>
      </c>
      <c r="F1317" s="11" t="s">
        <v>132</v>
      </c>
      <c r="G1317" s="9">
        <v>23</v>
      </c>
      <c r="H1317" s="26">
        <v>7800</v>
      </c>
      <c r="I1317" s="9">
        <v>20</v>
      </c>
      <c r="J1317" s="9">
        <f t="shared" si="40"/>
        <v>179400</v>
      </c>
      <c r="K1317" s="9">
        <f t="shared" si="41"/>
        <v>143520</v>
      </c>
      <c r="L1317" s="11" t="s">
        <v>187</v>
      </c>
      <c r="M1317" s="11" t="s">
        <v>91</v>
      </c>
      <c r="N1317">
        <v>3</v>
      </c>
      <c r="O1317">
        <v>2024</v>
      </c>
      <c r="P1317" s="29" t="s">
        <v>711</v>
      </c>
      <c r="Q1317" t="s">
        <v>735</v>
      </c>
      <c r="R1317" t="s">
        <v>739</v>
      </c>
    </row>
    <row r="1318" spans="1:18" x14ac:dyDescent="0.25">
      <c r="A1318" s="6">
        <v>1317</v>
      </c>
      <c r="B1318" s="7">
        <v>45514</v>
      </c>
      <c r="C1318" s="8" t="s">
        <v>108</v>
      </c>
      <c r="D1318" s="8" t="s">
        <v>73</v>
      </c>
      <c r="E1318" s="8" t="s">
        <v>102</v>
      </c>
      <c r="F1318" s="8" t="s">
        <v>151</v>
      </c>
      <c r="G1318" s="6">
        <v>37</v>
      </c>
      <c r="H1318" s="25">
        <v>7000</v>
      </c>
      <c r="I1318" s="6">
        <v>0</v>
      </c>
      <c r="J1318" s="6">
        <f t="shared" si="40"/>
        <v>259000</v>
      </c>
      <c r="K1318" s="6">
        <f t="shared" si="41"/>
        <v>259000</v>
      </c>
      <c r="L1318" s="8" t="s">
        <v>76</v>
      </c>
      <c r="M1318" s="31" t="s">
        <v>695</v>
      </c>
      <c r="N1318">
        <v>8</v>
      </c>
      <c r="O1318">
        <v>2024</v>
      </c>
      <c r="P1318" s="29" t="s">
        <v>710</v>
      </c>
      <c r="Q1318" t="s">
        <v>734</v>
      </c>
      <c r="R1318" t="s">
        <v>737</v>
      </c>
    </row>
    <row r="1319" spans="1:18" x14ac:dyDescent="0.25">
      <c r="A1319" s="9">
        <v>1318</v>
      </c>
      <c r="B1319" s="10">
        <v>45588</v>
      </c>
      <c r="C1319" s="11" t="s">
        <v>101</v>
      </c>
      <c r="D1319" s="11" t="s">
        <v>109</v>
      </c>
      <c r="E1319" s="11" t="s">
        <v>74</v>
      </c>
      <c r="F1319" s="11" t="s">
        <v>190</v>
      </c>
      <c r="G1319" s="9">
        <v>50</v>
      </c>
      <c r="H1319" s="26">
        <v>29500</v>
      </c>
      <c r="I1319" s="9">
        <v>5</v>
      </c>
      <c r="J1319" s="9">
        <f t="shared" si="40"/>
        <v>1475000</v>
      </c>
      <c r="K1319" s="9">
        <f t="shared" si="41"/>
        <v>1401250</v>
      </c>
      <c r="L1319" s="11" t="s">
        <v>76</v>
      </c>
      <c r="M1319" s="31" t="s">
        <v>695</v>
      </c>
      <c r="N1319">
        <v>10</v>
      </c>
      <c r="O1319">
        <v>2024</v>
      </c>
      <c r="P1319" s="29" t="s">
        <v>709</v>
      </c>
      <c r="Q1319" t="s">
        <v>733</v>
      </c>
      <c r="R1319" t="s">
        <v>737</v>
      </c>
    </row>
    <row r="1320" spans="1:18" x14ac:dyDescent="0.25">
      <c r="A1320" s="6">
        <v>1319</v>
      </c>
      <c r="B1320" s="7">
        <v>45194</v>
      </c>
      <c r="C1320" s="8" t="s">
        <v>78</v>
      </c>
      <c r="D1320" s="8" t="s">
        <v>73</v>
      </c>
      <c r="E1320" s="8" t="s">
        <v>102</v>
      </c>
      <c r="F1320" s="8" t="s">
        <v>103</v>
      </c>
      <c r="G1320" s="6">
        <v>30</v>
      </c>
      <c r="H1320" s="25">
        <v>10000</v>
      </c>
      <c r="I1320" s="6">
        <v>10</v>
      </c>
      <c r="J1320" s="6">
        <f t="shared" si="40"/>
        <v>300000</v>
      </c>
      <c r="K1320" s="6">
        <f t="shared" si="41"/>
        <v>270000</v>
      </c>
      <c r="L1320" s="8" t="s">
        <v>76</v>
      </c>
      <c r="M1320" s="8" t="s">
        <v>96</v>
      </c>
      <c r="N1320">
        <v>9</v>
      </c>
      <c r="O1320">
        <v>2023</v>
      </c>
      <c r="P1320" s="29" t="s">
        <v>715</v>
      </c>
      <c r="Q1320" t="s">
        <v>734</v>
      </c>
      <c r="R1320" t="s">
        <v>737</v>
      </c>
    </row>
    <row r="1321" spans="1:18" x14ac:dyDescent="0.25">
      <c r="A1321" s="9">
        <v>1320</v>
      </c>
      <c r="B1321" s="10">
        <v>45313</v>
      </c>
      <c r="C1321" s="11" t="s">
        <v>124</v>
      </c>
      <c r="D1321" s="11" t="s">
        <v>73</v>
      </c>
      <c r="E1321" s="11" t="s">
        <v>74</v>
      </c>
      <c r="F1321" s="11" t="s">
        <v>118</v>
      </c>
      <c r="G1321" s="9">
        <v>1</v>
      </c>
      <c r="H1321" s="26">
        <v>29600</v>
      </c>
      <c r="I1321" s="9">
        <v>0</v>
      </c>
      <c r="J1321" s="9">
        <f t="shared" si="40"/>
        <v>29600</v>
      </c>
      <c r="K1321" s="9">
        <f t="shared" si="41"/>
        <v>29600</v>
      </c>
      <c r="L1321" s="11" t="s">
        <v>76</v>
      </c>
      <c r="M1321" s="11" t="s">
        <v>91</v>
      </c>
      <c r="N1321">
        <v>1</v>
      </c>
      <c r="O1321">
        <v>2024</v>
      </c>
      <c r="P1321" s="29" t="s">
        <v>727</v>
      </c>
      <c r="Q1321" t="s">
        <v>735</v>
      </c>
      <c r="R1321" t="s">
        <v>738</v>
      </c>
    </row>
    <row r="1322" spans="1:18" x14ac:dyDescent="0.25">
      <c r="A1322" s="6">
        <v>1321</v>
      </c>
      <c r="B1322" s="7">
        <v>45242</v>
      </c>
      <c r="C1322" s="8" t="s">
        <v>97</v>
      </c>
      <c r="D1322" s="8" t="s">
        <v>109</v>
      </c>
      <c r="E1322" s="8" t="s">
        <v>74</v>
      </c>
      <c r="F1322" s="8" t="s">
        <v>190</v>
      </c>
      <c r="G1322" s="6">
        <v>35</v>
      </c>
      <c r="H1322" s="25">
        <v>30100</v>
      </c>
      <c r="I1322" s="6">
        <v>5</v>
      </c>
      <c r="J1322" s="6">
        <f t="shared" si="40"/>
        <v>1053500</v>
      </c>
      <c r="K1322" s="6">
        <f t="shared" si="41"/>
        <v>1000825</v>
      </c>
      <c r="L1322" s="8" t="s">
        <v>76</v>
      </c>
      <c r="M1322" s="8" t="s">
        <v>77</v>
      </c>
      <c r="N1322">
        <v>11</v>
      </c>
      <c r="O1322">
        <v>2023</v>
      </c>
      <c r="P1322" s="29" t="s">
        <v>718</v>
      </c>
      <c r="Q1322" t="s">
        <v>733</v>
      </c>
      <c r="R1322" t="s">
        <v>737</v>
      </c>
    </row>
    <row r="1323" spans="1:18" x14ac:dyDescent="0.25">
      <c r="A1323" s="9">
        <v>1322</v>
      </c>
      <c r="B1323" s="10">
        <v>45558</v>
      </c>
      <c r="C1323" s="11" t="s">
        <v>119</v>
      </c>
      <c r="D1323" s="11" t="s">
        <v>93</v>
      </c>
      <c r="E1323" s="11" t="s">
        <v>102</v>
      </c>
      <c r="F1323" s="11" t="s">
        <v>151</v>
      </c>
      <c r="G1323" s="9">
        <v>31</v>
      </c>
      <c r="H1323" s="26">
        <v>8100</v>
      </c>
      <c r="I1323" s="9">
        <v>15</v>
      </c>
      <c r="J1323" s="9">
        <f t="shared" si="40"/>
        <v>251100</v>
      </c>
      <c r="K1323" s="9">
        <f t="shared" si="41"/>
        <v>213435</v>
      </c>
      <c r="L1323" s="11" t="s">
        <v>187</v>
      </c>
      <c r="M1323" s="11" t="s">
        <v>96</v>
      </c>
      <c r="N1323">
        <v>9</v>
      </c>
      <c r="O1323">
        <v>2024</v>
      </c>
      <c r="P1323" s="29" t="s">
        <v>731</v>
      </c>
      <c r="Q1323" t="s">
        <v>734</v>
      </c>
      <c r="R1323" t="s">
        <v>737</v>
      </c>
    </row>
    <row r="1324" spans="1:18" x14ac:dyDescent="0.25">
      <c r="A1324" s="6">
        <v>1323</v>
      </c>
      <c r="B1324" s="7">
        <v>45309</v>
      </c>
      <c r="C1324" s="8" t="s">
        <v>124</v>
      </c>
      <c r="D1324" s="8" t="s">
        <v>117</v>
      </c>
      <c r="E1324" s="8" t="s">
        <v>111</v>
      </c>
      <c r="F1324" s="8" t="s">
        <v>165</v>
      </c>
      <c r="G1324" s="6">
        <v>15</v>
      </c>
      <c r="H1324" s="25">
        <v>17600</v>
      </c>
      <c r="I1324" s="6">
        <v>5</v>
      </c>
      <c r="J1324" s="6">
        <f t="shared" si="40"/>
        <v>264000</v>
      </c>
      <c r="K1324" s="6">
        <f t="shared" si="41"/>
        <v>250800</v>
      </c>
      <c r="L1324" s="8" t="s">
        <v>187</v>
      </c>
      <c r="M1324" s="8" t="s">
        <v>77</v>
      </c>
      <c r="N1324">
        <v>1</v>
      </c>
      <c r="O1324">
        <v>2024</v>
      </c>
      <c r="P1324" s="29" t="s">
        <v>727</v>
      </c>
      <c r="Q1324" t="s">
        <v>735</v>
      </c>
      <c r="R1324" t="s">
        <v>737</v>
      </c>
    </row>
    <row r="1325" spans="1:18" x14ac:dyDescent="0.25">
      <c r="A1325" s="9">
        <v>1324</v>
      </c>
      <c r="B1325" s="10">
        <v>45629</v>
      </c>
      <c r="C1325" s="11" t="s">
        <v>101</v>
      </c>
      <c r="D1325" s="11" t="s">
        <v>93</v>
      </c>
      <c r="E1325" s="11" t="s">
        <v>111</v>
      </c>
      <c r="F1325" s="11" t="s">
        <v>192</v>
      </c>
      <c r="G1325" s="9">
        <v>11</v>
      </c>
      <c r="H1325" s="26">
        <v>89400</v>
      </c>
      <c r="I1325" s="9">
        <v>10</v>
      </c>
      <c r="J1325" s="9">
        <f t="shared" si="40"/>
        <v>983400</v>
      </c>
      <c r="K1325" s="9">
        <f t="shared" si="41"/>
        <v>885060</v>
      </c>
      <c r="L1325" s="11" t="s">
        <v>107</v>
      </c>
      <c r="M1325" s="11" t="s">
        <v>81</v>
      </c>
      <c r="N1325">
        <v>12</v>
      </c>
      <c r="O1325">
        <v>2024</v>
      </c>
      <c r="P1325" s="29" t="s">
        <v>728</v>
      </c>
      <c r="Q1325" t="s">
        <v>733</v>
      </c>
      <c r="R1325" t="s">
        <v>737</v>
      </c>
    </row>
    <row r="1326" spans="1:18" x14ac:dyDescent="0.25">
      <c r="A1326" s="6">
        <v>1325</v>
      </c>
      <c r="B1326" s="7">
        <v>45069</v>
      </c>
      <c r="C1326" s="8" t="s">
        <v>108</v>
      </c>
      <c r="D1326" s="8" t="s">
        <v>117</v>
      </c>
      <c r="E1326" s="8" t="s">
        <v>79</v>
      </c>
      <c r="F1326" s="8" t="s">
        <v>131</v>
      </c>
      <c r="G1326" s="6">
        <v>50</v>
      </c>
      <c r="H1326" s="25">
        <v>117300</v>
      </c>
      <c r="I1326" s="6">
        <v>5</v>
      </c>
      <c r="J1326" s="6">
        <f t="shared" si="40"/>
        <v>5865000</v>
      </c>
      <c r="K1326" s="6">
        <f t="shared" si="41"/>
        <v>5571750</v>
      </c>
      <c r="L1326" s="8" t="s">
        <v>76</v>
      </c>
      <c r="M1326" s="8" t="s">
        <v>96</v>
      </c>
      <c r="N1326">
        <v>5</v>
      </c>
      <c r="O1326">
        <v>2023</v>
      </c>
      <c r="P1326" s="29" t="s">
        <v>730</v>
      </c>
      <c r="Q1326" t="s">
        <v>736</v>
      </c>
      <c r="R1326" t="s">
        <v>737</v>
      </c>
    </row>
    <row r="1327" spans="1:18" x14ac:dyDescent="0.25">
      <c r="A1327" s="9">
        <v>1326</v>
      </c>
      <c r="B1327" s="10">
        <v>45567</v>
      </c>
      <c r="C1327" s="11" t="s">
        <v>108</v>
      </c>
      <c r="D1327" s="11" t="s">
        <v>83</v>
      </c>
      <c r="E1327" s="11" t="s">
        <v>79</v>
      </c>
      <c r="F1327" s="11" t="s">
        <v>122</v>
      </c>
      <c r="G1327" s="9">
        <v>12</v>
      </c>
      <c r="H1327" s="26">
        <v>17100</v>
      </c>
      <c r="I1327" s="9">
        <v>0</v>
      </c>
      <c r="J1327" s="9">
        <f t="shared" si="40"/>
        <v>205200</v>
      </c>
      <c r="K1327" s="9">
        <f t="shared" si="41"/>
        <v>205200</v>
      </c>
      <c r="L1327" s="11" t="s">
        <v>76</v>
      </c>
      <c r="M1327" s="11" t="s">
        <v>77</v>
      </c>
      <c r="N1327">
        <v>10</v>
      </c>
      <c r="O1327">
        <v>2024</v>
      </c>
      <c r="P1327" s="29" t="s">
        <v>709</v>
      </c>
      <c r="Q1327" t="s">
        <v>733</v>
      </c>
      <c r="R1327" t="s">
        <v>737</v>
      </c>
    </row>
    <row r="1328" spans="1:18" x14ac:dyDescent="0.25">
      <c r="A1328" s="6">
        <v>1327</v>
      </c>
      <c r="B1328" s="7">
        <v>45168</v>
      </c>
      <c r="C1328" s="8" t="s">
        <v>106</v>
      </c>
      <c r="D1328" s="8" t="s">
        <v>83</v>
      </c>
      <c r="E1328" s="8" t="s">
        <v>79</v>
      </c>
      <c r="F1328" s="8" t="s">
        <v>80</v>
      </c>
      <c r="G1328" s="6">
        <v>36</v>
      </c>
      <c r="H1328" s="25">
        <v>8000</v>
      </c>
      <c r="I1328" s="6">
        <v>0</v>
      </c>
      <c r="J1328" s="6">
        <f t="shared" si="40"/>
        <v>288000</v>
      </c>
      <c r="K1328" s="6">
        <f t="shared" si="41"/>
        <v>288000</v>
      </c>
      <c r="L1328" s="8" t="s">
        <v>187</v>
      </c>
      <c r="M1328" s="8" t="s">
        <v>96</v>
      </c>
      <c r="N1328">
        <v>8</v>
      </c>
      <c r="O1328">
        <v>2023</v>
      </c>
      <c r="P1328" s="29" t="s">
        <v>713</v>
      </c>
      <c r="Q1328" t="s">
        <v>734</v>
      </c>
      <c r="R1328" t="s">
        <v>737</v>
      </c>
    </row>
    <row r="1329" spans="1:18" x14ac:dyDescent="0.25">
      <c r="A1329" s="9">
        <v>1328</v>
      </c>
      <c r="B1329" s="10">
        <v>45356</v>
      </c>
      <c r="C1329" s="11" t="s">
        <v>108</v>
      </c>
      <c r="D1329" s="11" t="s">
        <v>117</v>
      </c>
      <c r="E1329" s="11" t="s">
        <v>79</v>
      </c>
      <c r="F1329" s="11" t="s">
        <v>172</v>
      </c>
      <c r="G1329" s="9">
        <v>26</v>
      </c>
      <c r="H1329" s="26">
        <v>25900</v>
      </c>
      <c r="I1329" s="9">
        <v>15</v>
      </c>
      <c r="J1329" s="9">
        <f t="shared" si="40"/>
        <v>673400</v>
      </c>
      <c r="K1329" s="9">
        <f t="shared" si="41"/>
        <v>572390</v>
      </c>
      <c r="L1329" s="11" t="s">
        <v>187</v>
      </c>
      <c r="M1329" s="11" t="s">
        <v>91</v>
      </c>
      <c r="N1329">
        <v>3</v>
      </c>
      <c r="O1329">
        <v>2024</v>
      </c>
      <c r="P1329" s="29" t="s">
        <v>711</v>
      </c>
      <c r="Q1329" t="s">
        <v>735</v>
      </c>
      <c r="R1329" t="s">
        <v>737</v>
      </c>
    </row>
    <row r="1330" spans="1:18" x14ac:dyDescent="0.25">
      <c r="A1330" s="6">
        <v>1329</v>
      </c>
      <c r="B1330" s="7">
        <v>45312</v>
      </c>
      <c r="C1330" s="8" t="s">
        <v>119</v>
      </c>
      <c r="D1330" s="8" t="s">
        <v>109</v>
      </c>
      <c r="E1330" s="8" t="s">
        <v>79</v>
      </c>
      <c r="F1330" s="8" t="s">
        <v>115</v>
      </c>
      <c r="G1330" s="6">
        <v>49</v>
      </c>
      <c r="H1330" s="25">
        <v>8400</v>
      </c>
      <c r="I1330" s="6">
        <v>20</v>
      </c>
      <c r="J1330" s="6">
        <f t="shared" si="40"/>
        <v>411600</v>
      </c>
      <c r="K1330" s="6">
        <f t="shared" si="41"/>
        <v>329280</v>
      </c>
      <c r="L1330" s="8" t="s">
        <v>123</v>
      </c>
      <c r="M1330" s="8" t="s">
        <v>91</v>
      </c>
      <c r="N1330">
        <v>1</v>
      </c>
      <c r="O1330">
        <v>2024</v>
      </c>
      <c r="P1330" s="29" t="s">
        <v>727</v>
      </c>
      <c r="Q1330" t="s">
        <v>735</v>
      </c>
      <c r="R1330" t="s">
        <v>737</v>
      </c>
    </row>
    <row r="1331" spans="1:18" x14ac:dyDescent="0.25">
      <c r="A1331" s="9">
        <v>1330</v>
      </c>
      <c r="B1331" s="10">
        <v>44938</v>
      </c>
      <c r="C1331" s="11" t="s">
        <v>101</v>
      </c>
      <c r="D1331" s="11" t="s">
        <v>83</v>
      </c>
      <c r="E1331" s="11" t="s">
        <v>102</v>
      </c>
      <c r="F1331" s="11" t="s">
        <v>151</v>
      </c>
      <c r="G1331" s="9">
        <v>23</v>
      </c>
      <c r="H1331" s="26">
        <v>7800</v>
      </c>
      <c r="I1331" s="9">
        <v>0</v>
      </c>
      <c r="J1331" s="9">
        <f t="shared" si="40"/>
        <v>179400</v>
      </c>
      <c r="K1331" s="9">
        <f t="shared" si="41"/>
        <v>179400</v>
      </c>
      <c r="L1331" s="11" t="s">
        <v>76</v>
      </c>
      <c r="M1331" s="11" t="s">
        <v>77</v>
      </c>
      <c r="N1331">
        <v>1</v>
      </c>
      <c r="O1331">
        <v>2023</v>
      </c>
      <c r="P1331" s="29" t="s">
        <v>721</v>
      </c>
      <c r="Q1331" t="s">
        <v>735</v>
      </c>
      <c r="R1331" t="s">
        <v>739</v>
      </c>
    </row>
    <row r="1332" spans="1:18" x14ac:dyDescent="0.25">
      <c r="A1332" s="6">
        <v>1331</v>
      </c>
      <c r="B1332" s="7">
        <v>45550</v>
      </c>
      <c r="C1332" s="8" t="s">
        <v>108</v>
      </c>
      <c r="D1332" s="8" t="s">
        <v>109</v>
      </c>
      <c r="E1332" s="8" t="s">
        <v>74</v>
      </c>
      <c r="F1332" s="8" t="s">
        <v>212</v>
      </c>
      <c r="G1332" s="6">
        <v>1</v>
      </c>
      <c r="H1332" s="25">
        <v>7900</v>
      </c>
      <c r="I1332" s="6">
        <v>0</v>
      </c>
      <c r="J1332" s="6">
        <f t="shared" si="40"/>
        <v>7900</v>
      </c>
      <c r="K1332" s="6">
        <f t="shared" si="41"/>
        <v>7900</v>
      </c>
      <c r="L1332" s="8" t="s">
        <v>76</v>
      </c>
      <c r="M1332" s="8" t="s">
        <v>91</v>
      </c>
      <c r="N1332">
        <v>9</v>
      </c>
      <c r="O1332">
        <v>2024</v>
      </c>
      <c r="P1332" s="29" t="s">
        <v>731</v>
      </c>
      <c r="Q1332" t="s">
        <v>734</v>
      </c>
      <c r="R1332" t="s">
        <v>738</v>
      </c>
    </row>
    <row r="1333" spans="1:18" x14ac:dyDescent="0.25">
      <c r="A1333" s="9">
        <v>1332</v>
      </c>
      <c r="B1333" s="10">
        <v>45588</v>
      </c>
      <c r="C1333" s="11" t="s">
        <v>106</v>
      </c>
      <c r="D1333" s="11" t="s">
        <v>109</v>
      </c>
      <c r="E1333" s="11" t="s">
        <v>111</v>
      </c>
      <c r="F1333" s="11" t="s">
        <v>156</v>
      </c>
      <c r="G1333" s="9">
        <v>20</v>
      </c>
      <c r="H1333" s="26">
        <v>38300</v>
      </c>
      <c r="I1333" s="9">
        <v>5</v>
      </c>
      <c r="J1333" s="9">
        <f t="shared" si="40"/>
        <v>766000</v>
      </c>
      <c r="K1333" s="9">
        <f t="shared" si="41"/>
        <v>727700</v>
      </c>
      <c r="L1333" s="11" t="s">
        <v>76</v>
      </c>
      <c r="M1333" s="11" t="s">
        <v>96</v>
      </c>
      <c r="N1333">
        <v>10</v>
      </c>
      <c r="O1333">
        <v>2024</v>
      </c>
      <c r="P1333" s="29" t="s">
        <v>709</v>
      </c>
      <c r="Q1333" t="s">
        <v>733</v>
      </c>
      <c r="R1333" t="s">
        <v>737</v>
      </c>
    </row>
    <row r="1334" spans="1:18" x14ac:dyDescent="0.25">
      <c r="A1334" s="6">
        <v>1333</v>
      </c>
      <c r="B1334" s="7">
        <v>45596</v>
      </c>
      <c r="C1334" s="8" t="s">
        <v>108</v>
      </c>
      <c r="D1334" s="8" t="s">
        <v>83</v>
      </c>
      <c r="E1334" s="8" t="s">
        <v>84</v>
      </c>
      <c r="F1334" s="8" t="s">
        <v>134</v>
      </c>
      <c r="G1334" s="6">
        <v>44</v>
      </c>
      <c r="H1334" s="25">
        <v>9400</v>
      </c>
      <c r="I1334" s="6">
        <v>0</v>
      </c>
      <c r="J1334" s="6">
        <f t="shared" si="40"/>
        <v>413600</v>
      </c>
      <c r="K1334" s="6">
        <f t="shared" si="41"/>
        <v>413600</v>
      </c>
      <c r="L1334" s="8" t="s">
        <v>187</v>
      </c>
      <c r="M1334" s="8" t="s">
        <v>77</v>
      </c>
      <c r="N1334">
        <v>10</v>
      </c>
      <c r="O1334">
        <v>2024</v>
      </c>
      <c r="P1334" s="29" t="s">
        <v>709</v>
      </c>
      <c r="Q1334" t="s">
        <v>733</v>
      </c>
      <c r="R1334" t="s">
        <v>737</v>
      </c>
    </row>
    <row r="1335" spans="1:18" x14ac:dyDescent="0.25">
      <c r="A1335" s="9">
        <v>1334</v>
      </c>
      <c r="B1335" s="10">
        <v>45358</v>
      </c>
      <c r="C1335" s="11" t="s">
        <v>108</v>
      </c>
      <c r="D1335" s="11" t="s">
        <v>109</v>
      </c>
      <c r="E1335" s="11" t="s">
        <v>111</v>
      </c>
      <c r="F1335" s="11" t="s">
        <v>112</v>
      </c>
      <c r="G1335" s="9">
        <v>6</v>
      </c>
      <c r="H1335" s="26">
        <v>66100</v>
      </c>
      <c r="I1335" s="9">
        <v>15</v>
      </c>
      <c r="J1335" s="9">
        <f t="shared" si="40"/>
        <v>396600</v>
      </c>
      <c r="K1335" s="9">
        <f t="shared" si="41"/>
        <v>337110</v>
      </c>
      <c r="L1335" s="11" t="s">
        <v>76</v>
      </c>
      <c r="M1335" s="11" t="s">
        <v>77</v>
      </c>
      <c r="N1335">
        <v>3</v>
      </c>
      <c r="O1335">
        <v>2024</v>
      </c>
      <c r="P1335" s="29" t="s">
        <v>711</v>
      </c>
      <c r="Q1335" t="s">
        <v>735</v>
      </c>
      <c r="R1335" t="s">
        <v>737</v>
      </c>
    </row>
    <row r="1336" spans="1:18" x14ac:dyDescent="0.25">
      <c r="A1336" s="6">
        <v>1335</v>
      </c>
      <c r="B1336" s="7">
        <v>45341</v>
      </c>
      <c r="C1336" s="8" t="s">
        <v>78</v>
      </c>
      <c r="D1336" s="8" t="s">
        <v>109</v>
      </c>
      <c r="E1336" s="8" t="s">
        <v>74</v>
      </c>
      <c r="F1336" s="8" t="s">
        <v>142</v>
      </c>
      <c r="G1336" s="6">
        <v>25</v>
      </c>
      <c r="H1336" s="25">
        <v>12500</v>
      </c>
      <c r="I1336" s="6">
        <v>5</v>
      </c>
      <c r="J1336" s="6">
        <f t="shared" si="40"/>
        <v>312500</v>
      </c>
      <c r="K1336" s="6">
        <f t="shared" si="41"/>
        <v>296875</v>
      </c>
      <c r="L1336" s="8" t="s">
        <v>187</v>
      </c>
      <c r="M1336" s="8" t="s">
        <v>77</v>
      </c>
      <c r="N1336">
        <v>2</v>
      </c>
      <c r="O1336">
        <v>2024</v>
      </c>
      <c r="P1336" s="29" t="s">
        <v>729</v>
      </c>
      <c r="Q1336" t="s">
        <v>735</v>
      </c>
      <c r="R1336" t="s">
        <v>737</v>
      </c>
    </row>
    <row r="1337" spans="1:18" x14ac:dyDescent="0.25">
      <c r="A1337" s="9">
        <v>1336</v>
      </c>
      <c r="B1337" s="10">
        <v>45596</v>
      </c>
      <c r="C1337" s="11" t="s">
        <v>114</v>
      </c>
      <c r="D1337" s="11" t="s">
        <v>83</v>
      </c>
      <c r="E1337" s="11" t="s">
        <v>79</v>
      </c>
      <c r="F1337" s="11" t="s">
        <v>179</v>
      </c>
      <c r="G1337" s="9">
        <v>48</v>
      </c>
      <c r="H1337" s="26">
        <v>2500</v>
      </c>
      <c r="I1337" s="9">
        <v>10</v>
      </c>
      <c r="J1337" s="9">
        <f t="shared" si="40"/>
        <v>120000</v>
      </c>
      <c r="K1337" s="9">
        <f t="shared" si="41"/>
        <v>108000</v>
      </c>
      <c r="L1337" s="11" t="s">
        <v>76</v>
      </c>
      <c r="M1337" s="11" t="s">
        <v>91</v>
      </c>
      <c r="N1337">
        <v>10</v>
      </c>
      <c r="O1337">
        <v>2024</v>
      </c>
      <c r="P1337" s="29" t="s">
        <v>709</v>
      </c>
      <c r="Q1337" t="s">
        <v>733</v>
      </c>
      <c r="R1337" t="s">
        <v>739</v>
      </c>
    </row>
    <row r="1338" spans="1:18" x14ac:dyDescent="0.25">
      <c r="A1338" s="6">
        <v>1337</v>
      </c>
      <c r="B1338" s="7">
        <v>45308</v>
      </c>
      <c r="C1338" s="8" t="s">
        <v>119</v>
      </c>
      <c r="D1338" s="8" t="s">
        <v>117</v>
      </c>
      <c r="E1338" s="8" t="s">
        <v>102</v>
      </c>
      <c r="F1338" s="8" t="s">
        <v>157</v>
      </c>
      <c r="G1338" s="6">
        <v>12</v>
      </c>
      <c r="H1338" s="25">
        <v>11100</v>
      </c>
      <c r="I1338" s="6">
        <v>20</v>
      </c>
      <c r="J1338" s="6">
        <f t="shared" si="40"/>
        <v>133200</v>
      </c>
      <c r="K1338" s="6">
        <f t="shared" si="41"/>
        <v>106560</v>
      </c>
      <c r="L1338" s="8" t="s">
        <v>123</v>
      </c>
      <c r="M1338" s="8" t="s">
        <v>91</v>
      </c>
      <c r="N1338">
        <v>1</v>
      </c>
      <c r="O1338">
        <v>2024</v>
      </c>
      <c r="P1338" s="29" t="s">
        <v>727</v>
      </c>
      <c r="Q1338" t="s">
        <v>735</v>
      </c>
      <c r="R1338" t="s">
        <v>739</v>
      </c>
    </row>
    <row r="1339" spans="1:18" x14ac:dyDescent="0.25">
      <c r="A1339" s="9">
        <v>1338</v>
      </c>
      <c r="B1339" s="10">
        <v>45617</v>
      </c>
      <c r="C1339" s="11" t="s">
        <v>97</v>
      </c>
      <c r="D1339" s="11" t="s">
        <v>109</v>
      </c>
      <c r="E1339" s="11" t="s">
        <v>79</v>
      </c>
      <c r="F1339" s="11" t="s">
        <v>120</v>
      </c>
      <c r="G1339" s="9">
        <v>46</v>
      </c>
      <c r="H1339" s="26">
        <v>6800</v>
      </c>
      <c r="I1339" s="9">
        <v>10</v>
      </c>
      <c r="J1339" s="9">
        <f t="shared" si="40"/>
        <v>312800</v>
      </c>
      <c r="K1339" s="9">
        <f t="shared" si="41"/>
        <v>281520</v>
      </c>
      <c r="L1339" s="11" t="s">
        <v>76</v>
      </c>
      <c r="M1339" s="11" t="s">
        <v>81</v>
      </c>
      <c r="N1339">
        <v>11</v>
      </c>
      <c r="O1339">
        <v>2024</v>
      </c>
      <c r="P1339" s="29" t="s">
        <v>714</v>
      </c>
      <c r="Q1339" t="s">
        <v>733</v>
      </c>
      <c r="R1339" t="s">
        <v>737</v>
      </c>
    </row>
    <row r="1340" spans="1:18" x14ac:dyDescent="0.25">
      <c r="A1340" s="6">
        <v>1339</v>
      </c>
      <c r="B1340" s="7">
        <v>45556</v>
      </c>
      <c r="C1340" s="8" t="s">
        <v>119</v>
      </c>
      <c r="D1340" s="8" t="s">
        <v>83</v>
      </c>
      <c r="E1340" s="8" t="s">
        <v>79</v>
      </c>
      <c r="F1340" s="8" t="s">
        <v>172</v>
      </c>
      <c r="G1340" s="6">
        <v>8</v>
      </c>
      <c r="H1340" s="25">
        <v>24300</v>
      </c>
      <c r="I1340" s="6">
        <v>0</v>
      </c>
      <c r="J1340" s="6">
        <f t="shared" si="40"/>
        <v>194400</v>
      </c>
      <c r="K1340" s="6">
        <f t="shared" si="41"/>
        <v>194400</v>
      </c>
      <c r="L1340" s="8" t="s">
        <v>107</v>
      </c>
      <c r="M1340" s="8" t="s">
        <v>91</v>
      </c>
      <c r="N1340">
        <v>9</v>
      </c>
      <c r="O1340">
        <v>2024</v>
      </c>
      <c r="P1340" s="29" t="s">
        <v>731</v>
      </c>
      <c r="Q1340" t="s">
        <v>734</v>
      </c>
      <c r="R1340" t="s">
        <v>739</v>
      </c>
    </row>
    <row r="1341" spans="1:18" x14ac:dyDescent="0.25">
      <c r="A1341" s="9">
        <v>1340</v>
      </c>
      <c r="B1341" s="10">
        <v>44978</v>
      </c>
      <c r="C1341" s="11" t="s">
        <v>124</v>
      </c>
      <c r="D1341" s="11" t="s">
        <v>117</v>
      </c>
      <c r="E1341" s="11" t="s">
        <v>74</v>
      </c>
      <c r="F1341" s="11" t="s">
        <v>140</v>
      </c>
      <c r="G1341" s="9">
        <v>19</v>
      </c>
      <c r="H1341" s="26">
        <v>4400</v>
      </c>
      <c r="I1341" s="9">
        <v>10</v>
      </c>
      <c r="J1341" s="9">
        <f t="shared" si="40"/>
        <v>83600</v>
      </c>
      <c r="K1341" s="9">
        <f t="shared" si="41"/>
        <v>75240</v>
      </c>
      <c r="L1341" s="11" t="s">
        <v>187</v>
      </c>
      <c r="M1341" s="11" t="s">
        <v>77</v>
      </c>
      <c r="N1341">
        <v>2</v>
      </c>
      <c r="O1341">
        <v>2023</v>
      </c>
      <c r="P1341" s="29" t="s">
        <v>717</v>
      </c>
      <c r="Q1341" t="s">
        <v>735</v>
      </c>
      <c r="R1341" t="s">
        <v>739</v>
      </c>
    </row>
    <row r="1342" spans="1:18" x14ac:dyDescent="0.25">
      <c r="A1342" s="6">
        <v>1341</v>
      </c>
      <c r="B1342" s="7">
        <v>44936</v>
      </c>
      <c r="C1342" s="8" t="s">
        <v>108</v>
      </c>
      <c r="D1342" s="8" t="s">
        <v>117</v>
      </c>
      <c r="E1342" s="8" t="s">
        <v>74</v>
      </c>
      <c r="F1342" s="8" t="s">
        <v>140</v>
      </c>
      <c r="G1342" s="6">
        <v>21</v>
      </c>
      <c r="H1342" s="25">
        <v>4100</v>
      </c>
      <c r="I1342" s="6">
        <v>10</v>
      </c>
      <c r="J1342" s="6">
        <f t="shared" si="40"/>
        <v>86100</v>
      </c>
      <c r="K1342" s="6">
        <f t="shared" si="41"/>
        <v>77490</v>
      </c>
      <c r="L1342" s="8" t="s">
        <v>76</v>
      </c>
      <c r="M1342" s="8" t="s">
        <v>77</v>
      </c>
      <c r="N1342">
        <v>1</v>
      </c>
      <c r="O1342">
        <v>2023</v>
      </c>
      <c r="P1342" s="29" t="s">
        <v>721</v>
      </c>
      <c r="Q1342" t="s">
        <v>735</v>
      </c>
      <c r="R1342" t="s">
        <v>739</v>
      </c>
    </row>
    <row r="1343" spans="1:18" x14ac:dyDescent="0.25">
      <c r="A1343" s="9">
        <v>1342</v>
      </c>
      <c r="B1343" s="10">
        <v>45041</v>
      </c>
      <c r="C1343" s="11" t="s">
        <v>88</v>
      </c>
      <c r="D1343" s="11" t="s">
        <v>73</v>
      </c>
      <c r="E1343" s="11" t="s">
        <v>102</v>
      </c>
      <c r="F1343" s="11" t="s">
        <v>151</v>
      </c>
      <c r="G1343" s="9">
        <v>6</v>
      </c>
      <c r="H1343" s="26">
        <v>7200</v>
      </c>
      <c r="I1343" s="9">
        <v>15</v>
      </c>
      <c r="J1343" s="9">
        <f t="shared" si="40"/>
        <v>43200</v>
      </c>
      <c r="K1343" s="9">
        <f t="shared" si="41"/>
        <v>36720</v>
      </c>
      <c r="L1343" s="11" t="s">
        <v>76</v>
      </c>
      <c r="M1343" s="11" t="s">
        <v>81</v>
      </c>
      <c r="N1343">
        <v>4</v>
      </c>
      <c r="O1343">
        <v>2023</v>
      </c>
      <c r="P1343" s="29" t="s">
        <v>716</v>
      </c>
      <c r="Q1343" t="s">
        <v>736</v>
      </c>
      <c r="R1343" t="s">
        <v>738</v>
      </c>
    </row>
    <row r="1344" spans="1:18" x14ac:dyDescent="0.25">
      <c r="A1344" s="6">
        <v>1343</v>
      </c>
      <c r="B1344" s="7">
        <v>45075</v>
      </c>
      <c r="C1344" s="8" t="s">
        <v>119</v>
      </c>
      <c r="D1344" s="8" t="s">
        <v>83</v>
      </c>
      <c r="E1344" s="8" t="s">
        <v>74</v>
      </c>
      <c r="F1344" s="8" t="s">
        <v>212</v>
      </c>
      <c r="G1344" s="6">
        <v>45</v>
      </c>
      <c r="H1344" s="25">
        <v>9100</v>
      </c>
      <c r="I1344" s="6">
        <v>0</v>
      </c>
      <c r="J1344" s="6">
        <f t="shared" si="40"/>
        <v>409500</v>
      </c>
      <c r="K1344" s="6">
        <f t="shared" si="41"/>
        <v>409500</v>
      </c>
      <c r="L1344" s="8" t="s">
        <v>76</v>
      </c>
      <c r="M1344" s="8" t="s">
        <v>91</v>
      </c>
      <c r="N1344">
        <v>5</v>
      </c>
      <c r="O1344">
        <v>2023</v>
      </c>
      <c r="P1344" s="29" t="s">
        <v>730</v>
      </c>
      <c r="Q1344" t="s">
        <v>736</v>
      </c>
      <c r="R1344" t="s">
        <v>737</v>
      </c>
    </row>
    <row r="1345" spans="1:18" x14ac:dyDescent="0.25">
      <c r="A1345" s="9">
        <v>1344</v>
      </c>
      <c r="B1345" s="10">
        <v>45005</v>
      </c>
      <c r="C1345" s="11" t="s">
        <v>88</v>
      </c>
      <c r="D1345" s="11" t="s">
        <v>117</v>
      </c>
      <c r="E1345" s="11" t="s">
        <v>79</v>
      </c>
      <c r="F1345" s="11" t="s">
        <v>122</v>
      </c>
      <c r="G1345" s="9">
        <v>47</v>
      </c>
      <c r="H1345" s="26">
        <v>18900</v>
      </c>
      <c r="I1345" s="9">
        <v>5</v>
      </c>
      <c r="J1345" s="9">
        <f t="shared" si="40"/>
        <v>888300</v>
      </c>
      <c r="K1345" s="9">
        <f t="shared" si="41"/>
        <v>843885</v>
      </c>
      <c r="L1345" s="11" t="s">
        <v>76</v>
      </c>
      <c r="M1345" s="11" t="s">
        <v>77</v>
      </c>
      <c r="N1345">
        <v>3</v>
      </c>
      <c r="O1345">
        <v>2023</v>
      </c>
      <c r="P1345" s="29" t="s">
        <v>719</v>
      </c>
      <c r="Q1345" t="s">
        <v>735</v>
      </c>
      <c r="R1345" t="s">
        <v>737</v>
      </c>
    </row>
    <row r="1346" spans="1:18" x14ac:dyDescent="0.25">
      <c r="A1346" s="6">
        <v>1345</v>
      </c>
      <c r="B1346" s="7">
        <v>45510</v>
      </c>
      <c r="C1346" s="8" t="s">
        <v>97</v>
      </c>
      <c r="D1346" s="8" t="s">
        <v>117</v>
      </c>
      <c r="E1346" s="8" t="s">
        <v>74</v>
      </c>
      <c r="F1346" s="8" t="s">
        <v>140</v>
      </c>
      <c r="G1346" s="6">
        <v>12</v>
      </c>
      <c r="H1346" s="25">
        <v>4500</v>
      </c>
      <c r="I1346" s="6">
        <v>15</v>
      </c>
      <c r="J1346" s="6">
        <f t="shared" ref="J1346:J1409" si="42">G1346*H1346</f>
        <v>54000</v>
      </c>
      <c r="K1346" s="6">
        <f t="shared" ref="K1346:K1409" si="43">J1346*(1-I1346/100)</f>
        <v>45900</v>
      </c>
      <c r="L1346" s="8" t="s">
        <v>123</v>
      </c>
      <c r="M1346" s="8" t="s">
        <v>96</v>
      </c>
      <c r="N1346">
        <v>8</v>
      </c>
      <c r="O1346">
        <v>2024</v>
      </c>
      <c r="P1346" s="29" t="s">
        <v>710</v>
      </c>
      <c r="Q1346" t="s">
        <v>734</v>
      </c>
      <c r="R1346" t="s">
        <v>738</v>
      </c>
    </row>
    <row r="1347" spans="1:18" x14ac:dyDescent="0.25">
      <c r="A1347" s="9">
        <v>1346</v>
      </c>
      <c r="B1347" s="10">
        <v>45595</v>
      </c>
      <c r="C1347" s="11" t="s">
        <v>97</v>
      </c>
      <c r="D1347" s="11" t="s">
        <v>83</v>
      </c>
      <c r="E1347" s="11" t="s">
        <v>79</v>
      </c>
      <c r="F1347" s="11" t="s">
        <v>80</v>
      </c>
      <c r="G1347" s="9">
        <v>20</v>
      </c>
      <c r="H1347" s="26">
        <v>8900</v>
      </c>
      <c r="I1347" s="9">
        <v>15</v>
      </c>
      <c r="J1347" s="9">
        <f t="shared" si="42"/>
        <v>178000</v>
      </c>
      <c r="K1347" s="9">
        <f t="shared" si="43"/>
        <v>151300</v>
      </c>
      <c r="L1347" s="11" t="s">
        <v>76</v>
      </c>
      <c r="M1347" s="11" t="s">
        <v>81</v>
      </c>
      <c r="N1347">
        <v>10</v>
      </c>
      <c r="O1347">
        <v>2024</v>
      </c>
      <c r="P1347" s="29" t="s">
        <v>709</v>
      </c>
      <c r="Q1347" t="s">
        <v>733</v>
      </c>
      <c r="R1347" t="s">
        <v>739</v>
      </c>
    </row>
    <row r="1348" spans="1:18" x14ac:dyDescent="0.25">
      <c r="A1348" s="6">
        <v>1347</v>
      </c>
      <c r="B1348" s="7">
        <v>44977</v>
      </c>
      <c r="C1348" s="8" t="s">
        <v>88</v>
      </c>
      <c r="D1348" s="8" t="s">
        <v>93</v>
      </c>
      <c r="E1348" s="8" t="s">
        <v>111</v>
      </c>
      <c r="F1348" s="8" t="s">
        <v>156</v>
      </c>
      <c r="G1348" s="6">
        <v>28</v>
      </c>
      <c r="H1348" s="25">
        <v>45800</v>
      </c>
      <c r="I1348" s="6">
        <v>0</v>
      </c>
      <c r="J1348" s="6">
        <f t="shared" si="42"/>
        <v>1282400</v>
      </c>
      <c r="K1348" s="6">
        <f t="shared" si="43"/>
        <v>1282400</v>
      </c>
      <c r="L1348" s="8" t="s">
        <v>76</v>
      </c>
      <c r="M1348" s="8" t="s">
        <v>81</v>
      </c>
      <c r="N1348">
        <v>2</v>
      </c>
      <c r="O1348">
        <v>2023</v>
      </c>
      <c r="P1348" s="29" t="s">
        <v>717</v>
      </c>
      <c r="Q1348" t="s">
        <v>735</v>
      </c>
      <c r="R1348" t="s">
        <v>737</v>
      </c>
    </row>
    <row r="1349" spans="1:18" x14ac:dyDescent="0.25">
      <c r="A1349" s="9">
        <v>1348</v>
      </c>
      <c r="B1349" s="10">
        <v>45440</v>
      </c>
      <c r="C1349" s="11" t="s">
        <v>78</v>
      </c>
      <c r="D1349" s="11" t="s">
        <v>93</v>
      </c>
      <c r="E1349" s="11" t="s">
        <v>111</v>
      </c>
      <c r="F1349" s="11" t="s">
        <v>166</v>
      </c>
      <c r="G1349" s="9">
        <v>18</v>
      </c>
      <c r="H1349" s="26">
        <v>29900</v>
      </c>
      <c r="I1349" s="9">
        <v>0</v>
      </c>
      <c r="J1349" s="9">
        <f t="shared" si="42"/>
        <v>538200</v>
      </c>
      <c r="K1349" s="9">
        <f t="shared" si="43"/>
        <v>538200</v>
      </c>
      <c r="L1349" s="11" t="s">
        <v>76</v>
      </c>
      <c r="M1349" s="11" t="s">
        <v>81</v>
      </c>
      <c r="N1349">
        <v>5</v>
      </c>
      <c r="O1349">
        <v>2024</v>
      </c>
      <c r="P1349" s="29" t="s">
        <v>732</v>
      </c>
      <c r="Q1349" t="s">
        <v>736</v>
      </c>
      <c r="R1349" t="s">
        <v>737</v>
      </c>
    </row>
    <row r="1350" spans="1:18" x14ac:dyDescent="0.25">
      <c r="A1350" s="6">
        <v>1349</v>
      </c>
      <c r="B1350" s="7">
        <v>45351</v>
      </c>
      <c r="C1350" s="8" t="s">
        <v>108</v>
      </c>
      <c r="D1350" s="8" t="s">
        <v>117</v>
      </c>
      <c r="E1350" s="8" t="s">
        <v>74</v>
      </c>
      <c r="F1350" s="8" t="s">
        <v>99</v>
      </c>
      <c r="G1350" s="6">
        <v>41</v>
      </c>
      <c r="H1350" s="25">
        <v>3700</v>
      </c>
      <c r="I1350" s="6">
        <v>0</v>
      </c>
      <c r="J1350" s="6">
        <f t="shared" si="42"/>
        <v>151700</v>
      </c>
      <c r="K1350" s="6">
        <f t="shared" si="43"/>
        <v>151700</v>
      </c>
      <c r="L1350" s="8" t="s">
        <v>76</v>
      </c>
      <c r="M1350" s="8" t="s">
        <v>81</v>
      </c>
      <c r="N1350">
        <v>2</v>
      </c>
      <c r="O1350">
        <v>2024</v>
      </c>
      <c r="P1350" s="29" t="s">
        <v>729</v>
      </c>
      <c r="Q1350" t="s">
        <v>735</v>
      </c>
      <c r="R1350" t="s">
        <v>739</v>
      </c>
    </row>
    <row r="1351" spans="1:18" x14ac:dyDescent="0.25">
      <c r="A1351" s="9">
        <v>1350</v>
      </c>
      <c r="B1351" s="10">
        <v>44945</v>
      </c>
      <c r="C1351" s="11" t="s">
        <v>88</v>
      </c>
      <c r="D1351" s="11" t="s">
        <v>109</v>
      </c>
      <c r="E1351" s="11" t="s">
        <v>79</v>
      </c>
      <c r="F1351" s="11" t="s">
        <v>179</v>
      </c>
      <c r="G1351" s="9">
        <v>39</v>
      </c>
      <c r="H1351" s="26">
        <v>2700</v>
      </c>
      <c r="I1351" s="9">
        <v>15</v>
      </c>
      <c r="J1351" s="9">
        <f t="shared" si="42"/>
        <v>105300</v>
      </c>
      <c r="K1351" s="9">
        <f t="shared" si="43"/>
        <v>89505</v>
      </c>
      <c r="L1351" s="11" t="s">
        <v>187</v>
      </c>
      <c r="M1351" s="11" t="s">
        <v>91</v>
      </c>
      <c r="N1351">
        <v>1</v>
      </c>
      <c r="O1351">
        <v>2023</v>
      </c>
      <c r="P1351" s="29" t="s">
        <v>721</v>
      </c>
      <c r="Q1351" t="s">
        <v>735</v>
      </c>
      <c r="R1351" t="s">
        <v>739</v>
      </c>
    </row>
    <row r="1352" spans="1:18" x14ac:dyDescent="0.25">
      <c r="A1352" s="6">
        <v>1351</v>
      </c>
      <c r="B1352" s="7">
        <v>45300</v>
      </c>
      <c r="C1352" s="8" t="s">
        <v>88</v>
      </c>
      <c r="D1352" s="8" t="s">
        <v>93</v>
      </c>
      <c r="E1352" s="8" t="s">
        <v>111</v>
      </c>
      <c r="F1352" s="8" t="s">
        <v>159</v>
      </c>
      <c r="G1352" s="6">
        <v>1</v>
      </c>
      <c r="H1352" s="25">
        <v>13600</v>
      </c>
      <c r="I1352" s="6">
        <v>0</v>
      </c>
      <c r="J1352" s="6">
        <f t="shared" si="42"/>
        <v>13600</v>
      </c>
      <c r="K1352" s="6">
        <f t="shared" si="43"/>
        <v>13600</v>
      </c>
      <c r="L1352" s="8" t="s">
        <v>76</v>
      </c>
      <c r="M1352" s="8" t="s">
        <v>96</v>
      </c>
      <c r="N1352">
        <v>1</v>
      </c>
      <c r="O1352">
        <v>2024</v>
      </c>
      <c r="P1352" s="29" t="s">
        <v>727</v>
      </c>
      <c r="Q1352" t="s">
        <v>735</v>
      </c>
      <c r="R1352" t="s">
        <v>738</v>
      </c>
    </row>
    <row r="1353" spans="1:18" x14ac:dyDescent="0.25">
      <c r="A1353" s="9">
        <v>1352</v>
      </c>
      <c r="B1353" s="10">
        <v>45382</v>
      </c>
      <c r="C1353" s="11" t="s">
        <v>108</v>
      </c>
      <c r="D1353" s="11" t="s">
        <v>83</v>
      </c>
      <c r="E1353" s="11" t="s">
        <v>111</v>
      </c>
      <c r="F1353" s="11" t="s">
        <v>156</v>
      </c>
      <c r="G1353" s="9">
        <v>11</v>
      </c>
      <c r="H1353" s="26">
        <v>43400</v>
      </c>
      <c r="I1353" s="9">
        <v>5</v>
      </c>
      <c r="J1353" s="9">
        <f t="shared" si="42"/>
        <v>477400</v>
      </c>
      <c r="K1353" s="9">
        <f t="shared" si="43"/>
        <v>453530</v>
      </c>
      <c r="L1353" s="11" t="s">
        <v>187</v>
      </c>
      <c r="M1353" s="11" t="s">
        <v>96</v>
      </c>
      <c r="N1353">
        <v>3</v>
      </c>
      <c r="O1353">
        <v>2024</v>
      </c>
      <c r="P1353" s="29" t="s">
        <v>711</v>
      </c>
      <c r="Q1353" t="s">
        <v>735</v>
      </c>
      <c r="R1353" t="s">
        <v>737</v>
      </c>
    </row>
    <row r="1354" spans="1:18" x14ac:dyDescent="0.25">
      <c r="A1354" s="6">
        <v>1353</v>
      </c>
      <c r="B1354" s="7">
        <v>44987</v>
      </c>
      <c r="C1354" s="8" t="s">
        <v>124</v>
      </c>
      <c r="D1354" s="8" t="s">
        <v>73</v>
      </c>
      <c r="E1354" s="8" t="s">
        <v>111</v>
      </c>
      <c r="F1354" s="8" t="s">
        <v>132</v>
      </c>
      <c r="G1354" s="6">
        <v>48</v>
      </c>
      <c r="H1354" s="25">
        <v>6900</v>
      </c>
      <c r="I1354" s="6">
        <v>0</v>
      </c>
      <c r="J1354" s="6">
        <f t="shared" si="42"/>
        <v>331200</v>
      </c>
      <c r="K1354" s="6">
        <f t="shared" si="43"/>
        <v>331200</v>
      </c>
      <c r="L1354" s="8" t="s">
        <v>123</v>
      </c>
      <c r="M1354" s="8" t="s">
        <v>96</v>
      </c>
      <c r="N1354">
        <v>3</v>
      </c>
      <c r="O1354">
        <v>2023</v>
      </c>
      <c r="P1354" s="29" t="s">
        <v>719</v>
      </c>
      <c r="Q1354" t="s">
        <v>735</v>
      </c>
      <c r="R1354" t="s">
        <v>737</v>
      </c>
    </row>
    <row r="1355" spans="1:18" x14ac:dyDescent="0.25">
      <c r="A1355" s="9">
        <v>1354</v>
      </c>
      <c r="B1355" s="10">
        <v>45225</v>
      </c>
      <c r="C1355" s="11" t="s">
        <v>88</v>
      </c>
      <c r="D1355" s="11" t="s">
        <v>83</v>
      </c>
      <c r="E1355" s="11" t="s">
        <v>111</v>
      </c>
      <c r="F1355" s="11" t="s">
        <v>192</v>
      </c>
      <c r="G1355" s="9">
        <v>38</v>
      </c>
      <c r="H1355" s="26">
        <v>89200</v>
      </c>
      <c r="I1355" s="9">
        <v>10</v>
      </c>
      <c r="J1355" s="9">
        <f t="shared" si="42"/>
        <v>3389600</v>
      </c>
      <c r="K1355" s="9">
        <f t="shared" si="43"/>
        <v>3050640</v>
      </c>
      <c r="L1355" s="11" t="s">
        <v>76</v>
      </c>
      <c r="M1355" s="31" t="s">
        <v>695</v>
      </c>
      <c r="N1355">
        <v>10</v>
      </c>
      <c r="O1355">
        <v>2023</v>
      </c>
      <c r="P1355" s="29" t="s">
        <v>726</v>
      </c>
      <c r="Q1355" t="s">
        <v>733</v>
      </c>
      <c r="R1355" t="s">
        <v>737</v>
      </c>
    </row>
    <row r="1356" spans="1:18" x14ac:dyDescent="0.25">
      <c r="A1356" s="6">
        <v>1355</v>
      </c>
      <c r="B1356" s="7">
        <v>45368</v>
      </c>
      <c r="C1356" s="8" t="s">
        <v>114</v>
      </c>
      <c r="D1356" s="8" t="s">
        <v>73</v>
      </c>
      <c r="E1356" s="8" t="s">
        <v>74</v>
      </c>
      <c r="F1356" s="8" t="s">
        <v>99</v>
      </c>
      <c r="G1356" s="6">
        <v>25</v>
      </c>
      <c r="H1356" s="25">
        <v>4000</v>
      </c>
      <c r="I1356" s="6">
        <v>5</v>
      </c>
      <c r="J1356" s="6">
        <f t="shared" si="42"/>
        <v>100000</v>
      </c>
      <c r="K1356" s="6">
        <f t="shared" si="43"/>
        <v>95000</v>
      </c>
      <c r="L1356" s="8" t="s">
        <v>107</v>
      </c>
      <c r="M1356" s="8" t="s">
        <v>81</v>
      </c>
      <c r="N1356">
        <v>3</v>
      </c>
      <c r="O1356">
        <v>2024</v>
      </c>
      <c r="P1356" s="29" t="s">
        <v>711</v>
      </c>
      <c r="Q1356" t="s">
        <v>735</v>
      </c>
      <c r="R1356" t="s">
        <v>739</v>
      </c>
    </row>
    <row r="1357" spans="1:18" x14ac:dyDescent="0.25">
      <c r="A1357" s="9">
        <v>1356</v>
      </c>
      <c r="B1357" s="10">
        <v>45548</v>
      </c>
      <c r="C1357" s="11" t="s">
        <v>97</v>
      </c>
      <c r="D1357" s="11" t="s">
        <v>73</v>
      </c>
      <c r="E1357" s="11" t="s">
        <v>111</v>
      </c>
      <c r="F1357" s="11" t="s">
        <v>156</v>
      </c>
      <c r="G1357" s="9">
        <v>8</v>
      </c>
      <c r="H1357" s="26">
        <v>40000</v>
      </c>
      <c r="I1357" s="9">
        <v>20</v>
      </c>
      <c r="J1357" s="9">
        <f t="shared" si="42"/>
        <v>320000</v>
      </c>
      <c r="K1357" s="9">
        <f t="shared" si="43"/>
        <v>256000</v>
      </c>
      <c r="L1357" s="11" t="s">
        <v>76</v>
      </c>
      <c r="M1357" s="11" t="s">
        <v>81</v>
      </c>
      <c r="N1357">
        <v>9</v>
      </c>
      <c r="O1357">
        <v>2024</v>
      </c>
      <c r="P1357" s="29" t="s">
        <v>731</v>
      </c>
      <c r="Q1357" t="s">
        <v>734</v>
      </c>
      <c r="R1357" t="s">
        <v>737</v>
      </c>
    </row>
    <row r="1358" spans="1:18" x14ac:dyDescent="0.25">
      <c r="A1358" s="6">
        <v>1357</v>
      </c>
      <c r="B1358" s="7">
        <v>45266</v>
      </c>
      <c r="C1358" s="8" t="s">
        <v>114</v>
      </c>
      <c r="D1358" s="8" t="s">
        <v>93</v>
      </c>
      <c r="E1358" s="8" t="s">
        <v>111</v>
      </c>
      <c r="F1358" s="8" t="s">
        <v>132</v>
      </c>
      <c r="G1358" s="6">
        <v>27</v>
      </c>
      <c r="H1358" s="25">
        <v>8200</v>
      </c>
      <c r="I1358" s="6">
        <v>0</v>
      </c>
      <c r="J1358" s="6">
        <f t="shared" si="42"/>
        <v>221400</v>
      </c>
      <c r="K1358" s="6">
        <f t="shared" si="43"/>
        <v>221400</v>
      </c>
      <c r="L1358" s="8" t="s">
        <v>107</v>
      </c>
      <c r="M1358" s="8" t="s">
        <v>96</v>
      </c>
      <c r="N1358">
        <v>12</v>
      </c>
      <c r="O1358">
        <v>2023</v>
      </c>
      <c r="P1358" s="29" t="s">
        <v>725</v>
      </c>
      <c r="Q1358" t="s">
        <v>733</v>
      </c>
      <c r="R1358" t="s">
        <v>737</v>
      </c>
    </row>
    <row r="1359" spans="1:18" x14ac:dyDescent="0.25">
      <c r="A1359" s="9">
        <v>1358</v>
      </c>
      <c r="B1359" s="10">
        <v>45474</v>
      </c>
      <c r="C1359" s="11" t="s">
        <v>97</v>
      </c>
      <c r="D1359" s="11" t="s">
        <v>117</v>
      </c>
      <c r="E1359" s="11" t="s">
        <v>102</v>
      </c>
      <c r="F1359" s="11" t="s">
        <v>151</v>
      </c>
      <c r="G1359" s="9">
        <v>26</v>
      </c>
      <c r="H1359" s="26">
        <v>7200</v>
      </c>
      <c r="I1359" s="9">
        <v>0</v>
      </c>
      <c r="J1359" s="9">
        <f t="shared" si="42"/>
        <v>187200</v>
      </c>
      <c r="K1359" s="9">
        <f t="shared" si="43"/>
        <v>187200</v>
      </c>
      <c r="L1359" s="11" t="s">
        <v>76</v>
      </c>
      <c r="M1359" s="11" t="s">
        <v>91</v>
      </c>
      <c r="N1359">
        <v>7</v>
      </c>
      <c r="O1359">
        <v>2024</v>
      </c>
      <c r="P1359" s="29" t="s">
        <v>712</v>
      </c>
      <c r="Q1359" t="s">
        <v>734</v>
      </c>
      <c r="R1359" t="s">
        <v>739</v>
      </c>
    </row>
    <row r="1360" spans="1:18" x14ac:dyDescent="0.25">
      <c r="A1360" s="6">
        <v>1359</v>
      </c>
      <c r="B1360" s="7">
        <v>45416</v>
      </c>
      <c r="C1360" s="8" t="s">
        <v>108</v>
      </c>
      <c r="D1360" s="8" t="s">
        <v>109</v>
      </c>
      <c r="E1360" s="8" t="s">
        <v>111</v>
      </c>
      <c r="F1360" s="8" t="s">
        <v>135</v>
      </c>
      <c r="G1360" s="6">
        <v>22</v>
      </c>
      <c r="H1360" s="25">
        <v>103600</v>
      </c>
      <c r="I1360" s="6">
        <v>15</v>
      </c>
      <c r="J1360" s="6">
        <f t="shared" si="42"/>
        <v>2279200</v>
      </c>
      <c r="K1360" s="6">
        <f t="shared" si="43"/>
        <v>1937320</v>
      </c>
      <c r="L1360" s="8" t="s">
        <v>187</v>
      </c>
      <c r="M1360" s="8" t="s">
        <v>81</v>
      </c>
      <c r="N1360">
        <v>5</v>
      </c>
      <c r="O1360">
        <v>2024</v>
      </c>
      <c r="P1360" s="29" t="s">
        <v>732</v>
      </c>
      <c r="Q1360" t="s">
        <v>736</v>
      </c>
      <c r="R1360" t="s">
        <v>737</v>
      </c>
    </row>
    <row r="1361" spans="1:18" x14ac:dyDescent="0.25">
      <c r="A1361" s="9">
        <v>1360</v>
      </c>
      <c r="B1361" s="10">
        <v>45234</v>
      </c>
      <c r="C1361" s="11" t="s">
        <v>114</v>
      </c>
      <c r="D1361" s="11" t="s">
        <v>93</v>
      </c>
      <c r="E1361" s="11" t="s">
        <v>111</v>
      </c>
      <c r="F1361" s="11" t="s">
        <v>165</v>
      </c>
      <c r="G1361" s="9">
        <v>41</v>
      </c>
      <c r="H1361" s="26">
        <v>18000</v>
      </c>
      <c r="I1361" s="9">
        <v>0</v>
      </c>
      <c r="J1361" s="9">
        <f t="shared" si="42"/>
        <v>738000</v>
      </c>
      <c r="K1361" s="9">
        <f t="shared" si="43"/>
        <v>738000</v>
      </c>
      <c r="L1361" s="11" t="s">
        <v>76</v>
      </c>
      <c r="M1361" s="11" t="s">
        <v>81</v>
      </c>
      <c r="N1361">
        <v>11</v>
      </c>
      <c r="O1361">
        <v>2023</v>
      </c>
      <c r="P1361" s="29" t="s">
        <v>718</v>
      </c>
      <c r="Q1361" t="s">
        <v>733</v>
      </c>
      <c r="R1361" t="s">
        <v>737</v>
      </c>
    </row>
    <row r="1362" spans="1:18" x14ac:dyDescent="0.25">
      <c r="A1362" s="6">
        <v>1361</v>
      </c>
      <c r="B1362" s="7">
        <v>45551</v>
      </c>
      <c r="C1362" s="8" t="s">
        <v>124</v>
      </c>
      <c r="D1362" s="8" t="s">
        <v>93</v>
      </c>
      <c r="E1362" s="8" t="s">
        <v>79</v>
      </c>
      <c r="F1362" s="8" t="s">
        <v>115</v>
      </c>
      <c r="G1362" s="6">
        <v>21</v>
      </c>
      <c r="H1362" s="25">
        <v>10200</v>
      </c>
      <c r="I1362" s="6">
        <v>10</v>
      </c>
      <c r="J1362" s="6">
        <f t="shared" si="42"/>
        <v>214200</v>
      </c>
      <c r="K1362" s="6">
        <f t="shared" si="43"/>
        <v>192780</v>
      </c>
      <c r="L1362" s="8" t="s">
        <v>76</v>
      </c>
      <c r="M1362" s="8" t="s">
        <v>81</v>
      </c>
      <c r="N1362">
        <v>9</v>
      </c>
      <c r="O1362">
        <v>2024</v>
      </c>
      <c r="P1362" s="29" t="s">
        <v>731</v>
      </c>
      <c r="Q1362" t="s">
        <v>734</v>
      </c>
      <c r="R1362" t="s">
        <v>739</v>
      </c>
    </row>
    <row r="1363" spans="1:18" x14ac:dyDescent="0.25">
      <c r="A1363" s="9">
        <v>1362</v>
      </c>
      <c r="B1363" s="10">
        <v>45332</v>
      </c>
      <c r="C1363" s="11" t="s">
        <v>119</v>
      </c>
      <c r="D1363" s="11" t="s">
        <v>73</v>
      </c>
      <c r="E1363" s="11" t="s">
        <v>74</v>
      </c>
      <c r="F1363" s="11" t="s">
        <v>94</v>
      </c>
      <c r="G1363" s="9">
        <v>42</v>
      </c>
      <c r="H1363" s="26">
        <v>38000</v>
      </c>
      <c r="I1363" s="9">
        <v>20</v>
      </c>
      <c r="J1363" s="9">
        <f t="shared" si="42"/>
        <v>1596000</v>
      </c>
      <c r="K1363" s="9">
        <f t="shared" si="43"/>
        <v>1276800</v>
      </c>
      <c r="L1363" s="11" t="s">
        <v>76</v>
      </c>
      <c r="M1363" s="11" t="s">
        <v>81</v>
      </c>
      <c r="N1363">
        <v>2</v>
      </c>
      <c r="O1363">
        <v>2024</v>
      </c>
      <c r="P1363" s="29" t="s">
        <v>729</v>
      </c>
      <c r="Q1363" t="s">
        <v>735</v>
      </c>
      <c r="R1363" t="s">
        <v>737</v>
      </c>
    </row>
    <row r="1364" spans="1:18" x14ac:dyDescent="0.25">
      <c r="A1364" s="6">
        <v>1363</v>
      </c>
      <c r="B1364" s="7">
        <v>45092</v>
      </c>
      <c r="C1364" s="8" t="s">
        <v>119</v>
      </c>
      <c r="D1364" s="8" t="s">
        <v>117</v>
      </c>
      <c r="E1364" s="8" t="s">
        <v>84</v>
      </c>
      <c r="F1364" s="8" t="s">
        <v>128</v>
      </c>
      <c r="G1364" s="6">
        <v>46</v>
      </c>
      <c r="H1364" s="25">
        <v>4300</v>
      </c>
      <c r="I1364" s="6">
        <v>0</v>
      </c>
      <c r="J1364" s="6">
        <f t="shared" si="42"/>
        <v>197800</v>
      </c>
      <c r="K1364" s="6">
        <f t="shared" si="43"/>
        <v>197800</v>
      </c>
      <c r="L1364" s="8" t="s">
        <v>107</v>
      </c>
      <c r="M1364" s="8" t="s">
        <v>96</v>
      </c>
      <c r="N1364">
        <v>6</v>
      </c>
      <c r="O1364">
        <v>2023</v>
      </c>
      <c r="P1364" s="29" t="s">
        <v>723</v>
      </c>
      <c r="Q1364" t="s">
        <v>736</v>
      </c>
      <c r="R1364" t="s">
        <v>739</v>
      </c>
    </row>
    <row r="1365" spans="1:18" x14ac:dyDescent="0.25">
      <c r="A1365" s="9">
        <v>1364</v>
      </c>
      <c r="B1365" s="10">
        <v>45227</v>
      </c>
      <c r="C1365" s="11" t="s">
        <v>97</v>
      </c>
      <c r="D1365" s="11" t="s">
        <v>73</v>
      </c>
      <c r="E1365" s="11" t="s">
        <v>84</v>
      </c>
      <c r="F1365" s="11" t="s">
        <v>85</v>
      </c>
      <c r="G1365" s="9">
        <v>44</v>
      </c>
      <c r="H1365" s="26">
        <v>5500</v>
      </c>
      <c r="I1365" s="9">
        <v>20</v>
      </c>
      <c r="J1365" s="9">
        <f t="shared" si="42"/>
        <v>242000</v>
      </c>
      <c r="K1365" s="9">
        <f t="shared" si="43"/>
        <v>193600</v>
      </c>
      <c r="L1365" s="11" t="s">
        <v>76</v>
      </c>
      <c r="M1365" s="11" t="s">
        <v>81</v>
      </c>
      <c r="N1365">
        <v>10</v>
      </c>
      <c r="O1365">
        <v>2023</v>
      </c>
      <c r="P1365" s="29" t="s">
        <v>726</v>
      </c>
      <c r="Q1365" t="s">
        <v>733</v>
      </c>
      <c r="R1365" t="s">
        <v>739</v>
      </c>
    </row>
    <row r="1366" spans="1:18" x14ac:dyDescent="0.25">
      <c r="A1366" s="6">
        <v>1365</v>
      </c>
      <c r="B1366" s="7">
        <v>44933</v>
      </c>
      <c r="C1366" s="8" t="s">
        <v>119</v>
      </c>
      <c r="D1366" s="8" t="s">
        <v>93</v>
      </c>
      <c r="E1366" s="8" t="s">
        <v>79</v>
      </c>
      <c r="F1366" s="8" t="s">
        <v>120</v>
      </c>
      <c r="G1366" s="6">
        <v>11</v>
      </c>
      <c r="H1366" s="25">
        <v>6700</v>
      </c>
      <c r="I1366" s="6">
        <v>0</v>
      </c>
      <c r="J1366" s="6">
        <f t="shared" si="42"/>
        <v>73700</v>
      </c>
      <c r="K1366" s="6">
        <f t="shared" si="43"/>
        <v>73700</v>
      </c>
      <c r="L1366" s="8" t="s">
        <v>76</v>
      </c>
      <c r="M1366" s="8" t="s">
        <v>77</v>
      </c>
      <c r="N1366">
        <v>1</v>
      </c>
      <c r="O1366">
        <v>2023</v>
      </c>
      <c r="P1366" s="29" t="s">
        <v>721</v>
      </c>
      <c r="Q1366" t="s">
        <v>735</v>
      </c>
      <c r="R1366" t="s">
        <v>739</v>
      </c>
    </row>
    <row r="1367" spans="1:18" x14ac:dyDescent="0.25">
      <c r="A1367" s="9">
        <v>1366</v>
      </c>
      <c r="B1367" s="10">
        <v>44987</v>
      </c>
      <c r="C1367" s="11" t="s">
        <v>114</v>
      </c>
      <c r="D1367" s="11" t="s">
        <v>93</v>
      </c>
      <c r="E1367" s="11" t="s">
        <v>111</v>
      </c>
      <c r="F1367" s="11" t="s">
        <v>165</v>
      </c>
      <c r="G1367" s="9">
        <v>27</v>
      </c>
      <c r="H1367" s="26">
        <v>16500</v>
      </c>
      <c r="I1367" s="9">
        <v>15</v>
      </c>
      <c r="J1367" s="9">
        <f t="shared" si="42"/>
        <v>445500</v>
      </c>
      <c r="K1367" s="9">
        <f t="shared" si="43"/>
        <v>378675</v>
      </c>
      <c r="L1367" s="11" t="s">
        <v>123</v>
      </c>
      <c r="M1367" s="31" t="s">
        <v>695</v>
      </c>
      <c r="N1367">
        <v>3</v>
      </c>
      <c r="O1367">
        <v>2023</v>
      </c>
      <c r="P1367" s="29" t="s">
        <v>719</v>
      </c>
      <c r="Q1367" t="s">
        <v>735</v>
      </c>
      <c r="R1367" t="s">
        <v>737</v>
      </c>
    </row>
    <row r="1368" spans="1:18" x14ac:dyDescent="0.25">
      <c r="A1368" s="6">
        <v>1367</v>
      </c>
      <c r="B1368" s="7">
        <v>45548</v>
      </c>
      <c r="C1368" s="8" t="s">
        <v>82</v>
      </c>
      <c r="D1368" s="8" t="s">
        <v>73</v>
      </c>
      <c r="E1368" s="8" t="s">
        <v>111</v>
      </c>
      <c r="F1368" s="8" t="s">
        <v>159</v>
      </c>
      <c r="G1368" s="6">
        <v>4</v>
      </c>
      <c r="H1368" s="25">
        <v>13300</v>
      </c>
      <c r="I1368" s="6">
        <v>20</v>
      </c>
      <c r="J1368" s="6">
        <f t="shared" si="42"/>
        <v>53200</v>
      </c>
      <c r="K1368" s="6">
        <f t="shared" si="43"/>
        <v>42560</v>
      </c>
      <c r="L1368" s="8" t="s">
        <v>76</v>
      </c>
      <c r="M1368" s="8" t="s">
        <v>91</v>
      </c>
      <c r="N1368">
        <v>9</v>
      </c>
      <c r="O1368">
        <v>2024</v>
      </c>
      <c r="P1368" s="29" t="s">
        <v>731</v>
      </c>
      <c r="Q1368" t="s">
        <v>734</v>
      </c>
      <c r="R1368" t="s">
        <v>738</v>
      </c>
    </row>
    <row r="1369" spans="1:18" x14ac:dyDescent="0.25">
      <c r="A1369" s="9">
        <v>1368</v>
      </c>
      <c r="B1369" s="10">
        <v>45201</v>
      </c>
      <c r="C1369" s="11" t="s">
        <v>88</v>
      </c>
      <c r="D1369" s="11" t="s">
        <v>83</v>
      </c>
      <c r="E1369" s="11" t="s">
        <v>102</v>
      </c>
      <c r="F1369" s="11" t="s">
        <v>197</v>
      </c>
      <c r="G1369" s="9">
        <v>8</v>
      </c>
      <c r="H1369" s="26">
        <v>3800</v>
      </c>
      <c r="I1369" s="9">
        <v>20</v>
      </c>
      <c r="J1369" s="9">
        <f t="shared" si="42"/>
        <v>30400</v>
      </c>
      <c r="K1369" s="9">
        <f t="shared" si="43"/>
        <v>24320</v>
      </c>
      <c r="L1369" s="11" t="s">
        <v>76</v>
      </c>
      <c r="M1369" s="11" t="s">
        <v>96</v>
      </c>
      <c r="N1369">
        <v>10</v>
      </c>
      <c r="O1369">
        <v>2023</v>
      </c>
      <c r="P1369" s="29" t="s">
        <v>726</v>
      </c>
      <c r="Q1369" t="s">
        <v>733</v>
      </c>
      <c r="R1369" t="s">
        <v>738</v>
      </c>
    </row>
    <row r="1370" spans="1:18" x14ac:dyDescent="0.25">
      <c r="A1370" s="6">
        <v>1369</v>
      </c>
      <c r="B1370" s="7">
        <v>45520</v>
      </c>
      <c r="C1370" s="8" t="s">
        <v>97</v>
      </c>
      <c r="D1370" s="8" t="s">
        <v>109</v>
      </c>
      <c r="E1370" s="8" t="s">
        <v>74</v>
      </c>
      <c r="F1370" s="8" t="s">
        <v>140</v>
      </c>
      <c r="G1370" s="6">
        <v>10</v>
      </c>
      <c r="H1370" s="25">
        <v>4800</v>
      </c>
      <c r="I1370" s="6">
        <v>0</v>
      </c>
      <c r="J1370" s="6">
        <f t="shared" si="42"/>
        <v>48000</v>
      </c>
      <c r="K1370" s="6">
        <f t="shared" si="43"/>
        <v>48000</v>
      </c>
      <c r="L1370" s="8" t="s">
        <v>107</v>
      </c>
      <c r="M1370" s="8" t="s">
        <v>91</v>
      </c>
      <c r="N1370">
        <v>8</v>
      </c>
      <c r="O1370">
        <v>2024</v>
      </c>
      <c r="P1370" s="29" t="s">
        <v>710</v>
      </c>
      <c r="Q1370" t="s">
        <v>734</v>
      </c>
      <c r="R1370" t="s">
        <v>738</v>
      </c>
    </row>
    <row r="1371" spans="1:18" x14ac:dyDescent="0.25">
      <c r="A1371" s="9">
        <v>1370</v>
      </c>
      <c r="B1371" s="10">
        <v>45197</v>
      </c>
      <c r="C1371" s="11" t="s">
        <v>97</v>
      </c>
      <c r="D1371" s="11" t="s">
        <v>117</v>
      </c>
      <c r="E1371" s="11" t="s">
        <v>79</v>
      </c>
      <c r="F1371" s="11" t="s">
        <v>172</v>
      </c>
      <c r="G1371" s="9">
        <v>32</v>
      </c>
      <c r="H1371" s="26">
        <v>28100</v>
      </c>
      <c r="I1371" s="9">
        <v>0</v>
      </c>
      <c r="J1371" s="9">
        <f t="shared" si="42"/>
        <v>899200</v>
      </c>
      <c r="K1371" s="9">
        <f t="shared" si="43"/>
        <v>899200</v>
      </c>
      <c r="L1371" s="11" t="s">
        <v>187</v>
      </c>
      <c r="M1371" s="11" t="s">
        <v>96</v>
      </c>
      <c r="N1371">
        <v>9</v>
      </c>
      <c r="O1371">
        <v>2023</v>
      </c>
      <c r="P1371" s="29" t="s">
        <v>715</v>
      </c>
      <c r="Q1371" t="s">
        <v>734</v>
      </c>
      <c r="R1371" t="s">
        <v>737</v>
      </c>
    </row>
    <row r="1372" spans="1:18" x14ac:dyDescent="0.25">
      <c r="A1372" s="6">
        <v>1371</v>
      </c>
      <c r="B1372" s="7">
        <v>45229</v>
      </c>
      <c r="C1372" s="8" t="s">
        <v>119</v>
      </c>
      <c r="D1372" s="8" t="s">
        <v>117</v>
      </c>
      <c r="E1372" s="8" t="s">
        <v>111</v>
      </c>
      <c r="F1372" s="8" t="s">
        <v>135</v>
      </c>
      <c r="G1372" s="6">
        <v>39</v>
      </c>
      <c r="H1372" s="25">
        <v>119800</v>
      </c>
      <c r="I1372" s="6">
        <v>0</v>
      </c>
      <c r="J1372" s="6">
        <f t="shared" si="42"/>
        <v>4672200</v>
      </c>
      <c r="K1372" s="6">
        <f t="shared" si="43"/>
        <v>4672200</v>
      </c>
      <c r="L1372" s="8" t="s">
        <v>76</v>
      </c>
      <c r="M1372" s="8" t="s">
        <v>81</v>
      </c>
      <c r="N1372">
        <v>10</v>
      </c>
      <c r="O1372">
        <v>2023</v>
      </c>
      <c r="P1372" s="29" t="s">
        <v>726</v>
      </c>
      <c r="Q1372" t="s">
        <v>733</v>
      </c>
      <c r="R1372" t="s">
        <v>737</v>
      </c>
    </row>
    <row r="1373" spans="1:18" x14ac:dyDescent="0.25">
      <c r="A1373" s="9">
        <v>1372</v>
      </c>
      <c r="B1373" s="10">
        <v>45461</v>
      </c>
      <c r="C1373" s="11" t="s">
        <v>101</v>
      </c>
      <c r="D1373" s="11" t="s">
        <v>73</v>
      </c>
      <c r="E1373" s="11" t="s">
        <v>84</v>
      </c>
      <c r="F1373" s="11" t="s">
        <v>200</v>
      </c>
      <c r="G1373" s="9">
        <v>46</v>
      </c>
      <c r="H1373" s="26">
        <v>3300</v>
      </c>
      <c r="I1373" s="9">
        <v>10</v>
      </c>
      <c r="J1373" s="9">
        <f t="shared" si="42"/>
        <v>151800</v>
      </c>
      <c r="K1373" s="9">
        <f t="shared" si="43"/>
        <v>136620</v>
      </c>
      <c r="L1373" s="11" t="s">
        <v>76</v>
      </c>
      <c r="M1373" s="11" t="s">
        <v>81</v>
      </c>
      <c r="N1373">
        <v>6</v>
      </c>
      <c r="O1373">
        <v>2024</v>
      </c>
      <c r="P1373" s="29" t="s">
        <v>720</v>
      </c>
      <c r="Q1373" t="s">
        <v>736</v>
      </c>
      <c r="R1373" t="s">
        <v>739</v>
      </c>
    </row>
    <row r="1374" spans="1:18" x14ac:dyDescent="0.25">
      <c r="A1374" s="6">
        <v>1373</v>
      </c>
      <c r="B1374" s="7">
        <v>45606</v>
      </c>
      <c r="C1374" s="8" t="s">
        <v>101</v>
      </c>
      <c r="D1374" s="30" t="s">
        <v>703</v>
      </c>
      <c r="E1374" s="8" t="s">
        <v>111</v>
      </c>
      <c r="F1374" s="8" t="s">
        <v>135</v>
      </c>
      <c r="G1374" s="6">
        <v>45</v>
      </c>
      <c r="H1374" s="25">
        <v>107900</v>
      </c>
      <c r="I1374" s="6">
        <v>20</v>
      </c>
      <c r="J1374" s="6">
        <f t="shared" si="42"/>
        <v>4855500</v>
      </c>
      <c r="K1374" s="6">
        <f t="shared" si="43"/>
        <v>3884400</v>
      </c>
      <c r="L1374" s="8" t="s">
        <v>76</v>
      </c>
      <c r="M1374" s="8" t="s">
        <v>96</v>
      </c>
      <c r="N1374">
        <v>11</v>
      </c>
      <c r="O1374">
        <v>2024</v>
      </c>
      <c r="P1374" s="29" t="s">
        <v>714</v>
      </c>
      <c r="Q1374" t="s">
        <v>733</v>
      </c>
      <c r="R1374" t="s">
        <v>737</v>
      </c>
    </row>
    <row r="1375" spans="1:18" x14ac:dyDescent="0.25">
      <c r="A1375" s="9">
        <v>1374</v>
      </c>
      <c r="B1375" s="10">
        <v>45320</v>
      </c>
      <c r="C1375" s="11" t="s">
        <v>101</v>
      </c>
      <c r="D1375" s="11" t="s">
        <v>109</v>
      </c>
      <c r="E1375" s="11" t="s">
        <v>79</v>
      </c>
      <c r="F1375" s="11" t="s">
        <v>80</v>
      </c>
      <c r="G1375" s="9">
        <v>10</v>
      </c>
      <c r="H1375" s="26">
        <v>8900</v>
      </c>
      <c r="I1375" s="9">
        <v>0</v>
      </c>
      <c r="J1375" s="9">
        <f t="shared" si="42"/>
        <v>89000</v>
      </c>
      <c r="K1375" s="9">
        <f t="shared" si="43"/>
        <v>89000</v>
      </c>
      <c r="L1375" s="11" t="s">
        <v>76</v>
      </c>
      <c r="M1375" s="11" t="s">
        <v>96</v>
      </c>
      <c r="N1375">
        <v>1</v>
      </c>
      <c r="O1375">
        <v>2024</v>
      </c>
      <c r="P1375" s="29" t="s">
        <v>727</v>
      </c>
      <c r="Q1375" t="s">
        <v>735</v>
      </c>
      <c r="R1375" t="s">
        <v>739</v>
      </c>
    </row>
    <row r="1376" spans="1:18" x14ac:dyDescent="0.25">
      <c r="A1376" s="6">
        <v>1375</v>
      </c>
      <c r="B1376" s="7">
        <v>45388</v>
      </c>
      <c r="C1376" s="8" t="s">
        <v>82</v>
      </c>
      <c r="D1376" s="8" t="s">
        <v>83</v>
      </c>
      <c r="E1376" s="8" t="s">
        <v>111</v>
      </c>
      <c r="F1376" s="8" t="s">
        <v>166</v>
      </c>
      <c r="G1376" s="6">
        <v>42</v>
      </c>
      <c r="H1376" s="25">
        <v>32000</v>
      </c>
      <c r="I1376" s="6">
        <v>10</v>
      </c>
      <c r="J1376" s="6">
        <f t="shared" si="42"/>
        <v>1344000</v>
      </c>
      <c r="K1376" s="6">
        <f t="shared" si="43"/>
        <v>1209600</v>
      </c>
      <c r="L1376" s="8" t="s">
        <v>76</v>
      </c>
      <c r="M1376" s="8" t="s">
        <v>96</v>
      </c>
      <c r="N1376">
        <v>4</v>
      </c>
      <c r="O1376">
        <v>2024</v>
      </c>
      <c r="P1376" s="29" t="s">
        <v>722</v>
      </c>
      <c r="Q1376" t="s">
        <v>736</v>
      </c>
      <c r="R1376" t="s">
        <v>737</v>
      </c>
    </row>
    <row r="1377" spans="1:18" x14ac:dyDescent="0.25">
      <c r="A1377" s="9">
        <v>1376</v>
      </c>
      <c r="B1377" s="10">
        <v>45310</v>
      </c>
      <c r="C1377" s="11" t="s">
        <v>114</v>
      </c>
      <c r="D1377" s="11" t="s">
        <v>83</v>
      </c>
      <c r="E1377" s="11" t="s">
        <v>84</v>
      </c>
      <c r="F1377" s="11" t="s">
        <v>85</v>
      </c>
      <c r="G1377" s="9">
        <v>25</v>
      </c>
      <c r="H1377" s="26">
        <v>5100</v>
      </c>
      <c r="I1377" s="9">
        <v>0</v>
      </c>
      <c r="J1377" s="9">
        <f t="shared" si="42"/>
        <v>127500</v>
      </c>
      <c r="K1377" s="9">
        <f t="shared" si="43"/>
        <v>127500</v>
      </c>
      <c r="L1377" s="11" t="s">
        <v>76</v>
      </c>
      <c r="M1377" s="11" t="s">
        <v>77</v>
      </c>
      <c r="N1377">
        <v>1</v>
      </c>
      <c r="O1377">
        <v>2024</v>
      </c>
      <c r="P1377" s="29" t="s">
        <v>727</v>
      </c>
      <c r="Q1377" t="s">
        <v>735</v>
      </c>
      <c r="R1377" t="s">
        <v>739</v>
      </c>
    </row>
    <row r="1378" spans="1:18" x14ac:dyDescent="0.25">
      <c r="A1378" s="6">
        <v>1377</v>
      </c>
      <c r="B1378" s="7">
        <v>45157</v>
      </c>
      <c r="C1378" s="8" t="s">
        <v>101</v>
      </c>
      <c r="D1378" s="8" t="s">
        <v>109</v>
      </c>
      <c r="E1378" s="8" t="s">
        <v>84</v>
      </c>
      <c r="F1378" s="8" t="s">
        <v>128</v>
      </c>
      <c r="G1378" s="6">
        <v>50</v>
      </c>
      <c r="H1378" s="25">
        <v>4100</v>
      </c>
      <c r="I1378" s="6">
        <v>15</v>
      </c>
      <c r="J1378" s="6">
        <f t="shared" si="42"/>
        <v>205000</v>
      </c>
      <c r="K1378" s="6">
        <f t="shared" si="43"/>
        <v>174250</v>
      </c>
      <c r="L1378" s="8" t="s">
        <v>187</v>
      </c>
      <c r="M1378" s="8" t="s">
        <v>77</v>
      </c>
      <c r="N1378">
        <v>8</v>
      </c>
      <c r="O1378">
        <v>2023</v>
      </c>
      <c r="P1378" s="29" t="s">
        <v>713</v>
      </c>
      <c r="Q1378" t="s">
        <v>734</v>
      </c>
      <c r="R1378" t="s">
        <v>739</v>
      </c>
    </row>
    <row r="1379" spans="1:18" x14ac:dyDescent="0.25">
      <c r="A1379" s="9">
        <v>1378</v>
      </c>
      <c r="B1379" s="10">
        <v>45128</v>
      </c>
      <c r="C1379" s="11" t="s">
        <v>88</v>
      </c>
      <c r="D1379" s="11" t="s">
        <v>83</v>
      </c>
      <c r="E1379" s="11" t="s">
        <v>111</v>
      </c>
      <c r="F1379" s="11" t="s">
        <v>192</v>
      </c>
      <c r="G1379" s="9">
        <v>34</v>
      </c>
      <c r="H1379" s="26">
        <v>105400</v>
      </c>
      <c r="I1379" s="9">
        <v>0</v>
      </c>
      <c r="J1379" s="9">
        <f t="shared" si="42"/>
        <v>3583600</v>
      </c>
      <c r="K1379" s="9">
        <f t="shared" si="43"/>
        <v>3583600</v>
      </c>
      <c r="L1379" s="11" t="s">
        <v>107</v>
      </c>
      <c r="M1379" s="11" t="s">
        <v>81</v>
      </c>
      <c r="N1379">
        <v>7</v>
      </c>
      <c r="O1379">
        <v>2023</v>
      </c>
      <c r="P1379" s="29" t="s">
        <v>724</v>
      </c>
      <c r="Q1379" t="s">
        <v>734</v>
      </c>
      <c r="R1379" t="s">
        <v>737</v>
      </c>
    </row>
    <row r="1380" spans="1:18" x14ac:dyDescent="0.25">
      <c r="A1380" s="6">
        <v>1379</v>
      </c>
      <c r="B1380" s="7">
        <v>45607</v>
      </c>
      <c r="C1380" s="8" t="s">
        <v>78</v>
      </c>
      <c r="D1380" s="8" t="s">
        <v>83</v>
      </c>
      <c r="E1380" s="8" t="s">
        <v>79</v>
      </c>
      <c r="F1380" s="8" t="s">
        <v>120</v>
      </c>
      <c r="G1380" s="6">
        <v>18</v>
      </c>
      <c r="H1380" s="25">
        <v>6200</v>
      </c>
      <c r="I1380" s="6">
        <v>20</v>
      </c>
      <c r="J1380" s="6">
        <f t="shared" si="42"/>
        <v>111600</v>
      </c>
      <c r="K1380" s="6">
        <f t="shared" si="43"/>
        <v>89280</v>
      </c>
      <c r="L1380" s="8" t="s">
        <v>76</v>
      </c>
      <c r="M1380" s="8" t="s">
        <v>77</v>
      </c>
      <c r="N1380">
        <v>11</v>
      </c>
      <c r="O1380">
        <v>2024</v>
      </c>
      <c r="P1380" s="29" t="s">
        <v>714</v>
      </c>
      <c r="Q1380" t="s">
        <v>733</v>
      </c>
      <c r="R1380" t="s">
        <v>739</v>
      </c>
    </row>
    <row r="1381" spans="1:18" x14ac:dyDescent="0.25">
      <c r="A1381" s="9">
        <v>1380</v>
      </c>
      <c r="B1381" s="10">
        <v>44984</v>
      </c>
      <c r="C1381" s="11" t="s">
        <v>119</v>
      </c>
      <c r="D1381" s="11" t="s">
        <v>93</v>
      </c>
      <c r="E1381" s="11" t="s">
        <v>102</v>
      </c>
      <c r="F1381" s="11" t="s">
        <v>181</v>
      </c>
      <c r="G1381" s="9">
        <v>48</v>
      </c>
      <c r="H1381" s="26">
        <v>4300</v>
      </c>
      <c r="I1381" s="9">
        <v>0</v>
      </c>
      <c r="J1381" s="9">
        <f t="shared" si="42"/>
        <v>206400</v>
      </c>
      <c r="K1381" s="9">
        <f t="shared" si="43"/>
        <v>206400</v>
      </c>
      <c r="L1381" s="11" t="s">
        <v>76</v>
      </c>
      <c r="M1381" s="11" t="s">
        <v>81</v>
      </c>
      <c r="N1381">
        <v>2</v>
      </c>
      <c r="O1381">
        <v>2023</v>
      </c>
      <c r="P1381" s="29" t="s">
        <v>717</v>
      </c>
      <c r="Q1381" t="s">
        <v>735</v>
      </c>
      <c r="R1381" t="s">
        <v>737</v>
      </c>
    </row>
    <row r="1382" spans="1:18" x14ac:dyDescent="0.25">
      <c r="A1382" s="6">
        <v>1381</v>
      </c>
      <c r="B1382" s="7">
        <v>45485</v>
      </c>
      <c r="C1382" s="8" t="s">
        <v>119</v>
      </c>
      <c r="D1382" s="8" t="s">
        <v>109</v>
      </c>
      <c r="E1382" s="8" t="s">
        <v>79</v>
      </c>
      <c r="F1382" s="8" t="s">
        <v>179</v>
      </c>
      <c r="G1382" s="6">
        <v>6</v>
      </c>
      <c r="H1382" s="25">
        <v>2600</v>
      </c>
      <c r="I1382" s="6">
        <v>0</v>
      </c>
      <c r="J1382" s="6">
        <f t="shared" si="42"/>
        <v>15600</v>
      </c>
      <c r="K1382" s="6">
        <f t="shared" si="43"/>
        <v>15600</v>
      </c>
      <c r="L1382" s="8" t="s">
        <v>187</v>
      </c>
      <c r="M1382" s="8" t="s">
        <v>77</v>
      </c>
      <c r="N1382">
        <v>7</v>
      </c>
      <c r="O1382">
        <v>2024</v>
      </c>
      <c r="P1382" s="29" t="s">
        <v>712</v>
      </c>
      <c r="Q1382" t="s">
        <v>734</v>
      </c>
      <c r="R1382" t="s">
        <v>738</v>
      </c>
    </row>
    <row r="1383" spans="1:18" x14ac:dyDescent="0.25">
      <c r="A1383" s="9">
        <v>1382</v>
      </c>
      <c r="B1383" s="10">
        <v>45462</v>
      </c>
      <c r="C1383" s="11" t="s">
        <v>101</v>
      </c>
      <c r="D1383" s="11" t="s">
        <v>73</v>
      </c>
      <c r="E1383" s="11" t="s">
        <v>84</v>
      </c>
      <c r="F1383" s="11" t="s">
        <v>90</v>
      </c>
      <c r="G1383" s="9">
        <v>49</v>
      </c>
      <c r="H1383" s="26">
        <v>1700</v>
      </c>
      <c r="I1383" s="9">
        <v>0</v>
      </c>
      <c r="J1383" s="9">
        <f t="shared" si="42"/>
        <v>83300</v>
      </c>
      <c r="K1383" s="9">
        <f t="shared" si="43"/>
        <v>83300</v>
      </c>
      <c r="L1383" s="11" t="s">
        <v>76</v>
      </c>
      <c r="M1383" s="11" t="s">
        <v>91</v>
      </c>
      <c r="N1383">
        <v>6</v>
      </c>
      <c r="O1383">
        <v>2024</v>
      </c>
      <c r="P1383" s="29" t="s">
        <v>720</v>
      </c>
      <c r="Q1383" t="s">
        <v>736</v>
      </c>
      <c r="R1383" t="s">
        <v>739</v>
      </c>
    </row>
    <row r="1384" spans="1:18" x14ac:dyDescent="0.25">
      <c r="A1384" s="6">
        <v>1383</v>
      </c>
      <c r="B1384" s="7">
        <v>45358</v>
      </c>
      <c r="C1384" s="8" t="s">
        <v>78</v>
      </c>
      <c r="D1384" s="8" t="s">
        <v>117</v>
      </c>
      <c r="E1384" s="8" t="s">
        <v>79</v>
      </c>
      <c r="F1384" s="8" t="s">
        <v>80</v>
      </c>
      <c r="G1384" s="6">
        <v>29</v>
      </c>
      <c r="H1384" s="25">
        <v>8700</v>
      </c>
      <c r="I1384" s="6">
        <v>0</v>
      </c>
      <c r="J1384" s="6">
        <f t="shared" si="42"/>
        <v>252300</v>
      </c>
      <c r="K1384" s="6">
        <f t="shared" si="43"/>
        <v>252300</v>
      </c>
      <c r="L1384" s="8" t="s">
        <v>76</v>
      </c>
      <c r="M1384" s="8" t="s">
        <v>81</v>
      </c>
      <c r="N1384">
        <v>3</v>
      </c>
      <c r="O1384">
        <v>2024</v>
      </c>
      <c r="P1384" s="29" t="s">
        <v>711</v>
      </c>
      <c r="Q1384" t="s">
        <v>735</v>
      </c>
      <c r="R1384" t="s">
        <v>737</v>
      </c>
    </row>
    <row r="1385" spans="1:18" x14ac:dyDescent="0.25">
      <c r="A1385" s="9">
        <v>1384</v>
      </c>
      <c r="B1385" s="10">
        <v>45542</v>
      </c>
      <c r="C1385" s="11" t="s">
        <v>124</v>
      </c>
      <c r="D1385" s="11" t="s">
        <v>109</v>
      </c>
      <c r="E1385" s="11" t="s">
        <v>102</v>
      </c>
      <c r="F1385" s="11" t="s">
        <v>197</v>
      </c>
      <c r="G1385" s="9">
        <v>1</v>
      </c>
      <c r="H1385" s="26">
        <v>3700</v>
      </c>
      <c r="I1385" s="9">
        <v>15</v>
      </c>
      <c r="J1385" s="9">
        <f t="shared" si="42"/>
        <v>3700</v>
      </c>
      <c r="K1385" s="9">
        <f t="shared" si="43"/>
        <v>3145</v>
      </c>
      <c r="L1385" s="11" t="s">
        <v>76</v>
      </c>
      <c r="M1385" s="11" t="s">
        <v>77</v>
      </c>
      <c r="N1385">
        <v>9</v>
      </c>
      <c r="O1385">
        <v>2024</v>
      </c>
      <c r="P1385" s="29" t="s">
        <v>731</v>
      </c>
      <c r="Q1385" t="s">
        <v>734</v>
      </c>
      <c r="R1385" t="s">
        <v>738</v>
      </c>
    </row>
    <row r="1386" spans="1:18" x14ac:dyDescent="0.25">
      <c r="A1386" s="6">
        <v>1385</v>
      </c>
      <c r="B1386" s="7">
        <v>45380</v>
      </c>
      <c r="C1386" s="8" t="s">
        <v>106</v>
      </c>
      <c r="D1386" s="8" t="s">
        <v>93</v>
      </c>
      <c r="E1386" s="8" t="s">
        <v>102</v>
      </c>
      <c r="F1386" s="8" t="s">
        <v>197</v>
      </c>
      <c r="G1386" s="6">
        <v>17</v>
      </c>
      <c r="H1386" s="25">
        <v>4400</v>
      </c>
      <c r="I1386" s="6">
        <v>5</v>
      </c>
      <c r="J1386" s="6">
        <f t="shared" si="42"/>
        <v>74800</v>
      </c>
      <c r="K1386" s="6">
        <f t="shared" si="43"/>
        <v>71060</v>
      </c>
      <c r="L1386" s="8" t="s">
        <v>187</v>
      </c>
      <c r="M1386" s="8" t="s">
        <v>96</v>
      </c>
      <c r="N1386">
        <v>3</v>
      </c>
      <c r="O1386">
        <v>2024</v>
      </c>
      <c r="P1386" s="29" t="s">
        <v>711</v>
      </c>
      <c r="Q1386" t="s">
        <v>735</v>
      </c>
      <c r="R1386" t="s">
        <v>739</v>
      </c>
    </row>
    <row r="1387" spans="1:18" x14ac:dyDescent="0.25">
      <c r="A1387" s="9">
        <v>1386</v>
      </c>
      <c r="B1387" s="10">
        <v>45514</v>
      </c>
      <c r="C1387" s="11" t="s">
        <v>108</v>
      </c>
      <c r="D1387" s="11" t="s">
        <v>117</v>
      </c>
      <c r="E1387" s="11" t="s">
        <v>102</v>
      </c>
      <c r="F1387" s="11" t="s">
        <v>197</v>
      </c>
      <c r="G1387" s="9">
        <v>42</v>
      </c>
      <c r="H1387" s="26">
        <v>3900</v>
      </c>
      <c r="I1387" s="9">
        <v>0</v>
      </c>
      <c r="J1387" s="9">
        <f t="shared" si="42"/>
        <v>163800</v>
      </c>
      <c r="K1387" s="9">
        <f t="shared" si="43"/>
        <v>163800</v>
      </c>
      <c r="L1387" s="11" t="s">
        <v>76</v>
      </c>
      <c r="M1387" s="11" t="s">
        <v>81</v>
      </c>
      <c r="N1387">
        <v>8</v>
      </c>
      <c r="O1387">
        <v>2024</v>
      </c>
      <c r="P1387" s="29" t="s">
        <v>710</v>
      </c>
      <c r="Q1387" t="s">
        <v>734</v>
      </c>
      <c r="R1387" t="s">
        <v>739</v>
      </c>
    </row>
    <row r="1388" spans="1:18" x14ac:dyDescent="0.25">
      <c r="A1388" s="6">
        <v>1387</v>
      </c>
      <c r="B1388" s="7">
        <v>45179</v>
      </c>
      <c r="C1388" s="8" t="s">
        <v>82</v>
      </c>
      <c r="D1388" s="8" t="s">
        <v>93</v>
      </c>
      <c r="E1388" s="8" t="s">
        <v>74</v>
      </c>
      <c r="F1388" s="8" t="s">
        <v>99</v>
      </c>
      <c r="G1388" s="6">
        <v>49</v>
      </c>
      <c r="H1388" s="25">
        <v>3200</v>
      </c>
      <c r="I1388" s="6">
        <v>0</v>
      </c>
      <c r="J1388" s="6">
        <f t="shared" si="42"/>
        <v>156800</v>
      </c>
      <c r="K1388" s="6">
        <f t="shared" si="43"/>
        <v>156800</v>
      </c>
      <c r="L1388" s="8" t="s">
        <v>123</v>
      </c>
      <c r="M1388" s="8" t="s">
        <v>91</v>
      </c>
      <c r="N1388">
        <v>9</v>
      </c>
      <c r="O1388">
        <v>2023</v>
      </c>
      <c r="P1388" s="29" t="s">
        <v>715</v>
      </c>
      <c r="Q1388" t="s">
        <v>734</v>
      </c>
      <c r="R1388" t="s">
        <v>739</v>
      </c>
    </row>
    <row r="1389" spans="1:18" x14ac:dyDescent="0.25">
      <c r="A1389" s="9">
        <v>1388</v>
      </c>
      <c r="B1389" s="10">
        <v>45253</v>
      </c>
      <c r="C1389" s="11" t="s">
        <v>82</v>
      </c>
      <c r="D1389" s="11" t="s">
        <v>83</v>
      </c>
      <c r="E1389" s="11" t="s">
        <v>111</v>
      </c>
      <c r="F1389" s="11" t="s">
        <v>166</v>
      </c>
      <c r="G1389" s="9">
        <v>49</v>
      </c>
      <c r="H1389" s="26">
        <v>26500</v>
      </c>
      <c r="I1389" s="9">
        <v>0</v>
      </c>
      <c r="J1389" s="9">
        <f t="shared" si="42"/>
        <v>1298500</v>
      </c>
      <c r="K1389" s="9">
        <f t="shared" si="43"/>
        <v>1298500</v>
      </c>
      <c r="L1389" s="11" t="s">
        <v>76</v>
      </c>
      <c r="M1389" s="11" t="s">
        <v>96</v>
      </c>
      <c r="N1389">
        <v>11</v>
      </c>
      <c r="O1389">
        <v>2023</v>
      </c>
      <c r="P1389" s="29" t="s">
        <v>718</v>
      </c>
      <c r="Q1389" t="s">
        <v>733</v>
      </c>
      <c r="R1389" t="s">
        <v>737</v>
      </c>
    </row>
    <row r="1390" spans="1:18" x14ac:dyDescent="0.25">
      <c r="A1390" s="6">
        <v>1389</v>
      </c>
      <c r="B1390" s="7">
        <v>45380</v>
      </c>
      <c r="C1390" s="8" t="s">
        <v>88</v>
      </c>
      <c r="D1390" s="8" t="s">
        <v>93</v>
      </c>
      <c r="E1390" s="8" t="s">
        <v>84</v>
      </c>
      <c r="F1390" s="8" t="s">
        <v>90</v>
      </c>
      <c r="G1390" s="6">
        <v>49</v>
      </c>
      <c r="H1390" s="25">
        <v>2000</v>
      </c>
      <c r="I1390" s="6">
        <v>10</v>
      </c>
      <c r="J1390" s="6">
        <f t="shared" si="42"/>
        <v>98000</v>
      </c>
      <c r="K1390" s="6">
        <f t="shared" si="43"/>
        <v>88200</v>
      </c>
      <c r="L1390" s="8" t="s">
        <v>76</v>
      </c>
      <c r="M1390" s="8" t="s">
        <v>96</v>
      </c>
      <c r="N1390">
        <v>3</v>
      </c>
      <c r="O1390">
        <v>2024</v>
      </c>
      <c r="P1390" s="29" t="s">
        <v>711</v>
      </c>
      <c r="Q1390" t="s">
        <v>735</v>
      </c>
      <c r="R1390" t="s">
        <v>739</v>
      </c>
    </row>
    <row r="1391" spans="1:18" x14ac:dyDescent="0.25">
      <c r="A1391" s="9">
        <v>1390</v>
      </c>
      <c r="B1391" s="10">
        <v>45180</v>
      </c>
      <c r="C1391" s="11" t="s">
        <v>88</v>
      </c>
      <c r="D1391" s="11" t="s">
        <v>93</v>
      </c>
      <c r="E1391" s="11" t="s">
        <v>111</v>
      </c>
      <c r="F1391" s="11" t="s">
        <v>112</v>
      </c>
      <c r="G1391" s="9">
        <v>40</v>
      </c>
      <c r="H1391" s="26">
        <v>69600</v>
      </c>
      <c r="I1391" s="9">
        <v>0</v>
      </c>
      <c r="J1391" s="9">
        <f t="shared" si="42"/>
        <v>2784000</v>
      </c>
      <c r="K1391" s="9">
        <f t="shared" si="43"/>
        <v>2784000</v>
      </c>
      <c r="L1391" s="11" t="s">
        <v>76</v>
      </c>
      <c r="M1391" s="11" t="s">
        <v>81</v>
      </c>
      <c r="N1391">
        <v>9</v>
      </c>
      <c r="O1391">
        <v>2023</v>
      </c>
      <c r="P1391" s="29" t="s">
        <v>715</v>
      </c>
      <c r="Q1391" t="s">
        <v>734</v>
      </c>
      <c r="R1391" t="s">
        <v>737</v>
      </c>
    </row>
    <row r="1392" spans="1:18" x14ac:dyDescent="0.25">
      <c r="A1392" s="6">
        <v>1391</v>
      </c>
      <c r="B1392" s="7">
        <v>45205</v>
      </c>
      <c r="C1392" s="8" t="s">
        <v>106</v>
      </c>
      <c r="D1392" s="8" t="s">
        <v>83</v>
      </c>
      <c r="E1392" s="8" t="s">
        <v>84</v>
      </c>
      <c r="F1392" s="8" t="s">
        <v>128</v>
      </c>
      <c r="G1392" s="6">
        <v>11</v>
      </c>
      <c r="H1392" s="25">
        <v>4400</v>
      </c>
      <c r="I1392" s="6">
        <v>15</v>
      </c>
      <c r="J1392" s="6">
        <f t="shared" si="42"/>
        <v>48400</v>
      </c>
      <c r="K1392" s="6">
        <f t="shared" si="43"/>
        <v>41140</v>
      </c>
      <c r="L1392" s="8" t="s">
        <v>76</v>
      </c>
      <c r="M1392" s="8" t="s">
        <v>91</v>
      </c>
      <c r="N1392">
        <v>10</v>
      </c>
      <c r="O1392">
        <v>2023</v>
      </c>
      <c r="P1392" s="29" t="s">
        <v>726</v>
      </c>
      <c r="Q1392" t="s">
        <v>733</v>
      </c>
      <c r="R1392" t="s">
        <v>738</v>
      </c>
    </row>
    <row r="1393" spans="1:18" x14ac:dyDescent="0.25">
      <c r="A1393" s="9">
        <v>1392</v>
      </c>
      <c r="B1393" s="10">
        <v>45300</v>
      </c>
      <c r="C1393" s="11" t="s">
        <v>114</v>
      </c>
      <c r="D1393" s="11" t="s">
        <v>117</v>
      </c>
      <c r="E1393" s="11" t="s">
        <v>84</v>
      </c>
      <c r="F1393" s="11" t="s">
        <v>134</v>
      </c>
      <c r="G1393" s="9">
        <v>20</v>
      </c>
      <c r="H1393" s="26">
        <v>9800</v>
      </c>
      <c r="I1393" s="9">
        <v>0</v>
      </c>
      <c r="J1393" s="9">
        <f t="shared" si="42"/>
        <v>196000</v>
      </c>
      <c r="K1393" s="9">
        <f t="shared" si="43"/>
        <v>196000</v>
      </c>
      <c r="L1393" s="11" t="s">
        <v>76</v>
      </c>
      <c r="M1393" s="11" t="s">
        <v>96</v>
      </c>
      <c r="N1393">
        <v>1</v>
      </c>
      <c r="O1393">
        <v>2024</v>
      </c>
      <c r="P1393" s="29" t="s">
        <v>727</v>
      </c>
      <c r="Q1393" t="s">
        <v>735</v>
      </c>
      <c r="R1393" t="s">
        <v>739</v>
      </c>
    </row>
    <row r="1394" spans="1:18" x14ac:dyDescent="0.25">
      <c r="A1394" s="6">
        <v>1393</v>
      </c>
      <c r="B1394" s="7">
        <v>45289</v>
      </c>
      <c r="C1394" s="8" t="s">
        <v>88</v>
      </c>
      <c r="D1394" s="8" t="s">
        <v>83</v>
      </c>
      <c r="E1394" s="8" t="s">
        <v>74</v>
      </c>
      <c r="F1394" s="8" t="s">
        <v>140</v>
      </c>
      <c r="G1394" s="6">
        <v>49</v>
      </c>
      <c r="H1394" s="25">
        <v>4700</v>
      </c>
      <c r="I1394" s="6">
        <v>0</v>
      </c>
      <c r="J1394" s="6">
        <f t="shared" si="42"/>
        <v>230300</v>
      </c>
      <c r="K1394" s="6">
        <f t="shared" si="43"/>
        <v>230300</v>
      </c>
      <c r="L1394" s="8" t="s">
        <v>76</v>
      </c>
      <c r="M1394" s="8" t="s">
        <v>91</v>
      </c>
      <c r="N1394">
        <v>12</v>
      </c>
      <c r="O1394">
        <v>2023</v>
      </c>
      <c r="P1394" s="29" t="s">
        <v>725</v>
      </c>
      <c r="Q1394" t="s">
        <v>733</v>
      </c>
      <c r="R1394" t="s">
        <v>737</v>
      </c>
    </row>
    <row r="1395" spans="1:18" x14ac:dyDescent="0.25">
      <c r="A1395" s="6">
        <v>1394</v>
      </c>
      <c r="B1395" s="7">
        <v>45345</v>
      </c>
      <c r="C1395" s="8" t="s">
        <v>88</v>
      </c>
      <c r="D1395" s="8" t="s">
        <v>109</v>
      </c>
      <c r="E1395" s="8" t="s">
        <v>111</v>
      </c>
      <c r="F1395" s="8" t="s">
        <v>135</v>
      </c>
      <c r="G1395" s="6">
        <v>46</v>
      </c>
      <c r="H1395" s="25">
        <v>104100</v>
      </c>
      <c r="I1395" s="6">
        <v>0</v>
      </c>
      <c r="J1395" s="6">
        <f t="shared" si="42"/>
        <v>4788600</v>
      </c>
      <c r="K1395" s="6">
        <f t="shared" si="43"/>
        <v>4788600</v>
      </c>
      <c r="L1395" s="8" t="s">
        <v>76</v>
      </c>
      <c r="M1395" s="8" t="s">
        <v>96</v>
      </c>
      <c r="N1395">
        <v>2</v>
      </c>
      <c r="O1395">
        <v>2024</v>
      </c>
      <c r="P1395" s="29" t="s">
        <v>729</v>
      </c>
      <c r="Q1395" t="s">
        <v>735</v>
      </c>
      <c r="R1395" t="s">
        <v>737</v>
      </c>
    </row>
    <row r="1396" spans="1:18" x14ac:dyDescent="0.25">
      <c r="A1396" s="9">
        <v>1395</v>
      </c>
      <c r="B1396" s="10">
        <v>45309</v>
      </c>
      <c r="C1396" s="11" t="s">
        <v>78</v>
      </c>
      <c r="D1396" s="11" t="s">
        <v>117</v>
      </c>
      <c r="E1396" s="11" t="s">
        <v>111</v>
      </c>
      <c r="F1396" s="11" t="s">
        <v>165</v>
      </c>
      <c r="G1396" s="9">
        <v>36</v>
      </c>
      <c r="H1396" s="26">
        <v>17700</v>
      </c>
      <c r="I1396" s="9">
        <v>10</v>
      </c>
      <c r="J1396" s="9">
        <f t="shared" si="42"/>
        <v>637200</v>
      </c>
      <c r="K1396" s="9">
        <f t="shared" si="43"/>
        <v>573480</v>
      </c>
      <c r="L1396" s="11" t="s">
        <v>187</v>
      </c>
      <c r="M1396" s="11" t="s">
        <v>81</v>
      </c>
      <c r="N1396">
        <v>1</v>
      </c>
      <c r="O1396">
        <v>2024</v>
      </c>
      <c r="P1396" s="29" t="s">
        <v>727</v>
      </c>
      <c r="Q1396" t="s">
        <v>735</v>
      </c>
      <c r="R1396" t="s">
        <v>737</v>
      </c>
    </row>
    <row r="1397" spans="1:18" x14ac:dyDescent="0.25">
      <c r="A1397" s="6">
        <v>1396</v>
      </c>
      <c r="B1397" s="7">
        <v>45442</v>
      </c>
      <c r="C1397" s="8" t="s">
        <v>119</v>
      </c>
      <c r="D1397" s="8" t="s">
        <v>117</v>
      </c>
      <c r="E1397" s="8" t="s">
        <v>79</v>
      </c>
      <c r="F1397" s="8" t="s">
        <v>131</v>
      </c>
      <c r="G1397" s="6">
        <v>21</v>
      </c>
      <c r="H1397" s="25">
        <v>115300</v>
      </c>
      <c r="I1397" s="6">
        <v>0</v>
      </c>
      <c r="J1397" s="6">
        <f t="shared" si="42"/>
        <v>2421300</v>
      </c>
      <c r="K1397" s="6">
        <f t="shared" si="43"/>
        <v>2421300</v>
      </c>
      <c r="L1397" s="8" t="s">
        <v>187</v>
      </c>
      <c r="M1397" s="8" t="s">
        <v>91</v>
      </c>
      <c r="N1397">
        <v>5</v>
      </c>
      <c r="O1397">
        <v>2024</v>
      </c>
      <c r="P1397" s="29" t="s">
        <v>732</v>
      </c>
      <c r="Q1397" t="s">
        <v>736</v>
      </c>
      <c r="R1397" t="s">
        <v>737</v>
      </c>
    </row>
    <row r="1398" spans="1:18" x14ac:dyDescent="0.25">
      <c r="A1398" s="9">
        <v>1397</v>
      </c>
      <c r="B1398" s="10">
        <v>45454</v>
      </c>
      <c r="C1398" s="11" t="s">
        <v>114</v>
      </c>
      <c r="D1398" s="11" t="s">
        <v>83</v>
      </c>
      <c r="E1398" s="11" t="s">
        <v>84</v>
      </c>
      <c r="F1398" s="11" t="s">
        <v>134</v>
      </c>
      <c r="G1398" s="9">
        <v>38</v>
      </c>
      <c r="H1398" s="26">
        <v>11000</v>
      </c>
      <c r="I1398" s="9">
        <v>0</v>
      </c>
      <c r="J1398" s="9">
        <f t="shared" si="42"/>
        <v>418000</v>
      </c>
      <c r="K1398" s="9">
        <f t="shared" si="43"/>
        <v>418000</v>
      </c>
      <c r="L1398" s="11" t="s">
        <v>76</v>
      </c>
      <c r="M1398" s="11" t="s">
        <v>77</v>
      </c>
      <c r="N1398">
        <v>6</v>
      </c>
      <c r="O1398">
        <v>2024</v>
      </c>
      <c r="P1398" s="29" t="s">
        <v>720</v>
      </c>
      <c r="Q1398" t="s">
        <v>736</v>
      </c>
      <c r="R1398" t="s">
        <v>737</v>
      </c>
    </row>
    <row r="1399" spans="1:18" x14ac:dyDescent="0.25">
      <c r="A1399" s="6">
        <v>1398</v>
      </c>
      <c r="B1399" s="7">
        <v>45581</v>
      </c>
      <c r="C1399" s="8" t="s">
        <v>88</v>
      </c>
      <c r="D1399" s="8" t="s">
        <v>117</v>
      </c>
      <c r="E1399" s="8" t="s">
        <v>102</v>
      </c>
      <c r="F1399" s="8" t="s">
        <v>157</v>
      </c>
      <c r="G1399" s="6">
        <v>19</v>
      </c>
      <c r="H1399" s="25">
        <v>12100</v>
      </c>
      <c r="I1399" s="6">
        <v>15</v>
      </c>
      <c r="J1399" s="6">
        <f t="shared" si="42"/>
        <v>229900</v>
      </c>
      <c r="K1399" s="6">
        <f t="shared" si="43"/>
        <v>195415</v>
      </c>
      <c r="L1399" s="8" t="s">
        <v>76</v>
      </c>
      <c r="M1399" s="8" t="s">
        <v>81</v>
      </c>
      <c r="N1399">
        <v>10</v>
      </c>
      <c r="O1399">
        <v>2024</v>
      </c>
      <c r="P1399" s="29" t="s">
        <v>709</v>
      </c>
      <c r="Q1399" t="s">
        <v>733</v>
      </c>
      <c r="R1399" t="s">
        <v>739</v>
      </c>
    </row>
    <row r="1400" spans="1:18" x14ac:dyDescent="0.25">
      <c r="A1400" s="9">
        <v>1399</v>
      </c>
      <c r="B1400" s="10">
        <v>45002</v>
      </c>
      <c r="C1400" s="11" t="s">
        <v>88</v>
      </c>
      <c r="D1400" s="11" t="s">
        <v>83</v>
      </c>
      <c r="E1400" s="11" t="s">
        <v>84</v>
      </c>
      <c r="F1400" s="11" t="s">
        <v>128</v>
      </c>
      <c r="G1400" s="9">
        <v>37</v>
      </c>
      <c r="H1400" s="26">
        <v>4400</v>
      </c>
      <c r="I1400" s="9">
        <v>5</v>
      </c>
      <c r="J1400" s="9">
        <f t="shared" si="42"/>
        <v>162800</v>
      </c>
      <c r="K1400" s="9">
        <f t="shared" si="43"/>
        <v>154660</v>
      </c>
      <c r="L1400" s="11" t="s">
        <v>76</v>
      </c>
      <c r="M1400" s="11" t="s">
        <v>77</v>
      </c>
      <c r="N1400">
        <v>3</v>
      </c>
      <c r="O1400">
        <v>2023</v>
      </c>
      <c r="P1400" s="29" t="s">
        <v>719</v>
      </c>
      <c r="Q1400" t="s">
        <v>735</v>
      </c>
      <c r="R1400" t="s">
        <v>739</v>
      </c>
    </row>
    <row r="1401" spans="1:18" x14ac:dyDescent="0.25">
      <c r="A1401" s="6">
        <v>1400</v>
      </c>
      <c r="B1401" s="7">
        <v>45178</v>
      </c>
      <c r="C1401" s="8" t="s">
        <v>88</v>
      </c>
      <c r="D1401" s="8" t="s">
        <v>93</v>
      </c>
      <c r="E1401" s="8" t="s">
        <v>102</v>
      </c>
      <c r="F1401" s="8" t="s">
        <v>110</v>
      </c>
      <c r="G1401" s="6">
        <v>19</v>
      </c>
      <c r="H1401" s="25">
        <v>22900</v>
      </c>
      <c r="I1401" s="6">
        <v>20</v>
      </c>
      <c r="J1401" s="6">
        <f t="shared" si="42"/>
        <v>435100</v>
      </c>
      <c r="K1401" s="6">
        <f t="shared" si="43"/>
        <v>348080</v>
      </c>
      <c r="L1401" s="8" t="s">
        <v>187</v>
      </c>
      <c r="M1401" s="8" t="s">
        <v>81</v>
      </c>
      <c r="N1401">
        <v>9</v>
      </c>
      <c r="O1401">
        <v>2023</v>
      </c>
      <c r="P1401" s="29" t="s">
        <v>715</v>
      </c>
      <c r="Q1401" t="s">
        <v>734</v>
      </c>
      <c r="R1401" t="s">
        <v>737</v>
      </c>
    </row>
    <row r="1402" spans="1:18" x14ac:dyDescent="0.25">
      <c r="A1402" s="9">
        <v>1401</v>
      </c>
      <c r="B1402" s="10">
        <v>45233</v>
      </c>
      <c r="C1402" s="11" t="s">
        <v>88</v>
      </c>
      <c r="D1402" s="11" t="s">
        <v>117</v>
      </c>
      <c r="E1402" s="11" t="s">
        <v>111</v>
      </c>
      <c r="F1402" s="11" t="s">
        <v>156</v>
      </c>
      <c r="G1402" s="9">
        <v>30</v>
      </c>
      <c r="H1402" s="26">
        <v>39700</v>
      </c>
      <c r="I1402" s="9">
        <v>0</v>
      </c>
      <c r="J1402" s="9">
        <f t="shared" si="42"/>
        <v>1191000</v>
      </c>
      <c r="K1402" s="9">
        <f t="shared" si="43"/>
        <v>1191000</v>
      </c>
      <c r="L1402" s="11" t="s">
        <v>76</v>
      </c>
      <c r="M1402" s="11" t="s">
        <v>96</v>
      </c>
      <c r="N1402">
        <v>11</v>
      </c>
      <c r="O1402">
        <v>2023</v>
      </c>
      <c r="P1402" s="29" t="s">
        <v>718</v>
      </c>
      <c r="Q1402" t="s">
        <v>733</v>
      </c>
      <c r="R1402" t="s">
        <v>737</v>
      </c>
    </row>
    <row r="1403" spans="1:18" x14ac:dyDescent="0.25">
      <c r="A1403" s="6">
        <v>1402</v>
      </c>
      <c r="B1403" s="7">
        <v>45130</v>
      </c>
      <c r="C1403" s="8" t="s">
        <v>101</v>
      </c>
      <c r="D1403" s="8" t="s">
        <v>117</v>
      </c>
      <c r="E1403" s="8" t="s">
        <v>102</v>
      </c>
      <c r="F1403" s="8" t="s">
        <v>138</v>
      </c>
      <c r="G1403" s="6">
        <v>42</v>
      </c>
      <c r="H1403" s="25">
        <v>6100</v>
      </c>
      <c r="I1403" s="6">
        <v>20</v>
      </c>
      <c r="J1403" s="6">
        <f t="shared" si="42"/>
        <v>256200</v>
      </c>
      <c r="K1403" s="6">
        <f t="shared" si="43"/>
        <v>204960</v>
      </c>
      <c r="L1403" s="8" t="s">
        <v>76</v>
      </c>
      <c r="M1403" s="8" t="s">
        <v>91</v>
      </c>
      <c r="N1403">
        <v>7</v>
      </c>
      <c r="O1403">
        <v>2023</v>
      </c>
      <c r="P1403" s="29" t="s">
        <v>724</v>
      </c>
      <c r="Q1403" t="s">
        <v>734</v>
      </c>
      <c r="R1403" t="s">
        <v>737</v>
      </c>
    </row>
    <row r="1404" spans="1:18" x14ac:dyDescent="0.25">
      <c r="A1404" s="9">
        <v>1403</v>
      </c>
      <c r="B1404" s="10">
        <v>45425</v>
      </c>
      <c r="C1404" s="11" t="s">
        <v>78</v>
      </c>
      <c r="D1404" s="11" t="s">
        <v>93</v>
      </c>
      <c r="E1404" s="11" t="s">
        <v>79</v>
      </c>
      <c r="F1404" s="11" t="s">
        <v>120</v>
      </c>
      <c r="G1404" s="9">
        <v>28</v>
      </c>
      <c r="H1404" s="26">
        <v>5400</v>
      </c>
      <c r="I1404" s="9">
        <v>20</v>
      </c>
      <c r="J1404" s="9">
        <f t="shared" si="42"/>
        <v>151200</v>
      </c>
      <c r="K1404" s="9">
        <f t="shared" si="43"/>
        <v>120960</v>
      </c>
      <c r="L1404" s="11" t="s">
        <v>123</v>
      </c>
      <c r="M1404" s="11" t="s">
        <v>96</v>
      </c>
      <c r="N1404">
        <v>5</v>
      </c>
      <c r="O1404">
        <v>2024</v>
      </c>
      <c r="P1404" s="29" t="s">
        <v>732</v>
      </c>
      <c r="Q1404" t="s">
        <v>736</v>
      </c>
      <c r="R1404" t="s">
        <v>739</v>
      </c>
    </row>
    <row r="1405" spans="1:18" x14ac:dyDescent="0.25">
      <c r="A1405" s="6">
        <v>1404</v>
      </c>
      <c r="B1405" s="7">
        <v>45419</v>
      </c>
      <c r="C1405" s="8" t="s">
        <v>119</v>
      </c>
      <c r="D1405" s="8" t="s">
        <v>117</v>
      </c>
      <c r="E1405" s="8" t="s">
        <v>102</v>
      </c>
      <c r="F1405" s="8" t="s">
        <v>157</v>
      </c>
      <c r="G1405" s="6">
        <v>48</v>
      </c>
      <c r="H1405" s="25">
        <v>12700</v>
      </c>
      <c r="I1405" s="6">
        <v>10</v>
      </c>
      <c r="J1405" s="6">
        <f t="shared" si="42"/>
        <v>609600</v>
      </c>
      <c r="K1405" s="6">
        <f t="shared" si="43"/>
        <v>548640</v>
      </c>
      <c r="L1405" s="8" t="s">
        <v>76</v>
      </c>
      <c r="M1405" s="8" t="s">
        <v>77</v>
      </c>
      <c r="N1405">
        <v>5</v>
      </c>
      <c r="O1405">
        <v>2024</v>
      </c>
      <c r="P1405" s="29" t="s">
        <v>732</v>
      </c>
      <c r="Q1405" t="s">
        <v>736</v>
      </c>
      <c r="R1405" t="s">
        <v>737</v>
      </c>
    </row>
    <row r="1406" spans="1:18" x14ac:dyDescent="0.25">
      <c r="A1406" s="9">
        <v>1405</v>
      </c>
      <c r="B1406" s="10">
        <v>45042</v>
      </c>
      <c r="C1406" s="11" t="s">
        <v>82</v>
      </c>
      <c r="D1406" s="11" t="s">
        <v>109</v>
      </c>
      <c r="E1406" s="11" t="s">
        <v>102</v>
      </c>
      <c r="F1406" s="11" t="s">
        <v>137</v>
      </c>
      <c r="G1406" s="9">
        <v>30</v>
      </c>
      <c r="H1406" s="26">
        <v>2300</v>
      </c>
      <c r="I1406" s="9">
        <v>20</v>
      </c>
      <c r="J1406" s="9">
        <f t="shared" si="42"/>
        <v>69000</v>
      </c>
      <c r="K1406" s="9">
        <f t="shared" si="43"/>
        <v>55200</v>
      </c>
      <c r="L1406" s="11" t="s">
        <v>76</v>
      </c>
      <c r="M1406" s="11" t="s">
        <v>81</v>
      </c>
      <c r="N1406">
        <v>4</v>
      </c>
      <c r="O1406">
        <v>2023</v>
      </c>
      <c r="P1406" s="29" t="s">
        <v>716</v>
      </c>
      <c r="Q1406" t="s">
        <v>736</v>
      </c>
      <c r="R1406" t="s">
        <v>739</v>
      </c>
    </row>
    <row r="1407" spans="1:18" x14ac:dyDescent="0.25">
      <c r="A1407" s="6">
        <v>1406</v>
      </c>
      <c r="B1407" s="7">
        <v>45001</v>
      </c>
      <c r="C1407" s="8" t="s">
        <v>114</v>
      </c>
      <c r="D1407" s="8" t="s">
        <v>117</v>
      </c>
      <c r="E1407" s="8" t="s">
        <v>111</v>
      </c>
      <c r="F1407" s="8" t="s">
        <v>159</v>
      </c>
      <c r="G1407" s="6">
        <v>48</v>
      </c>
      <c r="H1407" s="25">
        <v>13500</v>
      </c>
      <c r="I1407" s="6">
        <v>0</v>
      </c>
      <c r="J1407" s="6">
        <f t="shared" si="42"/>
        <v>648000</v>
      </c>
      <c r="K1407" s="6">
        <f t="shared" si="43"/>
        <v>648000</v>
      </c>
      <c r="L1407" s="8" t="s">
        <v>76</v>
      </c>
      <c r="M1407" s="8" t="s">
        <v>96</v>
      </c>
      <c r="N1407">
        <v>3</v>
      </c>
      <c r="O1407">
        <v>2023</v>
      </c>
      <c r="P1407" s="29" t="s">
        <v>719</v>
      </c>
      <c r="Q1407" t="s">
        <v>735</v>
      </c>
      <c r="R1407" t="s">
        <v>737</v>
      </c>
    </row>
    <row r="1408" spans="1:18" x14ac:dyDescent="0.25">
      <c r="A1408" s="9">
        <v>1407</v>
      </c>
      <c r="B1408" s="10">
        <v>45084</v>
      </c>
      <c r="C1408" s="11" t="s">
        <v>124</v>
      </c>
      <c r="D1408" s="11" t="s">
        <v>117</v>
      </c>
      <c r="E1408" s="11" t="s">
        <v>111</v>
      </c>
      <c r="F1408" s="11" t="s">
        <v>165</v>
      </c>
      <c r="G1408" s="9">
        <v>26</v>
      </c>
      <c r="H1408" s="26">
        <v>20200</v>
      </c>
      <c r="I1408" s="9">
        <v>10</v>
      </c>
      <c r="J1408" s="9">
        <f t="shared" si="42"/>
        <v>525200</v>
      </c>
      <c r="K1408" s="9">
        <f t="shared" si="43"/>
        <v>472680</v>
      </c>
      <c r="L1408" s="11" t="s">
        <v>76</v>
      </c>
      <c r="M1408" s="11" t="s">
        <v>77</v>
      </c>
      <c r="N1408">
        <v>6</v>
      </c>
      <c r="O1408">
        <v>2023</v>
      </c>
      <c r="P1408" s="29" t="s">
        <v>723</v>
      </c>
      <c r="Q1408" t="s">
        <v>736</v>
      </c>
      <c r="R1408" t="s">
        <v>737</v>
      </c>
    </row>
    <row r="1409" spans="1:18" x14ac:dyDescent="0.25">
      <c r="A1409" s="6">
        <v>1408</v>
      </c>
      <c r="B1409" s="7">
        <v>45384</v>
      </c>
      <c r="C1409" s="8" t="s">
        <v>78</v>
      </c>
      <c r="D1409" s="8" t="s">
        <v>73</v>
      </c>
      <c r="E1409" s="8" t="s">
        <v>84</v>
      </c>
      <c r="F1409" s="8" t="s">
        <v>200</v>
      </c>
      <c r="G1409" s="6">
        <v>17</v>
      </c>
      <c r="H1409" s="25">
        <v>3200</v>
      </c>
      <c r="I1409" s="6">
        <v>10</v>
      </c>
      <c r="J1409" s="6">
        <f t="shared" si="42"/>
        <v>54400</v>
      </c>
      <c r="K1409" s="6">
        <f t="shared" si="43"/>
        <v>48960</v>
      </c>
      <c r="L1409" s="8" t="s">
        <v>107</v>
      </c>
      <c r="M1409" s="8" t="s">
        <v>96</v>
      </c>
      <c r="N1409">
        <v>4</v>
      </c>
      <c r="O1409">
        <v>2024</v>
      </c>
      <c r="P1409" s="29" t="s">
        <v>722</v>
      </c>
      <c r="Q1409" t="s">
        <v>736</v>
      </c>
      <c r="R1409" t="s">
        <v>738</v>
      </c>
    </row>
    <row r="1410" spans="1:18" x14ac:dyDescent="0.25">
      <c r="A1410" s="9">
        <v>1409</v>
      </c>
      <c r="B1410" s="10">
        <v>45395</v>
      </c>
      <c r="C1410" s="11" t="s">
        <v>106</v>
      </c>
      <c r="D1410" s="11" t="s">
        <v>93</v>
      </c>
      <c r="E1410" s="11" t="s">
        <v>74</v>
      </c>
      <c r="F1410" s="11" t="s">
        <v>142</v>
      </c>
      <c r="G1410" s="9">
        <v>10</v>
      </c>
      <c r="H1410" s="26">
        <v>11400</v>
      </c>
      <c r="I1410" s="9">
        <v>0</v>
      </c>
      <c r="J1410" s="9">
        <f t="shared" ref="J1410:J1473" si="44">G1410*H1410</f>
        <v>114000</v>
      </c>
      <c r="K1410" s="9">
        <f t="shared" ref="K1410:K1473" si="45">J1410*(1-I1410/100)</f>
        <v>114000</v>
      </c>
      <c r="L1410" s="11" t="s">
        <v>76</v>
      </c>
      <c r="M1410" s="11" t="s">
        <v>81</v>
      </c>
      <c r="N1410">
        <v>4</v>
      </c>
      <c r="O1410">
        <v>2024</v>
      </c>
      <c r="P1410" s="29" t="s">
        <v>722</v>
      </c>
      <c r="Q1410" t="s">
        <v>736</v>
      </c>
      <c r="R1410" t="s">
        <v>739</v>
      </c>
    </row>
    <row r="1411" spans="1:18" x14ac:dyDescent="0.25">
      <c r="A1411" s="6">
        <v>1410</v>
      </c>
      <c r="B1411" s="7">
        <v>44953</v>
      </c>
      <c r="C1411" s="8" t="s">
        <v>82</v>
      </c>
      <c r="D1411" s="8" t="s">
        <v>93</v>
      </c>
      <c r="E1411" s="8" t="s">
        <v>79</v>
      </c>
      <c r="F1411" s="8" t="s">
        <v>122</v>
      </c>
      <c r="G1411" s="6">
        <v>5</v>
      </c>
      <c r="H1411" s="25">
        <v>18600</v>
      </c>
      <c r="I1411" s="6">
        <v>0</v>
      </c>
      <c r="J1411" s="6">
        <f t="shared" si="44"/>
        <v>93000</v>
      </c>
      <c r="K1411" s="6">
        <f t="shared" si="45"/>
        <v>93000</v>
      </c>
      <c r="L1411" s="8" t="s">
        <v>76</v>
      </c>
      <c r="M1411" s="8" t="s">
        <v>96</v>
      </c>
      <c r="N1411">
        <v>1</v>
      </c>
      <c r="O1411">
        <v>2023</v>
      </c>
      <c r="P1411" s="29" t="s">
        <v>721</v>
      </c>
      <c r="Q1411" t="s">
        <v>735</v>
      </c>
      <c r="R1411" t="s">
        <v>739</v>
      </c>
    </row>
    <row r="1412" spans="1:18" x14ac:dyDescent="0.25">
      <c r="A1412" s="9">
        <v>1411</v>
      </c>
      <c r="B1412" s="10">
        <v>45393</v>
      </c>
      <c r="C1412" s="11" t="s">
        <v>106</v>
      </c>
      <c r="D1412" s="11" t="s">
        <v>109</v>
      </c>
      <c r="E1412" s="11" t="s">
        <v>74</v>
      </c>
      <c r="F1412" s="11" t="s">
        <v>142</v>
      </c>
      <c r="G1412" s="9">
        <v>18</v>
      </c>
      <c r="H1412" s="26">
        <v>12100</v>
      </c>
      <c r="I1412" s="9">
        <v>20</v>
      </c>
      <c r="J1412" s="9">
        <f t="shared" si="44"/>
        <v>217800</v>
      </c>
      <c r="K1412" s="9">
        <f t="shared" si="45"/>
        <v>174240</v>
      </c>
      <c r="L1412" s="11" t="s">
        <v>76</v>
      </c>
      <c r="M1412" s="11" t="s">
        <v>81</v>
      </c>
      <c r="N1412">
        <v>4</v>
      </c>
      <c r="O1412">
        <v>2024</v>
      </c>
      <c r="P1412" s="29" t="s">
        <v>722</v>
      </c>
      <c r="Q1412" t="s">
        <v>736</v>
      </c>
      <c r="R1412" t="s">
        <v>739</v>
      </c>
    </row>
    <row r="1413" spans="1:18" x14ac:dyDescent="0.25">
      <c r="A1413" s="6">
        <v>1412</v>
      </c>
      <c r="B1413" s="7">
        <v>45290</v>
      </c>
      <c r="C1413" s="8" t="s">
        <v>78</v>
      </c>
      <c r="D1413" s="8" t="s">
        <v>109</v>
      </c>
      <c r="E1413" s="8" t="s">
        <v>111</v>
      </c>
      <c r="F1413" s="8" t="s">
        <v>112</v>
      </c>
      <c r="G1413" s="6">
        <v>25</v>
      </c>
      <c r="H1413" s="25">
        <v>72100</v>
      </c>
      <c r="I1413" s="6">
        <v>5</v>
      </c>
      <c r="J1413" s="6">
        <f t="shared" si="44"/>
        <v>1802500</v>
      </c>
      <c r="K1413" s="6">
        <f t="shared" si="45"/>
        <v>1712375</v>
      </c>
      <c r="L1413" s="8" t="s">
        <v>76</v>
      </c>
      <c r="M1413" s="8" t="s">
        <v>81</v>
      </c>
      <c r="N1413">
        <v>12</v>
      </c>
      <c r="O1413">
        <v>2023</v>
      </c>
      <c r="P1413" s="29" t="s">
        <v>725</v>
      </c>
      <c r="Q1413" t="s">
        <v>733</v>
      </c>
      <c r="R1413" t="s">
        <v>737</v>
      </c>
    </row>
    <row r="1414" spans="1:18" x14ac:dyDescent="0.25">
      <c r="A1414" s="9">
        <v>1413</v>
      </c>
      <c r="B1414" s="10">
        <v>44977</v>
      </c>
      <c r="C1414" s="11" t="s">
        <v>119</v>
      </c>
      <c r="D1414" s="11" t="s">
        <v>83</v>
      </c>
      <c r="E1414" s="11" t="s">
        <v>111</v>
      </c>
      <c r="F1414" s="11" t="s">
        <v>156</v>
      </c>
      <c r="G1414" s="9">
        <v>25</v>
      </c>
      <c r="H1414" s="26">
        <v>40000</v>
      </c>
      <c r="I1414" s="9">
        <v>0</v>
      </c>
      <c r="J1414" s="9">
        <f t="shared" si="44"/>
        <v>1000000</v>
      </c>
      <c r="K1414" s="9">
        <f t="shared" si="45"/>
        <v>1000000</v>
      </c>
      <c r="L1414" s="11" t="s">
        <v>76</v>
      </c>
      <c r="M1414" s="11" t="s">
        <v>77</v>
      </c>
      <c r="N1414">
        <v>2</v>
      </c>
      <c r="O1414">
        <v>2023</v>
      </c>
      <c r="P1414" s="29" t="s">
        <v>717</v>
      </c>
      <c r="Q1414" t="s">
        <v>735</v>
      </c>
      <c r="R1414" t="s">
        <v>737</v>
      </c>
    </row>
    <row r="1415" spans="1:18" x14ac:dyDescent="0.25">
      <c r="A1415" s="6">
        <v>1414</v>
      </c>
      <c r="B1415" s="7">
        <v>45106</v>
      </c>
      <c r="C1415" s="8" t="s">
        <v>82</v>
      </c>
      <c r="D1415" s="8" t="s">
        <v>93</v>
      </c>
      <c r="E1415" s="8" t="s">
        <v>102</v>
      </c>
      <c r="F1415" s="8" t="s">
        <v>137</v>
      </c>
      <c r="G1415" s="6">
        <v>14</v>
      </c>
      <c r="H1415" s="25">
        <v>2100</v>
      </c>
      <c r="I1415" s="6">
        <v>15</v>
      </c>
      <c r="J1415" s="6">
        <f t="shared" si="44"/>
        <v>29400</v>
      </c>
      <c r="K1415" s="6">
        <f t="shared" si="45"/>
        <v>24990</v>
      </c>
      <c r="L1415" s="8" t="s">
        <v>76</v>
      </c>
      <c r="M1415" s="8" t="s">
        <v>91</v>
      </c>
      <c r="N1415">
        <v>6</v>
      </c>
      <c r="O1415">
        <v>2023</v>
      </c>
      <c r="P1415" s="29" t="s">
        <v>723</v>
      </c>
      <c r="Q1415" t="s">
        <v>736</v>
      </c>
      <c r="R1415" t="s">
        <v>738</v>
      </c>
    </row>
    <row r="1416" spans="1:18" x14ac:dyDescent="0.25">
      <c r="A1416" s="9">
        <v>1415</v>
      </c>
      <c r="B1416" s="10">
        <v>45605</v>
      </c>
      <c r="C1416" s="11" t="s">
        <v>88</v>
      </c>
      <c r="D1416" s="11" t="s">
        <v>117</v>
      </c>
      <c r="E1416" s="11" t="s">
        <v>111</v>
      </c>
      <c r="F1416" s="11" t="s">
        <v>156</v>
      </c>
      <c r="G1416" s="9">
        <v>6</v>
      </c>
      <c r="H1416" s="26">
        <v>40000</v>
      </c>
      <c r="I1416" s="9">
        <v>5</v>
      </c>
      <c r="J1416" s="9">
        <f t="shared" si="44"/>
        <v>240000</v>
      </c>
      <c r="K1416" s="9">
        <f t="shared" si="45"/>
        <v>228000</v>
      </c>
      <c r="L1416" s="11" t="s">
        <v>187</v>
      </c>
      <c r="M1416" s="11" t="s">
        <v>96</v>
      </c>
      <c r="N1416">
        <v>11</v>
      </c>
      <c r="O1416">
        <v>2024</v>
      </c>
      <c r="P1416" s="29" t="s">
        <v>714</v>
      </c>
      <c r="Q1416" t="s">
        <v>733</v>
      </c>
      <c r="R1416" t="s">
        <v>737</v>
      </c>
    </row>
    <row r="1417" spans="1:18" x14ac:dyDescent="0.25">
      <c r="A1417" s="6">
        <v>1416</v>
      </c>
      <c r="B1417" s="7">
        <v>45188</v>
      </c>
      <c r="C1417" s="8" t="s">
        <v>82</v>
      </c>
      <c r="D1417" s="8" t="s">
        <v>73</v>
      </c>
      <c r="E1417" s="8" t="s">
        <v>111</v>
      </c>
      <c r="F1417" s="8" t="s">
        <v>192</v>
      </c>
      <c r="G1417" s="6">
        <v>27</v>
      </c>
      <c r="H1417" s="25">
        <v>85700</v>
      </c>
      <c r="I1417" s="6">
        <v>0</v>
      </c>
      <c r="J1417" s="6">
        <f t="shared" si="44"/>
        <v>2313900</v>
      </c>
      <c r="K1417" s="6">
        <f t="shared" si="45"/>
        <v>2313900</v>
      </c>
      <c r="L1417" s="8" t="s">
        <v>76</v>
      </c>
      <c r="M1417" s="8" t="s">
        <v>77</v>
      </c>
      <c r="N1417">
        <v>9</v>
      </c>
      <c r="O1417">
        <v>2023</v>
      </c>
      <c r="P1417" s="29" t="s">
        <v>715</v>
      </c>
      <c r="Q1417" t="s">
        <v>734</v>
      </c>
      <c r="R1417" t="s">
        <v>737</v>
      </c>
    </row>
    <row r="1418" spans="1:18" x14ac:dyDescent="0.25">
      <c r="A1418" s="9">
        <v>1417</v>
      </c>
      <c r="B1418" s="10">
        <v>45413</v>
      </c>
      <c r="C1418" s="11" t="s">
        <v>101</v>
      </c>
      <c r="D1418" s="11" t="s">
        <v>73</v>
      </c>
      <c r="E1418" s="11" t="s">
        <v>111</v>
      </c>
      <c r="F1418" s="11" t="s">
        <v>135</v>
      </c>
      <c r="G1418" s="9">
        <v>45</v>
      </c>
      <c r="H1418" s="26">
        <v>110100</v>
      </c>
      <c r="I1418" s="9">
        <v>5</v>
      </c>
      <c r="J1418" s="9">
        <f t="shared" si="44"/>
        <v>4954500</v>
      </c>
      <c r="K1418" s="9">
        <f t="shared" si="45"/>
        <v>4706775</v>
      </c>
      <c r="L1418" s="11" t="s">
        <v>76</v>
      </c>
      <c r="M1418" s="11" t="s">
        <v>91</v>
      </c>
      <c r="N1418">
        <v>5</v>
      </c>
      <c r="O1418">
        <v>2024</v>
      </c>
      <c r="P1418" s="29" t="s">
        <v>732</v>
      </c>
      <c r="Q1418" t="s">
        <v>736</v>
      </c>
      <c r="R1418" t="s">
        <v>737</v>
      </c>
    </row>
    <row r="1419" spans="1:18" x14ac:dyDescent="0.25">
      <c r="A1419" s="6">
        <v>1418</v>
      </c>
      <c r="B1419" s="7">
        <v>44943</v>
      </c>
      <c r="C1419" s="8" t="s">
        <v>101</v>
      </c>
      <c r="D1419" s="8" t="s">
        <v>117</v>
      </c>
      <c r="E1419" s="8" t="s">
        <v>79</v>
      </c>
      <c r="F1419" s="8" t="s">
        <v>122</v>
      </c>
      <c r="G1419" s="6">
        <v>12</v>
      </c>
      <c r="H1419" s="25">
        <v>20000</v>
      </c>
      <c r="I1419" s="6">
        <v>10</v>
      </c>
      <c r="J1419" s="6">
        <f t="shared" si="44"/>
        <v>240000</v>
      </c>
      <c r="K1419" s="6">
        <f t="shared" si="45"/>
        <v>216000</v>
      </c>
      <c r="L1419" s="8" t="s">
        <v>76</v>
      </c>
      <c r="M1419" s="8" t="s">
        <v>81</v>
      </c>
      <c r="N1419">
        <v>1</v>
      </c>
      <c r="O1419">
        <v>2023</v>
      </c>
      <c r="P1419" s="29" t="s">
        <v>721</v>
      </c>
      <c r="Q1419" t="s">
        <v>735</v>
      </c>
      <c r="R1419" t="s">
        <v>737</v>
      </c>
    </row>
    <row r="1420" spans="1:18" x14ac:dyDescent="0.25">
      <c r="A1420" s="9">
        <v>1419</v>
      </c>
      <c r="B1420" s="10">
        <v>45175</v>
      </c>
      <c r="C1420" s="11" t="s">
        <v>108</v>
      </c>
      <c r="D1420" s="11" t="s">
        <v>83</v>
      </c>
      <c r="E1420" s="11" t="s">
        <v>79</v>
      </c>
      <c r="F1420" s="11" t="s">
        <v>136</v>
      </c>
      <c r="G1420" s="9">
        <v>14</v>
      </c>
      <c r="H1420" s="26">
        <v>89200</v>
      </c>
      <c r="I1420" s="9">
        <v>0</v>
      </c>
      <c r="J1420" s="9">
        <f t="shared" si="44"/>
        <v>1248800</v>
      </c>
      <c r="K1420" s="9">
        <f t="shared" si="45"/>
        <v>1248800</v>
      </c>
      <c r="L1420" s="11" t="s">
        <v>107</v>
      </c>
      <c r="M1420" s="11" t="s">
        <v>96</v>
      </c>
      <c r="N1420">
        <v>9</v>
      </c>
      <c r="O1420">
        <v>2023</v>
      </c>
      <c r="P1420" s="29" t="s">
        <v>715</v>
      </c>
      <c r="Q1420" t="s">
        <v>734</v>
      </c>
      <c r="R1420" t="s">
        <v>737</v>
      </c>
    </row>
    <row r="1421" spans="1:18" x14ac:dyDescent="0.25">
      <c r="A1421" s="6">
        <v>1420</v>
      </c>
      <c r="B1421" s="7">
        <v>45559</v>
      </c>
      <c r="C1421" s="8" t="s">
        <v>114</v>
      </c>
      <c r="D1421" s="8" t="s">
        <v>109</v>
      </c>
      <c r="E1421" s="8" t="s">
        <v>111</v>
      </c>
      <c r="F1421" s="8" t="s">
        <v>166</v>
      </c>
      <c r="G1421" s="6">
        <v>34</v>
      </c>
      <c r="H1421" s="25">
        <v>26400</v>
      </c>
      <c r="I1421" s="6">
        <v>0</v>
      </c>
      <c r="J1421" s="6">
        <f t="shared" si="44"/>
        <v>897600</v>
      </c>
      <c r="K1421" s="6">
        <f t="shared" si="45"/>
        <v>897600</v>
      </c>
      <c r="L1421" s="8" t="s">
        <v>123</v>
      </c>
      <c r="M1421" s="8" t="s">
        <v>81</v>
      </c>
      <c r="N1421">
        <v>9</v>
      </c>
      <c r="O1421">
        <v>2024</v>
      </c>
      <c r="P1421" s="29" t="s">
        <v>731</v>
      </c>
      <c r="Q1421" t="s">
        <v>734</v>
      </c>
      <c r="R1421" t="s">
        <v>737</v>
      </c>
    </row>
    <row r="1422" spans="1:18" x14ac:dyDescent="0.25">
      <c r="A1422" s="9">
        <v>1421</v>
      </c>
      <c r="B1422" s="10">
        <v>45039</v>
      </c>
      <c r="C1422" s="11" t="s">
        <v>108</v>
      </c>
      <c r="D1422" s="11" t="s">
        <v>73</v>
      </c>
      <c r="E1422" s="11" t="s">
        <v>111</v>
      </c>
      <c r="F1422" s="11" t="s">
        <v>156</v>
      </c>
      <c r="G1422" s="9">
        <v>41</v>
      </c>
      <c r="H1422" s="26">
        <v>41000</v>
      </c>
      <c r="I1422" s="9">
        <v>10</v>
      </c>
      <c r="J1422" s="9">
        <f t="shared" si="44"/>
        <v>1681000</v>
      </c>
      <c r="K1422" s="9">
        <f t="shared" si="45"/>
        <v>1512900</v>
      </c>
      <c r="L1422" s="11" t="s">
        <v>76</v>
      </c>
      <c r="M1422" s="11" t="s">
        <v>96</v>
      </c>
      <c r="N1422">
        <v>4</v>
      </c>
      <c r="O1422">
        <v>2023</v>
      </c>
      <c r="P1422" s="29" t="s">
        <v>716</v>
      </c>
      <c r="Q1422" t="s">
        <v>736</v>
      </c>
      <c r="R1422" t="s">
        <v>737</v>
      </c>
    </row>
    <row r="1423" spans="1:18" x14ac:dyDescent="0.25">
      <c r="A1423" s="6">
        <v>1422</v>
      </c>
      <c r="B1423" s="7">
        <v>45255</v>
      </c>
      <c r="C1423" s="8" t="s">
        <v>78</v>
      </c>
      <c r="D1423" s="8" t="s">
        <v>73</v>
      </c>
      <c r="E1423" s="8" t="s">
        <v>74</v>
      </c>
      <c r="F1423" s="8" t="s">
        <v>94</v>
      </c>
      <c r="G1423" s="6">
        <v>3</v>
      </c>
      <c r="H1423" s="25">
        <v>39300</v>
      </c>
      <c r="I1423" s="6">
        <v>5</v>
      </c>
      <c r="J1423" s="6">
        <f t="shared" si="44"/>
        <v>117900</v>
      </c>
      <c r="K1423" s="6">
        <f t="shared" si="45"/>
        <v>112005</v>
      </c>
      <c r="L1423" s="8" t="s">
        <v>187</v>
      </c>
      <c r="M1423" s="8" t="s">
        <v>81</v>
      </c>
      <c r="N1423">
        <v>11</v>
      </c>
      <c r="O1423">
        <v>2023</v>
      </c>
      <c r="P1423" s="29" t="s">
        <v>718</v>
      </c>
      <c r="Q1423" t="s">
        <v>733</v>
      </c>
      <c r="R1423" t="s">
        <v>739</v>
      </c>
    </row>
    <row r="1424" spans="1:18" x14ac:dyDescent="0.25">
      <c r="A1424" s="9">
        <v>1423</v>
      </c>
      <c r="B1424" s="10">
        <v>44974</v>
      </c>
      <c r="C1424" s="11" t="s">
        <v>82</v>
      </c>
      <c r="D1424" s="11" t="s">
        <v>83</v>
      </c>
      <c r="E1424" s="11" t="s">
        <v>102</v>
      </c>
      <c r="F1424" s="11" t="s">
        <v>103</v>
      </c>
      <c r="G1424" s="9">
        <v>1</v>
      </c>
      <c r="H1424" s="26">
        <v>9200</v>
      </c>
      <c r="I1424" s="9">
        <v>0</v>
      </c>
      <c r="J1424" s="9">
        <f t="shared" si="44"/>
        <v>9200</v>
      </c>
      <c r="K1424" s="9">
        <f t="shared" si="45"/>
        <v>9200</v>
      </c>
      <c r="L1424" s="11" t="s">
        <v>76</v>
      </c>
      <c r="M1424" s="11" t="s">
        <v>81</v>
      </c>
      <c r="N1424">
        <v>2</v>
      </c>
      <c r="O1424">
        <v>2023</v>
      </c>
      <c r="P1424" s="29" t="s">
        <v>717</v>
      </c>
      <c r="Q1424" t="s">
        <v>735</v>
      </c>
      <c r="R1424" t="s">
        <v>738</v>
      </c>
    </row>
    <row r="1425" spans="1:18" x14ac:dyDescent="0.25">
      <c r="A1425" s="6">
        <v>1424</v>
      </c>
      <c r="B1425" s="7">
        <v>45415</v>
      </c>
      <c r="C1425" s="8" t="s">
        <v>97</v>
      </c>
      <c r="D1425" s="8" t="s">
        <v>73</v>
      </c>
      <c r="E1425" s="8" t="s">
        <v>111</v>
      </c>
      <c r="F1425" s="8" t="s">
        <v>159</v>
      </c>
      <c r="G1425" s="6">
        <v>35</v>
      </c>
      <c r="H1425" s="25">
        <v>13800</v>
      </c>
      <c r="I1425" s="6">
        <v>0</v>
      </c>
      <c r="J1425" s="6">
        <f t="shared" si="44"/>
        <v>483000</v>
      </c>
      <c r="K1425" s="6">
        <f t="shared" si="45"/>
        <v>483000</v>
      </c>
      <c r="L1425" s="8" t="s">
        <v>76</v>
      </c>
      <c r="M1425" s="8" t="s">
        <v>77</v>
      </c>
      <c r="N1425">
        <v>5</v>
      </c>
      <c r="O1425">
        <v>2024</v>
      </c>
      <c r="P1425" s="29" t="s">
        <v>732</v>
      </c>
      <c r="Q1425" t="s">
        <v>736</v>
      </c>
      <c r="R1425" t="s">
        <v>737</v>
      </c>
    </row>
    <row r="1426" spans="1:18" x14ac:dyDescent="0.25">
      <c r="A1426" s="6">
        <v>1425</v>
      </c>
      <c r="B1426" s="7">
        <v>45327</v>
      </c>
      <c r="C1426" s="8" t="s">
        <v>119</v>
      </c>
      <c r="D1426" s="8" t="s">
        <v>117</v>
      </c>
      <c r="E1426" s="8" t="s">
        <v>84</v>
      </c>
      <c r="F1426" s="8" t="s">
        <v>200</v>
      </c>
      <c r="G1426" s="6">
        <v>24</v>
      </c>
      <c r="H1426" s="25">
        <v>3400</v>
      </c>
      <c r="I1426" s="6">
        <v>5</v>
      </c>
      <c r="J1426" s="6">
        <f t="shared" si="44"/>
        <v>81600</v>
      </c>
      <c r="K1426" s="6">
        <f t="shared" si="45"/>
        <v>77520</v>
      </c>
      <c r="L1426" s="8" t="s">
        <v>123</v>
      </c>
      <c r="M1426" s="31" t="s">
        <v>695</v>
      </c>
      <c r="N1426">
        <v>2</v>
      </c>
      <c r="O1426">
        <v>2024</v>
      </c>
      <c r="P1426" s="29" t="s">
        <v>729</v>
      </c>
      <c r="Q1426" t="s">
        <v>735</v>
      </c>
      <c r="R1426" t="s">
        <v>739</v>
      </c>
    </row>
    <row r="1427" spans="1:18" x14ac:dyDescent="0.25">
      <c r="A1427" s="9">
        <v>1426</v>
      </c>
      <c r="B1427" s="10">
        <v>45431</v>
      </c>
      <c r="C1427" s="11" t="s">
        <v>124</v>
      </c>
      <c r="D1427" s="11" t="s">
        <v>109</v>
      </c>
      <c r="E1427" s="11" t="s">
        <v>84</v>
      </c>
      <c r="F1427" s="11" t="s">
        <v>90</v>
      </c>
      <c r="G1427" s="9">
        <v>10</v>
      </c>
      <c r="H1427" s="26">
        <v>1900</v>
      </c>
      <c r="I1427" s="9">
        <v>15</v>
      </c>
      <c r="J1427" s="9">
        <f t="shared" si="44"/>
        <v>19000</v>
      </c>
      <c r="K1427" s="9">
        <f t="shared" si="45"/>
        <v>16150</v>
      </c>
      <c r="L1427" s="11" t="s">
        <v>76</v>
      </c>
      <c r="M1427" s="11" t="s">
        <v>77</v>
      </c>
      <c r="N1427">
        <v>5</v>
      </c>
      <c r="O1427">
        <v>2024</v>
      </c>
      <c r="P1427" s="29" t="s">
        <v>732</v>
      </c>
      <c r="Q1427" t="s">
        <v>736</v>
      </c>
      <c r="R1427" t="s">
        <v>738</v>
      </c>
    </row>
    <row r="1428" spans="1:18" x14ac:dyDescent="0.25">
      <c r="A1428" s="6">
        <v>1427</v>
      </c>
      <c r="B1428" s="7">
        <v>45142</v>
      </c>
      <c r="C1428" s="8" t="s">
        <v>114</v>
      </c>
      <c r="D1428" s="8" t="s">
        <v>117</v>
      </c>
      <c r="E1428" s="8" t="s">
        <v>102</v>
      </c>
      <c r="F1428" s="8" t="s">
        <v>137</v>
      </c>
      <c r="G1428" s="6">
        <v>17</v>
      </c>
      <c r="H1428" s="25">
        <v>2100</v>
      </c>
      <c r="I1428" s="6">
        <v>0</v>
      </c>
      <c r="J1428" s="6">
        <f t="shared" si="44"/>
        <v>35700</v>
      </c>
      <c r="K1428" s="6">
        <f t="shared" si="45"/>
        <v>35700</v>
      </c>
      <c r="L1428" s="8" t="s">
        <v>76</v>
      </c>
      <c r="M1428" s="8" t="s">
        <v>96</v>
      </c>
      <c r="N1428">
        <v>8</v>
      </c>
      <c r="O1428">
        <v>2023</v>
      </c>
      <c r="P1428" s="29" t="s">
        <v>713</v>
      </c>
      <c r="Q1428" t="s">
        <v>734</v>
      </c>
      <c r="R1428" t="s">
        <v>738</v>
      </c>
    </row>
    <row r="1429" spans="1:18" x14ac:dyDescent="0.25">
      <c r="A1429" s="9">
        <v>1428</v>
      </c>
      <c r="B1429" s="10">
        <v>45654</v>
      </c>
      <c r="C1429" s="11" t="s">
        <v>119</v>
      </c>
      <c r="D1429" s="11" t="s">
        <v>93</v>
      </c>
      <c r="E1429" s="11" t="s">
        <v>102</v>
      </c>
      <c r="F1429" s="11" t="s">
        <v>110</v>
      </c>
      <c r="G1429" s="9">
        <v>9</v>
      </c>
      <c r="H1429" s="26">
        <v>24000</v>
      </c>
      <c r="I1429" s="9">
        <v>15</v>
      </c>
      <c r="J1429" s="9">
        <f t="shared" si="44"/>
        <v>216000</v>
      </c>
      <c r="K1429" s="9">
        <f t="shared" si="45"/>
        <v>183600</v>
      </c>
      <c r="L1429" s="11" t="s">
        <v>76</v>
      </c>
      <c r="M1429" s="11" t="s">
        <v>96</v>
      </c>
      <c r="N1429">
        <v>12</v>
      </c>
      <c r="O1429">
        <v>2024</v>
      </c>
      <c r="P1429" s="29" t="s">
        <v>728</v>
      </c>
      <c r="Q1429" t="s">
        <v>733</v>
      </c>
      <c r="R1429" t="s">
        <v>739</v>
      </c>
    </row>
    <row r="1430" spans="1:18" x14ac:dyDescent="0.25">
      <c r="A1430" s="6">
        <v>1429</v>
      </c>
      <c r="B1430" s="7">
        <v>45075</v>
      </c>
      <c r="C1430" s="8" t="s">
        <v>124</v>
      </c>
      <c r="D1430" s="8" t="s">
        <v>73</v>
      </c>
      <c r="E1430" s="8" t="s">
        <v>111</v>
      </c>
      <c r="F1430" s="8" t="s">
        <v>192</v>
      </c>
      <c r="G1430" s="6">
        <v>12</v>
      </c>
      <c r="H1430" s="25">
        <v>104400</v>
      </c>
      <c r="I1430" s="6">
        <v>20</v>
      </c>
      <c r="J1430" s="6">
        <f t="shared" si="44"/>
        <v>1252800</v>
      </c>
      <c r="K1430" s="6">
        <f t="shared" si="45"/>
        <v>1002240</v>
      </c>
      <c r="L1430" s="8" t="s">
        <v>76</v>
      </c>
      <c r="M1430" s="8" t="s">
        <v>77</v>
      </c>
      <c r="N1430">
        <v>5</v>
      </c>
      <c r="O1430">
        <v>2023</v>
      </c>
      <c r="P1430" s="29" t="s">
        <v>730</v>
      </c>
      <c r="Q1430" t="s">
        <v>736</v>
      </c>
      <c r="R1430" t="s">
        <v>737</v>
      </c>
    </row>
    <row r="1431" spans="1:18" x14ac:dyDescent="0.25">
      <c r="A1431" s="9">
        <v>1430</v>
      </c>
      <c r="B1431" s="10">
        <v>44935</v>
      </c>
      <c r="C1431" s="11" t="s">
        <v>108</v>
      </c>
      <c r="D1431" s="11" t="s">
        <v>83</v>
      </c>
      <c r="E1431" s="11" t="s">
        <v>74</v>
      </c>
      <c r="F1431" s="11" t="s">
        <v>94</v>
      </c>
      <c r="G1431" s="9">
        <v>31</v>
      </c>
      <c r="H1431" s="26">
        <v>36500</v>
      </c>
      <c r="I1431" s="9">
        <v>15</v>
      </c>
      <c r="J1431" s="9">
        <f t="shared" si="44"/>
        <v>1131500</v>
      </c>
      <c r="K1431" s="9">
        <f t="shared" si="45"/>
        <v>961775</v>
      </c>
      <c r="L1431" s="11" t="s">
        <v>107</v>
      </c>
      <c r="M1431" s="11" t="s">
        <v>81</v>
      </c>
      <c r="N1431">
        <v>1</v>
      </c>
      <c r="O1431">
        <v>2023</v>
      </c>
      <c r="P1431" s="29" t="s">
        <v>721</v>
      </c>
      <c r="Q1431" t="s">
        <v>735</v>
      </c>
      <c r="R1431" t="s">
        <v>737</v>
      </c>
    </row>
    <row r="1432" spans="1:18" x14ac:dyDescent="0.25">
      <c r="A1432" s="6">
        <v>1431</v>
      </c>
      <c r="B1432" s="7">
        <v>45518</v>
      </c>
      <c r="C1432" s="8" t="s">
        <v>114</v>
      </c>
      <c r="D1432" s="8" t="s">
        <v>83</v>
      </c>
      <c r="E1432" s="8" t="s">
        <v>84</v>
      </c>
      <c r="F1432" s="8" t="s">
        <v>85</v>
      </c>
      <c r="G1432" s="6">
        <v>35</v>
      </c>
      <c r="H1432" s="25">
        <v>5700</v>
      </c>
      <c r="I1432" s="6">
        <v>15</v>
      </c>
      <c r="J1432" s="6">
        <f t="shared" si="44"/>
        <v>199500</v>
      </c>
      <c r="K1432" s="6">
        <f t="shared" si="45"/>
        <v>169575</v>
      </c>
      <c r="L1432" s="8" t="s">
        <v>76</v>
      </c>
      <c r="M1432" s="8" t="s">
        <v>96</v>
      </c>
      <c r="N1432">
        <v>8</v>
      </c>
      <c r="O1432">
        <v>2024</v>
      </c>
      <c r="P1432" s="29" t="s">
        <v>710</v>
      </c>
      <c r="Q1432" t="s">
        <v>734</v>
      </c>
      <c r="R1432" t="s">
        <v>739</v>
      </c>
    </row>
    <row r="1433" spans="1:18" x14ac:dyDescent="0.25">
      <c r="A1433" s="9">
        <v>1432</v>
      </c>
      <c r="B1433" s="10">
        <v>45571</v>
      </c>
      <c r="C1433" s="11" t="s">
        <v>88</v>
      </c>
      <c r="D1433" s="11" t="s">
        <v>117</v>
      </c>
      <c r="E1433" s="11" t="s">
        <v>84</v>
      </c>
      <c r="F1433" s="11" t="s">
        <v>134</v>
      </c>
      <c r="G1433" s="9">
        <v>32</v>
      </c>
      <c r="H1433" s="26">
        <v>9500</v>
      </c>
      <c r="I1433" s="9">
        <v>15</v>
      </c>
      <c r="J1433" s="9">
        <f t="shared" si="44"/>
        <v>304000</v>
      </c>
      <c r="K1433" s="9">
        <f t="shared" si="45"/>
        <v>258400</v>
      </c>
      <c r="L1433" s="11" t="s">
        <v>187</v>
      </c>
      <c r="M1433" s="11" t="s">
        <v>91</v>
      </c>
      <c r="N1433">
        <v>10</v>
      </c>
      <c r="O1433">
        <v>2024</v>
      </c>
      <c r="P1433" s="29" t="s">
        <v>709</v>
      </c>
      <c r="Q1433" t="s">
        <v>733</v>
      </c>
      <c r="R1433" t="s">
        <v>737</v>
      </c>
    </row>
    <row r="1434" spans="1:18" x14ac:dyDescent="0.25">
      <c r="A1434" s="6">
        <v>1433</v>
      </c>
      <c r="B1434" s="7">
        <v>45173</v>
      </c>
      <c r="C1434" s="8" t="s">
        <v>88</v>
      </c>
      <c r="D1434" s="8" t="s">
        <v>93</v>
      </c>
      <c r="E1434" s="8" t="s">
        <v>74</v>
      </c>
      <c r="F1434" s="8" t="s">
        <v>118</v>
      </c>
      <c r="G1434" s="6">
        <v>28</v>
      </c>
      <c r="H1434" s="25">
        <v>30700</v>
      </c>
      <c r="I1434" s="6">
        <v>0</v>
      </c>
      <c r="J1434" s="6">
        <f t="shared" si="44"/>
        <v>859600</v>
      </c>
      <c r="K1434" s="6">
        <f t="shared" si="45"/>
        <v>859600</v>
      </c>
      <c r="L1434" s="8" t="s">
        <v>76</v>
      </c>
      <c r="M1434" s="8" t="s">
        <v>81</v>
      </c>
      <c r="N1434">
        <v>9</v>
      </c>
      <c r="O1434">
        <v>2023</v>
      </c>
      <c r="P1434" s="29" t="s">
        <v>715</v>
      </c>
      <c r="Q1434" t="s">
        <v>734</v>
      </c>
      <c r="R1434" t="s">
        <v>737</v>
      </c>
    </row>
    <row r="1435" spans="1:18" x14ac:dyDescent="0.25">
      <c r="A1435" s="9">
        <v>1434</v>
      </c>
      <c r="B1435" s="10">
        <v>45159</v>
      </c>
      <c r="C1435" s="11" t="s">
        <v>119</v>
      </c>
      <c r="D1435" s="11" t="s">
        <v>73</v>
      </c>
      <c r="E1435" s="11" t="s">
        <v>79</v>
      </c>
      <c r="F1435" s="11" t="s">
        <v>179</v>
      </c>
      <c r="G1435" s="9">
        <v>23</v>
      </c>
      <c r="H1435" s="26">
        <v>2300</v>
      </c>
      <c r="I1435" s="9">
        <v>10</v>
      </c>
      <c r="J1435" s="9">
        <f t="shared" si="44"/>
        <v>52900</v>
      </c>
      <c r="K1435" s="9">
        <f t="shared" si="45"/>
        <v>47610</v>
      </c>
      <c r="L1435" s="11" t="s">
        <v>76</v>
      </c>
      <c r="M1435" s="11" t="s">
        <v>91</v>
      </c>
      <c r="N1435">
        <v>8</v>
      </c>
      <c r="O1435">
        <v>2023</v>
      </c>
      <c r="P1435" s="29" t="s">
        <v>713</v>
      </c>
      <c r="Q1435" t="s">
        <v>734</v>
      </c>
      <c r="R1435" t="s">
        <v>738</v>
      </c>
    </row>
    <row r="1436" spans="1:18" x14ac:dyDescent="0.25">
      <c r="A1436" s="6">
        <v>1435</v>
      </c>
      <c r="B1436" s="7">
        <v>45011</v>
      </c>
      <c r="C1436" s="8" t="s">
        <v>82</v>
      </c>
      <c r="D1436" s="8" t="s">
        <v>109</v>
      </c>
      <c r="E1436" s="8" t="s">
        <v>111</v>
      </c>
      <c r="F1436" s="8" t="s">
        <v>156</v>
      </c>
      <c r="G1436" s="6">
        <v>44</v>
      </c>
      <c r="H1436" s="25">
        <v>39300</v>
      </c>
      <c r="I1436" s="6">
        <v>0</v>
      </c>
      <c r="J1436" s="6">
        <f t="shared" si="44"/>
        <v>1729200</v>
      </c>
      <c r="K1436" s="6">
        <f t="shared" si="45"/>
        <v>1729200</v>
      </c>
      <c r="L1436" s="8" t="s">
        <v>76</v>
      </c>
      <c r="M1436" s="8" t="s">
        <v>77</v>
      </c>
      <c r="N1436">
        <v>3</v>
      </c>
      <c r="O1436">
        <v>2023</v>
      </c>
      <c r="P1436" s="29" t="s">
        <v>719</v>
      </c>
      <c r="Q1436" t="s">
        <v>735</v>
      </c>
      <c r="R1436" t="s">
        <v>737</v>
      </c>
    </row>
    <row r="1437" spans="1:18" x14ac:dyDescent="0.25">
      <c r="A1437" s="9">
        <v>1436</v>
      </c>
      <c r="B1437" s="10">
        <v>45289</v>
      </c>
      <c r="C1437" s="11" t="s">
        <v>82</v>
      </c>
      <c r="D1437" s="11" t="s">
        <v>93</v>
      </c>
      <c r="E1437" s="11" t="s">
        <v>84</v>
      </c>
      <c r="F1437" s="11" t="s">
        <v>206</v>
      </c>
      <c r="G1437" s="12">
        <v>24</v>
      </c>
      <c r="H1437" s="26">
        <v>15400</v>
      </c>
      <c r="I1437" s="9">
        <v>0</v>
      </c>
      <c r="J1437" s="9">
        <f t="shared" si="44"/>
        <v>369600</v>
      </c>
      <c r="K1437" s="9">
        <f t="shared" si="45"/>
        <v>369600</v>
      </c>
      <c r="L1437" s="11" t="s">
        <v>76</v>
      </c>
      <c r="M1437" s="11" t="s">
        <v>81</v>
      </c>
      <c r="N1437">
        <v>12</v>
      </c>
      <c r="O1437">
        <v>2023</v>
      </c>
      <c r="P1437" s="29" t="s">
        <v>725</v>
      </c>
      <c r="Q1437" t="s">
        <v>733</v>
      </c>
      <c r="R1437" t="s">
        <v>737</v>
      </c>
    </row>
    <row r="1438" spans="1:18" x14ac:dyDescent="0.25">
      <c r="A1438" s="6">
        <v>1437</v>
      </c>
      <c r="B1438" s="7">
        <v>45266</v>
      </c>
      <c r="C1438" s="8" t="s">
        <v>97</v>
      </c>
      <c r="D1438" s="8" t="s">
        <v>109</v>
      </c>
      <c r="E1438" s="8" t="s">
        <v>102</v>
      </c>
      <c r="F1438" s="8" t="s">
        <v>181</v>
      </c>
      <c r="G1438" s="6">
        <v>49</v>
      </c>
      <c r="H1438" s="25">
        <v>5000</v>
      </c>
      <c r="I1438" s="6">
        <v>20</v>
      </c>
      <c r="J1438" s="6">
        <f t="shared" si="44"/>
        <v>245000</v>
      </c>
      <c r="K1438" s="6">
        <f t="shared" si="45"/>
        <v>196000</v>
      </c>
      <c r="L1438" s="8" t="s">
        <v>187</v>
      </c>
      <c r="M1438" s="8" t="s">
        <v>91</v>
      </c>
      <c r="N1438">
        <v>12</v>
      </c>
      <c r="O1438">
        <v>2023</v>
      </c>
      <c r="P1438" s="29" t="s">
        <v>725</v>
      </c>
      <c r="Q1438" t="s">
        <v>733</v>
      </c>
      <c r="R1438" t="s">
        <v>739</v>
      </c>
    </row>
    <row r="1439" spans="1:18" x14ac:dyDescent="0.25">
      <c r="A1439" s="9">
        <v>1438</v>
      </c>
      <c r="B1439" s="10">
        <v>45134</v>
      </c>
      <c r="C1439" s="11" t="s">
        <v>101</v>
      </c>
      <c r="D1439" s="11" t="s">
        <v>73</v>
      </c>
      <c r="E1439" s="11" t="s">
        <v>111</v>
      </c>
      <c r="F1439" s="11" t="s">
        <v>135</v>
      </c>
      <c r="G1439" s="9">
        <v>34</v>
      </c>
      <c r="H1439" s="26">
        <v>114700</v>
      </c>
      <c r="I1439" s="9">
        <v>5</v>
      </c>
      <c r="J1439" s="9">
        <f t="shared" si="44"/>
        <v>3899800</v>
      </c>
      <c r="K1439" s="9">
        <f t="shared" si="45"/>
        <v>3704810</v>
      </c>
      <c r="L1439" s="11" t="s">
        <v>123</v>
      </c>
      <c r="M1439" s="11" t="s">
        <v>91</v>
      </c>
      <c r="N1439">
        <v>7</v>
      </c>
      <c r="O1439">
        <v>2023</v>
      </c>
      <c r="P1439" s="29" t="s">
        <v>724</v>
      </c>
      <c r="Q1439" t="s">
        <v>734</v>
      </c>
      <c r="R1439" t="s">
        <v>737</v>
      </c>
    </row>
    <row r="1440" spans="1:18" x14ac:dyDescent="0.25">
      <c r="A1440" s="6">
        <v>1439</v>
      </c>
      <c r="B1440" s="7">
        <v>45256</v>
      </c>
      <c r="C1440" s="8" t="s">
        <v>108</v>
      </c>
      <c r="D1440" s="8" t="s">
        <v>117</v>
      </c>
      <c r="E1440" s="8" t="s">
        <v>79</v>
      </c>
      <c r="F1440" s="8" t="s">
        <v>131</v>
      </c>
      <c r="G1440" s="6">
        <v>36</v>
      </c>
      <c r="H1440" s="25">
        <v>115500</v>
      </c>
      <c r="I1440" s="6">
        <v>15</v>
      </c>
      <c r="J1440" s="6">
        <f t="shared" si="44"/>
        <v>4158000</v>
      </c>
      <c r="K1440" s="6">
        <f t="shared" si="45"/>
        <v>3534300</v>
      </c>
      <c r="L1440" s="8" t="s">
        <v>187</v>
      </c>
      <c r="M1440" s="8" t="s">
        <v>81</v>
      </c>
      <c r="N1440">
        <v>11</v>
      </c>
      <c r="O1440">
        <v>2023</v>
      </c>
      <c r="P1440" s="29" t="s">
        <v>718</v>
      </c>
      <c r="Q1440" t="s">
        <v>733</v>
      </c>
      <c r="R1440" t="s">
        <v>737</v>
      </c>
    </row>
    <row r="1441" spans="1:18" x14ac:dyDescent="0.25">
      <c r="A1441" s="6">
        <v>1440</v>
      </c>
      <c r="B1441" s="7">
        <v>45554</v>
      </c>
      <c r="C1441" s="8" t="s">
        <v>124</v>
      </c>
      <c r="D1441" s="8" t="s">
        <v>73</v>
      </c>
      <c r="E1441" s="8" t="s">
        <v>79</v>
      </c>
      <c r="F1441" s="8" t="s">
        <v>115</v>
      </c>
      <c r="G1441" s="6">
        <v>31</v>
      </c>
      <c r="H1441" s="25">
        <v>8400</v>
      </c>
      <c r="I1441" s="6">
        <v>5</v>
      </c>
      <c r="J1441" s="6">
        <f t="shared" si="44"/>
        <v>260400</v>
      </c>
      <c r="K1441" s="6">
        <f t="shared" si="45"/>
        <v>247380</v>
      </c>
      <c r="L1441" s="8" t="s">
        <v>187</v>
      </c>
      <c r="M1441" s="8" t="s">
        <v>81</v>
      </c>
      <c r="N1441">
        <v>9</v>
      </c>
      <c r="O1441">
        <v>2024</v>
      </c>
      <c r="P1441" s="29" t="s">
        <v>731</v>
      </c>
      <c r="Q1441" t="s">
        <v>734</v>
      </c>
      <c r="R1441" t="s">
        <v>737</v>
      </c>
    </row>
    <row r="1442" spans="1:18" x14ac:dyDescent="0.25">
      <c r="A1442" s="9">
        <v>1441</v>
      </c>
      <c r="B1442" s="10">
        <v>45090</v>
      </c>
      <c r="C1442" s="11" t="s">
        <v>114</v>
      </c>
      <c r="D1442" s="11" t="s">
        <v>83</v>
      </c>
      <c r="E1442" s="11" t="s">
        <v>102</v>
      </c>
      <c r="F1442" s="11" t="s">
        <v>181</v>
      </c>
      <c r="G1442" s="9">
        <v>23</v>
      </c>
      <c r="H1442" s="26">
        <v>4300</v>
      </c>
      <c r="I1442" s="9">
        <v>0</v>
      </c>
      <c r="J1442" s="9">
        <f t="shared" si="44"/>
        <v>98900</v>
      </c>
      <c r="K1442" s="9">
        <f t="shared" si="45"/>
        <v>98900</v>
      </c>
      <c r="L1442" s="11" t="s">
        <v>76</v>
      </c>
      <c r="M1442" s="11" t="s">
        <v>96</v>
      </c>
      <c r="N1442">
        <v>6</v>
      </c>
      <c r="O1442">
        <v>2023</v>
      </c>
      <c r="P1442" s="29" t="s">
        <v>723</v>
      </c>
      <c r="Q1442" t="s">
        <v>736</v>
      </c>
      <c r="R1442" t="s">
        <v>739</v>
      </c>
    </row>
    <row r="1443" spans="1:18" x14ac:dyDescent="0.25">
      <c r="A1443" s="6">
        <v>1442</v>
      </c>
      <c r="B1443" s="7">
        <v>45338</v>
      </c>
      <c r="C1443" s="8" t="s">
        <v>97</v>
      </c>
      <c r="D1443" s="8" t="s">
        <v>93</v>
      </c>
      <c r="E1443" s="8" t="s">
        <v>84</v>
      </c>
      <c r="F1443" s="8" t="s">
        <v>90</v>
      </c>
      <c r="G1443" s="6">
        <v>44</v>
      </c>
      <c r="H1443" s="25">
        <v>1800</v>
      </c>
      <c r="I1443" s="6">
        <v>0</v>
      </c>
      <c r="J1443" s="6">
        <f t="shared" si="44"/>
        <v>79200</v>
      </c>
      <c r="K1443" s="6">
        <f t="shared" si="45"/>
        <v>79200</v>
      </c>
      <c r="L1443" s="8" t="s">
        <v>76</v>
      </c>
      <c r="M1443" s="8" t="s">
        <v>96</v>
      </c>
      <c r="N1443">
        <v>2</v>
      </c>
      <c r="O1443">
        <v>2024</v>
      </c>
      <c r="P1443" s="29" t="s">
        <v>729</v>
      </c>
      <c r="Q1443" t="s">
        <v>735</v>
      </c>
      <c r="R1443" t="s">
        <v>739</v>
      </c>
    </row>
    <row r="1444" spans="1:18" x14ac:dyDescent="0.25">
      <c r="A1444" s="9">
        <v>1443</v>
      </c>
      <c r="B1444" s="10">
        <v>45579</v>
      </c>
      <c r="C1444" s="11" t="s">
        <v>97</v>
      </c>
      <c r="D1444" s="11" t="s">
        <v>93</v>
      </c>
      <c r="E1444" s="11" t="s">
        <v>74</v>
      </c>
      <c r="F1444" s="11" t="s">
        <v>118</v>
      </c>
      <c r="G1444" s="9">
        <v>39</v>
      </c>
      <c r="H1444" s="26">
        <v>30600</v>
      </c>
      <c r="I1444" s="9">
        <v>0</v>
      </c>
      <c r="J1444" s="9">
        <f t="shared" si="44"/>
        <v>1193400</v>
      </c>
      <c r="K1444" s="9">
        <f t="shared" si="45"/>
        <v>1193400</v>
      </c>
      <c r="L1444" s="11" t="s">
        <v>76</v>
      </c>
      <c r="M1444" s="11" t="s">
        <v>91</v>
      </c>
      <c r="N1444">
        <v>10</v>
      </c>
      <c r="O1444">
        <v>2024</v>
      </c>
      <c r="P1444" s="29" t="s">
        <v>709</v>
      </c>
      <c r="Q1444" t="s">
        <v>733</v>
      </c>
      <c r="R1444" t="s">
        <v>737</v>
      </c>
    </row>
    <row r="1445" spans="1:18" x14ac:dyDescent="0.25">
      <c r="A1445" s="6">
        <v>1444</v>
      </c>
      <c r="B1445" s="7">
        <v>45143</v>
      </c>
      <c r="C1445" s="8" t="s">
        <v>82</v>
      </c>
      <c r="D1445" s="8" t="s">
        <v>93</v>
      </c>
      <c r="E1445" s="8" t="s">
        <v>111</v>
      </c>
      <c r="F1445" s="8" t="s">
        <v>166</v>
      </c>
      <c r="G1445" s="6">
        <v>49</v>
      </c>
      <c r="H1445" s="25">
        <v>25700</v>
      </c>
      <c r="I1445" s="6">
        <v>0</v>
      </c>
      <c r="J1445" s="6">
        <f t="shared" si="44"/>
        <v>1259300</v>
      </c>
      <c r="K1445" s="6">
        <f t="shared" si="45"/>
        <v>1259300</v>
      </c>
      <c r="L1445" s="8" t="s">
        <v>107</v>
      </c>
      <c r="M1445" s="8" t="s">
        <v>96</v>
      </c>
      <c r="N1445">
        <v>8</v>
      </c>
      <c r="O1445">
        <v>2023</v>
      </c>
      <c r="P1445" s="29" t="s">
        <v>713</v>
      </c>
      <c r="Q1445" t="s">
        <v>734</v>
      </c>
      <c r="R1445" t="s">
        <v>737</v>
      </c>
    </row>
    <row r="1446" spans="1:18" x14ac:dyDescent="0.25">
      <c r="A1446" s="9">
        <v>1445</v>
      </c>
      <c r="B1446" s="10">
        <v>45232</v>
      </c>
      <c r="C1446" s="11" t="s">
        <v>114</v>
      </c>
      <c r="D1446" s="11" t="s">
        <v>117</v>
      </c>
      <c r="E1446" s="11" t="s">
        <v>79</v>
      </c>
      <c r="F1446" s="11" t="s">
        <v>172</v>
      </c>
      <c r="G1446" s="9">
        <v>11</v>
      </c>
      <c r="H1446" s="26">
        <v>25200</v>
      </c>
      <c r="I1446" s="9">
        <v>20</v>
      </c>
      <c r="J1446" s="9">
        <f t="shared" si="44"/>
        <v>277200</v>
      </c>
      <c r="K1446" s="9">
        <f t="shared" si="45"/>
        <v>221760</v>
      </c>
      <c r="L1446" s="11" t="s">
        <v>107</v>
      </c>
      <c r="M1446" s="11" t="s">
        <v>91</v>
      </c>
      <c r="N1446">
        <v>11</v>
      </c>
      <c r="O1446">
        <v>2023</v>
      </c>
      <c r="P1446" s="29" t="s">
        <v>718</v>
      </c>
      <c r="Q1446" t="s">
        <v>733</v>
      </c>
      <c r="R1446" t="s">
        <v>737</v>
      </c>
    </row>
    <row r="1447" spans="1:18" x14ac:dyDescent="0.25">
      <c r="A1447" s="6">
        <v>1446</v>
      </c>
      <c r="B1447" s="7">
        <v>45225</v>
      </c>
      <c r="C1447" s="8" t="s">
        <v>106</v>
      </c>
      <c r="D1447" s="8" t="s">
        <v>93</v>
      </c>
      <c r="E1447" s="8" t="s">
        <v>79</v>
      </c>
      <c r="F1447" s="8" t="s">
        <v>131</v>
      </c>
      <c r="G1447" s="6">
        <v>39</v>
      </c>
      <c r="H1447" s="25">
        <v>137900</v>
      </c>
      <c r="I1447" s="6">
        <v>0</v>
      </c>
      <c r="J1447" s="6">
        <f t="shared" si="44"/>
        <v>5378100</v>
      </c>
      <c r="K1447" s="6">
        <f t="shared" si="45"/>
        <v>5378100</v>
      </c>
      <c r="L1447" s="8" t="s">
        <v>123</v>
      </c>
      <c r="M1447" s="8" t="s">
        <v>96</v>
      </c>
      <c r="N1447">
        <v>10</v>
      </c>
      <c r="O1447">
        <v>2023</v>
      </c>
      <c r="P1447" s="29" t="s">
        <v>726</v>
      </c>
      <c r="Q1447" t="s">
        <v>733</v>
      </c>
      <c r="R1447" t="s">
        <v>737</v>
      </c>
    </row>
    <row r="1448" spans="1:18" x14ac:dyDescent="0.25">
      <c r="A1448" s="9">
        <v>1447</v>
      </c>
      <c r="B1448" s="10">
        <v>45607</v>
      </c>
      <c r="C1448" s="11" t="s">
        <v>119</v>
      </c>
      <c r="D1448" s="11" t="s">
        <v>83</v>
      </c>
      <c r="E1448" s="11" t="s">
        <v>111</v>
      </c>
      <c r="F1448" s="11" t="s">
        <v>192</v>
      </c>
      <c r="G1448" s="9">
        <v>50</v>
      </c>
      <c r="H1448" s="26">
        <v>100700</v>
      </c>
      <c r="I1448" s="9">
        <v>0</v>
      </c>
      <c r="J1448" s="9">
        <f t="shared" si="44"/>
        <v>5035000</v>
      </c>
      <c r="K1448" s="9">
        <f t="shared" si="45"/>
        <v>5035000</v>
      </c>
      <c r="L1448" s="11" t="s">
        <v>76</v>
      </c>
      <c r="M1448" s="11" t="s">
        <v>96</v>
      </c>
      <c r="N1448">
        <v>11</v>
      </c>
      <c r="O1448">
        <v>2024</v>
      </c>
      <c r="P1448" s="29" t="s">
        <v>714</v>
      </c>
      <c r="Q1448" t="s">
        <v>733</v>
      </c>
      <c r="R1448" t="s">
        <v>737</v>
      </c>
    </row>
    <row r="1449" spans="1:18" x14ac:dyDescent="0.25">
      <c r="A1449" s="6">
        <v>1448</v>
      </c>
      <c r="B1449" s="7">
        <v>45582</v>
      </c>
      <c r="C1449" s="8" t="s">
        <v>82</v>
      </c>
      <c r="D1449" s="8" t="s">
        <v>117</v>
      </c>
      <c r="E1449" s="8" t="s">
        <v>111</v>
      </c>
      <c r="F1449" s="8" t="s">
        <v>135</v>
      </c>
      <c r="G1449" s="6">
        <v>6</v>
      </c>
      <c r="H1449" s="25">
        <v>131800</v>
      </c>
      <c r="I1449" s="6">
        <v>0</v>
      </c>
      <c r="J1449" s="6">
        <f t="shared" si="44"/>
        <v>790800</v>
      </c>
      <c r="K1449" s="6">
        <f t="shared" si="45"/>
        <v>790800</v>
      </c>
      <c r="L1449" s="8" t="s">
        <v>76</v>
      </c>
      <c r="M1449" s="8" t="s">
        <v>91</v>
      </c>
      <c r="N1449">
        <v>10</v>
      </c>
      <c r="O1449">
        <v>2024</v>
      </c>
      <c r="P1449" s="29" t="s">
        <v>709</v>
      </c>
      <c r="Q1449" t="s">
        <v>733</v>
      </c>
      <c r="R1449" t="s">
        <v>737</v>
      </c>
    </row>
    <row r="1450" spans="1:18" x14ac:dyDescent="0.25">
      <c r="A1450" s="9">
        <v>1449</v>
      </c>
      <c r="B1450" s="10">
        <v>45526</v>
      </c>
      <c r="C1450" s="11" t="s">
        <v>119</v>
      </c>
      <c r="D1450" s="11" t="s">
        <v>109</v>
      </c>
      <c r="E1450" s="11" t="s">
        <v>102</v>
      </c>
      <c r="F1450" s="11" t="s">
        <v>151</v>
      </c>
      <c r="G1450" s="9">
        <v>7</v>
      </c>
      <c r="H1450" s="26">
        <v>8000</v>
      </c>
      <c r="I1450" s="9">
        <v>10</v>
      </c>
      <c r="J1450" s="9">
        <f t="shared" si="44"/>
        <v>56000</v>
      </c>
      <c r="K1450" s="9">
        <f t="shared" si="45"/>
        <v>50400</v>
      </c>
      <c r="L1450" s="11" t="s">
        <v>123</v>
      </c>
      <c r="M1450" s="11" t="s">
        <v>91</v>
      </c>
      <c r="N1450">
        <v>8</v>
      </c>
      <c r="O1450">
        <v>2024</v>
      </c>
      <c r="P1450" s="29" t="s">
        <v>710</v>
      </c>
      <c r="Q1450" t="s">
        <v>734</v>
      </c>
      <c r="R1450" t="s">
        <v>739</v>
      </c>
    </row>
    <row r="1451" spans="1:18" x14ac:dyDescent="0.25">
      <c r="A1451" s="6">
        <v>1450</v>
      </c>
      <c r="B1451" s="7">
        <v>45548</v>
      </c>
      <c r="C1451" s="8" t="s">
        <v>124</v>
      </c>
      <c r="D1451" s="8" t="s">
        <v>83</v>
      </c>
      <c r="E1451" s="8" t="s">
        <v>102</v>
      </c>
      <c r="F1451" s="8" t="s">
        <v>151</v>
      </c>
      <c r="G1451" s="6">
        <v>7</v>
      </c>
      <c r="H1451" s="25">
        <v>6800</v>
      </c>
      <c r="I1451" s="6">
        <v>10</v>
      </c>
      <c r="J1451" s="6">
        <f t="shared" si="44"/>
        <v>47600</v>
      </c>
      <c r="K1451" s="6">
        <f t="shared" si="45"/>
        <v>42840</v>
      </c>
      <c r="L1451" s="8" t="s">
        <v>76</v>
      </c>
      <c r="M1451" s="8" t="s">
        <v>77</v>
      </c>
      <c r="N1451">
        <v>9</v>
      </c>
      <c r="O1451">
        <v>2024</v>
      </c>
      <c r="P1451" s="29" t="s">
        <v>731</v>
      </c>
      <c r="Q1451" t="s">
        <v>734</v>
      </c>
      <c r="R1451" t="s">
        <v>738</v>
      </c>
    </row>
    <row r="1452" spans="1:18" x14ac:dyDescent="0.25">
      <c r="A1452" s="9">
        <v>1451</v>
      </c>
      <c r="B1452" s="10">
        <v>45142</v>
      </c>
      <c r="C1452" s="11" t="s">
        <v>97</v>
      </c>
      <c r="D1452" s="11" t="s">
        <v>109</v>
      </c>
      <c r="E1452" s="11" t="s">
        <v>74</v>
      </c>
      <c r="F1452" s="11" t="s">
        <v>140</v>
      </c>
      <c r="G1452" s="9">
        <v>46</v>
      </c>
      <c r="H1452" s="26">
        <v>5000</v>
      </c>
      <c r="I1452" s="9">
        <v>15</v>
      </c>
      <c r="J1452" s="9">
        <f t="shared" si="44"/>
        <v>230000</v>
      </c>
      <c r="K1452" s="9">
        <f t="shared" si="45"/>
        <v>195500</v>
      </c>
      <c r="L1452" s="11" t="s">
        <v>187</v>
      </c>
      <c r="M1452" s="11" t="s">
        <v>96</v>
      </c>
      <c r="N1452">
        <v>8</v>
      </c>
      <c r="O1452">
        <v>2023</v>
      </c>
      <c r="P1452" s="29" t="s">
        <v>713</v>
      </c>
      <c r="Q1452" t="s">
        <v>734</v>
      </c>
      <c r="R1452" t="s">
        <v>739</v>
      </c>
    </row>
    <row r="1453" spans="1:18" x14ac:dyDescent="0.25">
      <c r="A1453" s="6">
        <v>1452</v>
      </c>
      <c r="B1453" s="7">
        <v>45377</v>
      </c>
      <c r="C1453" s="8" t="s">
        <v>119</v>
      </c>
      <c r="D1453" s="8" t="s">
        <v>93</v>
      </c>
      <c r="E1453" s="8" t="s">
        <v>102</v>
      </c>
      <c r="F1453" s="8" t="s">
        <v>138</v>
      </c>
      <c r="G1453" s="6">
        <v>41</v>
      </c>
      <c r="H1453" s="25">
        <v>7400</v>
      </c>
      <c r="I1453" s="6">
        <v>15</v>
      </c>
      <c r="J1453" s="6">
        <f t="shared" si="44"/>
        <v>303400</v>
      </c>
      <c r="K1453" s="6">
        <f t="shared" si="45"/>
        <v>257890</v>
      </c>
      <c r="L1453" s="8" t="s">
        <v>187</v>
      </c>
      <c r="M1453" s="8" t="s">
        <v>91</v>
      </c>
      <c r="N1453">
        <v>3</v>
      </c>
      <c r="O1453">
        <v>2024</v>
      </c>
      <c r="P1453" s="29" t="s">
        <v>711</v>
      </c>
      <c r="Q1453" t="s">
        <v>735</v>
      </c>
      <c r="R1453" t="s">
        <v>737</v>
      </c>
    </row>
    <row r="1454" spans="1:18" x14ac:dyDescent="0.25">
      <c r="A1454" s="9">
        <v>1453</v>
      </c>
      <c r="B1454" s="10">
        <v>44953</v>
      </c>
      <c r="C1454" s="11" t="s">
        <v>106</v>
      </c>
      <c r="D1454" s="11" t="s">
        <v>93</v>
      </c>
      <c r="E1454" s="11" t="s">
        <v>84</v>
      </c>
      <c r="F1454" s="11" t="s">
        <v>206</v>
      </c>
      <c r="G1454" s="9">
        <v>22</v>
      </c>
      <c r="H1454" s="26">
        <v>14800</v>
      </c>
      <c r="I1454" s="9">
        <v>20</v>
      </c>
      <c r="J1454" s="9">
        <f t="shared" si="44"/>
        <v>325600</v>
      </c>
      <c r="K1454" s="9">
        <f t="shared" si="45"/>
        <v>260480</v>
      </c>
      <c r="L1454" s="11" t="s">
        <v>76</v>
      </c>
      <c r="M1454" s="11" t="s">
        <v>91</v>
      </c>
      <c r="N1454">
        <v>1</v>
      </c>
      <c r="O1454">
        <v>2023</v>
      </c>
      <c r="P1454" s="29" t="s">
        <v>721</v>
      </c>
      <c r="Q1454" t="s">
        <v>735</v>
      </c>
      <c r="R1454" t="s">
        <v>737</v>
      </c>
    </row>
    <row r="1455" spans="1:18" x14ac:dyDescent="0.25">
      <c r="A1455" s="6">
        <v>1454</v>
      </c>
      <c r="B1455" s="7">
        <v>44956</v>
      </c>
      <c r="C1455" s="8" t="s">
        <v>119</v>
      </c>
      <c r="D1455" s="8" t="s">
        <v>117</v>
      </c>
      <c r="E1455" s="8" t="s">
        <v>74</v>
      </c>
      <c r="F1455" s="8" t="s">
        <v>212</v>
      </c>
      <c r="G1455" s="6">
        <v>16</v>
      </c>
      <c r="H1455" s="25">
        <v>7900</v>
      </c>
      <c r="I1455" s="6">
        <v>0</v>
      </c>
      <c r="J1455" s="6">
        <f t="shared" si="44"/>
        <v>126400</v>
      </c>
      <c r="K1455" s="6">
        <f t="shared" si="45"/>
        <v>126400</v>
      </c>
      <c r="L1455" s="8" t="s">
        <v>76</v>
      </c>
      <c r="M1455" s="8" t="s">
        <v>77</v>
      </c>
      <c r="N1455">
        <v>1</v>
      </c>
      <c r="O1455">
        <v>2023</v>
      </c>
      <c r="P1455" s="29" t="s">
        <v>721</v>
      </c>
      <c r="Q1455" t="s">
        <v>735</v>
      </c>
      <c r="R1455" t="s">
        <v>739</v>
      </c>
    </row>
    <row r="1456" spans="1:18" x14ac:dyDescent="0.25">
      <c r="A1456" s="9">
        <v>1455</v>
      </c>
      <c r="B1456" s="10">
        <v>45396</v>
      </c>
      <c r="C1456" s="11" t="s">
        <v>101</v>
      </c>
      <c r="D1456" s="11" t="s">
        <v>109</v>
      </c>
      <c r="E1456" s="11" t="s">
        <v>84</v>
      </c>
      <c r="F1456" s="11" t="s">
        <v>200</v>
      </c>
      <c r="G1456" s="9">
        <v>49</v>
      </c>
      <c r="H1456" s="26">
        <v>3500</v>
      </c>
      <c r="I1456" s="9">
        <v>20</v>
      </c>
      <c r="J1456" s="9">
        <f t="shared" si="44"/>
        <v>171500</v>
      </c>
      <c r="K1456" s="9">
        <f t="shared" si="45"/>
        <v>137200</v>
      </c>
      <c r="L1456" s="11" t="s">
        <v>76</v>
      </c>
      <c r="M1456" s="11" t="s">
        <v>81</v>
      </c>
      <c r="N1456">
        <v>4</v>
      </c>
      <c r="O1456">
        <v>2024</v>
      </c>
      <c r="P1456" s="29" t="s">
        <v>722</v>
      </c>
      <c r="Q1456" t="s">
        <v>736</v>
      </c>
      <c r="R1456" t="s">
        <v>739</v>
      </c>
    </row>
    <row r="1457" spans="1:18" x14ac:dyDescent="0.25">
      <c r="A1457" s="6">
        <v>1456</v>
      </c>
      <c r="B1457" s="7">
        <v>45438</v>
      </c>
      <c r="C1457" s="8" t="s">
        <v>97</v>
      </c>
      <c r="D1457" s="8" t="s">
        <v>117</v>
      </c>
      <c r="E1457" s="8" t="s">
        <v>74</v>
      </c>
      <c r="F1457" s="8" t="s">
        <v>75</v>
      </c>
      <c r="G1457" s="12">
        <v>20</v>
      </c>
      <c r="H1457" s="25">
        <v>21500</v>
      </c>
      <c r="I1457" s="6">
        <v>15</v>
      </c>
      <c r="J1457" s="6">
        <f t="shared" si="44"/>
        <v>430000</v>
      </c>
      <c r="K1457" s="6">
        <f t="shared" si="45"/>
        <v>365500</v>
      </c>
      <c r="L1457" s="8" t="s">
        <v>76</v>
      </c>
      <c r="M1457" s="8" t="s">
        <v>77</v>
      </c>
      <c r="N1457">
        <v>5</v>
      </c>
      <c r="O1457">
        <v>2024</v>
      </c>
      <c r="P1457" s="29" t="s">
        <v>732</v>
      </c>
      <c r="Q1457" t="s">
        <v>736</v>
      </c>
      <c r="R1457" t="s">
        <v>737</v>
      </c>
    </row>
    <row r="1458" spans="1:18" x14ac:dyDescent="0.25">
      <c r="A1458" s="9">
        <v>1457</v>
      </c>
      <c r="B1458" s="10">
        <v>45342</v>
      </c>
      <c r="C1458" s="11" t="s">
        <v>88</v>
      </c>
      <c r="D1458" s="11" t="s">
        <v>93</v>
      </c>
      <c r="E1458" s="11" t="s">
        <v>111</v>
      </c>
      <c r="F1458" s="11" t="s">
        <v>166</v>
      </c>
      <c r="G1458" s="9">
        <v>13</v>
      </c>
      <c r="H1458" s="26">
        <v>30500</v>
      </c>
      <c r="I1458" s="9">
        <v>0</v>
      </c>
      <c r="J1458" s="9">
        <f t="shared" si="44"/>
        <v>396500</v>
      </c>
      <c r="K1458" s="9">
        <f t="shared" si="45"/>
        <v>396500</v>
      </c>
      <c r="L1458" s="11" t="s">
        <v>76</v>
      </c>
      <c r="M1458" s="11" t="s">
        <v>91</v>
      </c>
      <c r="N1458">
        <v>2</v>
      </c>
      <c r="O1458">
        <v>2024</v>
      </c>
      <c r="P1458" s="29" t="s">
        <v>729</v>
      </c>
      <c r="Q1458" t="s">
        <v>735</v>
      </c>
      <c r="R1458" t="s">
        <v>737</v>
      </c>
    </row>
    <row r="1459" spans="1:18" x14ac:dyDescent="0.25">
      <c r="A1459" s="6">
        <v>1458</v>
      </c>
      <c r="B1459" s="7">
        <v>45272</v>
      </c>
      <c r="C1459" s="8" t="s">
        <v>119</v>
      </c>
      <c r="D1459" s="8" t="s">
        <v>117</v>
      </c>
      <c r="E1459" s="8" t="s">
        <v>84</v>
      </c>
      <c r="F1459" s="8" t="s">
        <v>128</v>
      </c>
      <c r="G1459" s="6">
        <v>8</v>
      </c>
      <c r="H1459" s="25">
        <v>4100</v>
      </c>
      <c r="I1459" s="6">
        <v>10</v>
      </c>
      <c r="J1459" s="6">
        <f t="shared" si="44"/>
        <v>32800</v>
      </c>
      <c r="K1459" s="6">
        <f t="shared" si="45"/>
        <v>29520</v>
      </c>
      <c r="L1459" s="8" t="s">
        <v>76</v>
      </c>
      <c r="M1459" s="8" t="s">
        <v>96</v>
      </c>
      <c r="N1459">
        <v>12</v>
      </c>
      <c r="O1459">
        <v>2023</v>
      </c>
      <c r="P1459" s="29" t="s">
        <v>725</v>
      </c>
      <c r="Q1459" t="s">
        <v>733</v>
      </c>
      <c r="R1459" t="s">
        <v>738</v>
      </c>
    </row>
    <row r="1460" spans="1:18" x14ac:dyDescent="0.25">
      <c r="A1460" s="9">
        <v>1459</v>
      </c>
      <c r="B1460" s="10">
        <v>45644</v>
      </c>
      <c r="C1460" s="11" t="s">
        <v>82</v>
      </c>
      <c r="D1460" s="11" t="s">
        <v>117</v>
      </c>
      <c r="E1460" s="11" t="s">
        <v>102</v>
      </c>
      <c r="F1460" s="11" t="s">
        <v>103</v>
      </c>
      <c r="G1460" s="9">
        <v>45</v>
      </c>
      <c r="H1460" s="26">
        <v>9800</v>
      </c>
      <c r="I1460" s="9">
        <v>0</v>
      </c>
      <c r="J1460" s="9">
        <f t="shared" si="44"/>
        <v>441000</v>
      </c>
      <c r="K1460" s="9">
        <f t="shared" si="45"/>
        <v>441000</v>
      </c>
      <c r="L1460" s="11" t="s">
        <v>76</v>
      </c>
      <c r="M1460" s="11" t="s">
        <v>77</v>
      </c>
      <c r="N1460">
        <v>12</v>
      </c>
      <c r="O1460">
        <v>2024</v>
      </c>
      <c r="P1460" s="29" t="s">
        <v>728</v>
      </c>
      <c r="Q1460" t="s">
        <v>733</v>
      </c>
      <c r="R1460" t="s">
        <v>737</v>
      </c>
    </row>
    <row r="1461" spans="1:18" x14ac:dyDescent="0.25">
      <c r="A1461" s="6">
        <v>1460</v>
      </c>
      <c r="B1461" s="7">
        <v>45655</v>
      </c>
      <c r="C1461" s="8" t="s">
        <v>124</v>
      </c>
      <c r="D1461" s="8" t="s">
        <v>83</v>
      </c>
      <c r="E1461" s="8" t="s">
        <v>74</v>
      </c>
      <c r="F1461" s="8" t="s">
        <v>142</v>
      </c>
      <c r="G1461" s="6">
        <v>35</v>
      </c>
      <c r="H1461" s="25">
        <v>12900</v>
      </c>
      <c r="I1461" s="6">
        <v>5</v>
      </c>
      <c r="J1461" s="6">
        <f t="shared" si="44"/>
        <v>451500</v>
      </c>
      <c r="K1461" s="6">
        <f t="shared" si="45"/>
        <v>428925</v>
      </c>
      <c r="L1461" s="8" t="s">
        <v>76</v>
      </c>
      <c r="M1461" s="8" t="s">
        <v>81</v>
      </c>
      <c r="N1461">
        <v>12</v>
      </c>
      <c r="O1461">
        <v>2024</v>
      </c>
      <c r="P1461" s="29" t="s">
        <v>728</v>
      </c>
      <c r="Q1461" t="s">
        <v>733</v>
      </c>
      <c r="R1461" t="s">
        <v>737</v>
      </c>
    </row>
    <row r="1462" spans="1:18" x14ac:dyDescent="0.25">
      <c r="A1462" s="9">
        <v>1461</v>
      </c>
      <c r="B1462" s="10">
        <v>45033</v>
      </c>
      <c r="C1462" s="11" t="s">
        <v>101</v>
      </c>
      <c r="D1462" s="11" t="s">
        <v>93</v>
      </c>
      <c r="E1462" s="11" t="s">
        <v>102</v>
      </c>
      <c r="F1462" s="11" t="s">
        <v>137</v>
      </c>
      <c r="G1462" s="9">
        <v>15</v>
      </c>
      <c r="H1462" s="26">
        <v>2200</v>
      </c>
      <c r="I1462" s="9">
        <v>0</v>
      </c>
      <c r="J1462" s="9">
        <f t="shared" si="44"/>
        <v>33000</v>
      </c>
      <c r="K1462" s="9">
        <f t="shared" si="45"/>
        <v>33000</v>
      </c>
      <c r="L1462" s="11" t="s">
        <v>76</v>
      </c>
      <c r="M1462" s="11" t="s">
        <v>77</v>
      </c>
      <c r="N1462">
        <v>4</v>
      </c>
      <c r="O1462">
        <v>2023</v>
      </c>
      <c r="P1462" s="29" t="s">
        <v>716</v>
      </c>
      <c r="Q1462" t="s">
        <v>736</v>
      </c>
      <c r="R1462" t="s">
        <v>738</v>
      </c>
    </row>
    <row r="1463" spans="1:18" x14ac:dyDescent="0.25">
      <c r="A1463" s="6">
        <v>1462</v>
      </c>
      <c r="B1463" s="7">
        <v>45488</v>
      </c>
      <c r="C1463" s="8" t="s">
        <v>108</v>
      </c>
      <c r="D1463" s="8" t="s">
        <v>117</v>
      </c>
      <c r="E1463" s="8" t="s">
        <v>79</v>
      </c>
      <c r="F1463" s="8" t="s">
        <v>172</v>
      </c>
      <c r="G1463" s="6">
        <v>45</v>
      </c>
      <c r="H1463" s="25">
        <v>23900</v>
      </c>
      <c r="I1463" s="6">
        <v>0</v>
      </c>
      <c r="J1463" s="6">
        <f t="shared" si="44"/>
        <v>1075500</v>
      </c>
      <c r="K1463" s="6">
        <f t="shared" si="45"/>
        <v>1075500</v>
      </c>
      <c r="L1463" s="8" t="s">
        <v>123</v>
      </c>
      <c r="M1463" s="8" t="s">
        <v>81</v>
      </c>
      <c r="N1463">
        <v>7</v>
      </c>
      <c r="O1463">
        <v>2024</v>
      </c>
      <c r="P1463" s="29" t="s">
        <v>712</v>
      </c>
      <c r="Q1463" t="s">
        <v>734</v>
      </c>
      <c r="R1463" t="s">
        <v>737</v>
      </c>
    </row>
    <row r="1464" spans="1:18" x14ac:dyDescent="0.25">
      <c r="A1464" s="9">
        <v>1463</v>
      </c>
      <c r="B1464" s="10">
        <v>45377</v>
      </c>
      <c r="C1464" s="11" t="s">
        <v>106</v>
      </c>
      <c r="D1464" s="11" t="s">
        <v>109</v>
      </c>
      <c r="E1464" s="11" t="s">
        <v>79</v>
      </c>
      <c r="F1464" s="11" t="s">
        <v>179</v>
      </c>
      <c r="G1464" s="9">
        <v>2</v>
      </c>
      <c r="H1464" s="26">
        <v>2400</v>
      </c>
      <c r="I1464" s="9">
        <v>20</v>
      </c>
      <c r="J1464" s="9">
        <f t="shared" si="44"/>
        <v>4800</v>
      </c>
      <c r="K1464" s="9">
        <f t="shared" si="45"/>
        <v>3840</v>
      </c>
      <c r="L1464" s="11" t="s">
        <v>107</v>
      </c>
      <c r="M1464" s="11" t="s">
        <v>91</v>
      </c>
      <c r="N1464">
        <v>3</v>
      </c>
      <c r="O1464">
        <v>2024</v>
      </c>
      <c r="P1464" s="29" t="s">
        <v>711</v>
      </c>
      <c r="Q1464" t="s">
        <v>735</v>
      </c>
      <c r="R1464" t="s">
        <v>738</v>
      </c>
    </row>
    <row r="1465" spans="1:18" x14ac:dyDescent="0.25">
      <c r="A1465" s="6">
        <v>1464</v>
      </c>
      <c r="B1465" s="7">
        <v>45376</v>
      </c>
      <c r="C1465" s="8" t="s">
        <v>114</v>
      </c>
      <c r="D1465" s="8" t="s">
        <v>93</v>
      </c>
      <c r="E1465" s="8" t="s">
        <v>102</v>
      </c>
      <c r="F1465" s="8" t="s">
        <v>181</v>
      </c>
      <c r="G1465" s="6">
        <v>34</v>
      </c>
      <c r="H1465" s="25">
        <v>4500</v>
      </c>
      <c r="I1465" s="6">
        <v>15</v>
      </c>
      <c r="J1465" s="6">
        <f t="shared" si="44"/>
        <v>153000</v>
      </c>
      <c r="K1465" s="6">
        <f t="shared" si="45"/>
        <v>130050</v>
      </c>
      <c r="L1465" s="8" t="s">
        <v>76</v>
      </c>
      <c r="M1465" s="8" t="s">
        <v>91</v>
      </c>
      <c r="N1465">
        <v>3</v>
      </c>
      <c r="O1465">
        <v>2024</v>
      </c>
      <c r="P1465" s="29" t="s">
        <v>711</v>
      </c>
      <c r="Q1465" t="s">
        <v>735</v>
      </c>
      <c r="R1465" t="s">
        <v>739</v>
      </c>
    </row>
    <row r="1466" spans="1:18" x14ac:dyDescent="0.25">
      <c r="A1466" s="9">
        <v>1465</v>
      </c>
      <c r="B1466" s="10">
        <v>45194</v>
      </c>
      <c r="C1466" s="11" t="s">
        <v>88</v>
      </c>
      <c r="D1466" s="11" t="s">
        <v>117</v>
      </c>
      <c r="E1466" s="11" t="s">
        <v>111</v>
      </c>
      <c r="F1466" s="11" t="s">
        <v>132</v>
      </c>
      <c r="G1466" s="9">
        <v>16</v>
      </c>
      <c r="H1466" s="26">
        <v>7400</v>
      </c>
      <c r="I1466" s="6">
        <v>0</v>
      </c>
      <c r="J1466" s="9">
        <f t="shared" si="44"/>
        <v>118400</v>
      </c>
      <c r="K1466" s="9">
        <f t="shared" si="45"/>
        <v>118400</v>
      </c>
      <c r="L1466" s="11" t="s">
        <v>76</v>
      </c>
      <c r="M1466" s="11" t="s">
        <v>96</v>
      </c>
      <c r="N1466">
        <v>9</v>
      </c>
      <c r="O1466">
        <v>2023</v>
      </c>
      <c r="P1466" s="29" t="s">
        <v>715</v>
      </c>
      <c r="Q1466" t="s">
        <v>734</v>
      </c>
      <c r="R1466" t="s">
        <v>739</v>
      </c>
    </row>
    <row r="1467" spans="1:18" x14ac:dyDescent="0.25">
      <c r="A1467" s="6">
        <v>1466</v>
      </c>
      <c r="B1467" s="7">
        <v>45577</v>
      </c>
      <c r="C1467" s="8" t="s">
        <v>108</v>
      </c>
      <c r="D1467" s="8" t="s">
        <v>117</v>
      </c>
      <c r="E1467" s="8" t="s">
        <v>84</v>
      </c>
      <c r="F1467" s="8" t="s">
        <v>128</v>
      </c>
      <c r="G1467" s="6">
        <v>33</v>
      </c>
      <c r="H1467" s="25">
        <v>3900</v>
      </c>
      <c r="I1467" s="6">
        <v>0</v>
      </c>
      <c r="J1467" s="6">
        <f t="shared" si="44"/>
        <v>128700</v>
      </c>
      <c r="K1467" s="6">
        <f t="shared" si="45"/>
        <v>128700</v>
      </c>
      <c r="L1467" s="8" t="s">
        <v>187</v>
      </c>
      <c r="M1467" s="8" t="s">
        <v>96</v>
      </c>
      <c r="N1467">
        <v>10</v>
      </c>
      <c r="O1467">
        <v>2024</v>
      </c>
      <c r="P1467" s="29" t="s">
        <v>709</v>
      </c>
      <c r="Q1467" t="s">
        <v>733</v>
      </c>
      <c r="R1467" t="s">
        <v>739</v>
      </c>
    </row>
    <row r="1468" spans="1:18" x14ac:dyDescent="0.25">
      <c r="A1468" s="9">
        <v>1467</v>
      </c>
      <c r="B1468" s="10">
        <v>45574</v>
      </c>
      <c r="C1468" s="11" t="s">
        <v>106</v>
      </c>
      <c r="D1468" s="11" t="s">
        <v>117</v>
      </c>
      <c r="E1468" s="11" t="s">
        <v>102</v>
      </c>
      <c r="F1468" s="11" t="s">
        <v>181</v>
      </c>
      <c r="G1468" s="9">
        <v>37</v>
      </c>
      <c r="H1468" s="26">
        <v>4600</v>
      </c>
      <c r="I1468" s="9">
        <v>10</v>
      </c>
      <c r="J1468" s="9">
        <f t="shared" si="44"/>
        <v>170200</v>
      </c>
      <c r="K1468" s="9">
        <f t="shared" si="45"/>
        <v>153180</v>
      </c>
      <c r="L1468" s="11" t="s">
        <v>187</v>
      </c>
      <c r="M1468" s="11" t="s">
        <v>91</v>
      </c>
      <c r="N1468">
        <v>10</v>
      </c>
      <c r="O1468">
        <v>2024</v>
      </c>
      <c r="P1468" s="29" t="s">
        <v>709</v>
      </c>
      <c r="Q1468" t="s">
        <v>733</v>
      </c>
      <c r="R1468" t="s">
        <v>739</v>
      </c>
    </row>
    <row r="1469" spans="1:18" x14ac:dyDescent="0.25">
      <c r="A1469" s="6">
        <v>1468</v>
      </c>
      <c r="B1469" s="7">
        <v>45375</v>
      </c>
      <c r="C1469" s="8" t="s">
        <v>119</v>
      </c>
      <c r="D1469" s="8" t="s">
        <v>93</v>
      </c>
      <c r="E1469" s="8" t="s">
        <v>111</v>
      </c>
      <c r="F1469" s="8" t="s">
        <v>112</v>
      </c>
      <c r="G1469" s="6">
        <v>11</v>
      </c>
      <c r="H1469" s="25">
        <v>74000</v>
      </c>
      <c r="I1469" s="6">
        <v>10</v>
      </c>
      <c r="J1469" s="6">
        <f t="shared" si="44"/>
        <v>814000</v>
      </c>
      <c r="K1469" s="6">
        <f t="shared" si="45"/>
        <v>732600</v>
      </c>
      <c r="L1469" s="8" t="s">
        <v>76</v>
      </c>
      <c r="M1469" s="8" t="s">
        <v>91</v>
      </c>
      <c r="N1469">
        <v>3</v>
      </c>
      <c r="O1469">
        <v>2024</v>
      </c>
      <c r="P1469" s="29" t="s">
        <v>711</v>
      </c>
      <c r="Q1469" t="s">
        <v>735</v>
      </c>
      <c r="R1469" t="s">
        <v>737</v>
      </c>
    </row>
    <row r="1470" spans="1:18" x14ac:dyDescent="0.25">
      <c r="A1470" s="9">
        <v>1469</v>
      </c>
      <c r="B1470" s="10">
        <v>45592</v>
      </c>
      <c r="C1470" s="11" t="s">
        <v>78</v>
      </c>
      <c r="D1470" s="11" t="s">
        <v>117</v>
      </c>
      <c r="E1470" s="11" t="s">
        <v>111</v>
      </c>
      <c r="F1470" s="11" t="s">
        <v>166</v>
      </c>
      <c r="G1470" s="9">
        <v>23</v>
      </c>
      <c r="H1470" s="26">
        <v>25600</v>
      </c>
      <c r="I1470" s="9">
        <v>10</v>
      </c>
      <c r="J1470" s="9">
        <f t="shared" si="44"/>
        <v>588800</v>
      </c>
      <c r="K1470" s="9">
        <f t="shared" si="45"/>
        <v>529920</v>
      </c>
      <c r="L1470" s="11" t="s">
        <v>76</v>
      </c>
      <c r="M1470" s="11" t="s">
        <v>96</v>
      </c>
      <c r="N1470">
        <v>10</v>
      </c>
      <c r="O1470">
        <v>2024</v>
      </c>
      <c r="P1470" s="29" t="s">
        <v>709</v>
      </c>
      <c r="Q1470" t="s">
        <v>733</v>
      </c>
      <c r="R1470" t="s">
        <v>737</v>
      </c>
    </row>
    <row r="1471" spans="1:18" x14ac:dyDescent="0.25">
      <c r="A1471" s="6">
        <v>1470</v>
      </c>
      <c r="B1471" s="7">
        <v>45185</v>
      </c>
      <c r="C1471" s="8" t="s">
        <v>78</v>
      </c>
      <c r="D1471" s="8" t="s">
        <v>93</v>
      </c>
      <c r="E1471" s="8" t="s">
        <v>111</v>
      </c>
      <c r="F1471" s="8" t="s">
        <v>165</v>
      </c>
      <c r="G1471" s="6">
        <v>9</v>
      </c>
      <c r="H1471" s="25">
        <v>19400</v>
      </c>
      <c r="I1471" s="6">
        <v>15</v>
      </c>
      <c r="J1471" s="6">
        <f t="shared" si="44"/>
        <v>174600</v>
      </c>
      <c r="K1471" s="6">
        <f t="shared" si="45"/>
        <v>148410</v>
      </c>
      <c r="L1471" s="8" t="s">
        <v>123</v>
      </c>
      <c r="M1471" s="8" t="s">
        <v>81</v>
      </c>
      <c r="N1471">
        <v>9</v>
      </c>
      <c r="O1471">
        <v>2023</v>
      </c>
      <c r="P1471" s="29" t="s">
        <v>715</v>
      </c>
      <c r="Q1471" t="s">
        <v>734</v>
      </c>
      <c r="R1471" t="s">
        <v>739</v>
      </c>
    </row>
    <row r="1472" spans="1:18" x14ac:dyDescent="0.25">
      <c r="A1472" s="9">
        <v>1471</v>
      </c>
      <c r="B1472" s="10">
        <v>45477</v>
      </c>
      <c r="C1472" s="11" t="s">
        <v>101</v>
      </c>
      <c r="D1472" s="11" t="s">
        <v>93</v>
      </c>
      <c r="E1472" s="11" t="s">
        <v>74</v>
      </c>
      <c r="F1472" s="11" t="s">
        <v>212</v>
      </c>
      <c r="G1472" s="9">
        <v>33</v>
      </c>
      <c r="H1472" s="26">
        <v>7700</v>
      </c>
      <c r="I1472" s="6">
        <v>0</v>
      </c>
      <c r="J1472" s="9">
        <f t="shared" si="44"/>
        <v>254100</v>
      </c>
      <c r="K1472" s="9">
        <f t="shared" si="45"/>
        <v>254100</v>
      </c>
      <c r="L1472" s="11" t="s">
        <v>123</v>
      </c>
      <c r="M1472" s="11" t="s">
        <v>81</v>
      </c>
      <c r="N1472">
        <v>7</v>
      </c>
      <c r="O1472">
        <v>2024</v>
      </c>
      <c r="P1472" s="29" t="s">
        <v>712</v>
      </c>
      <c r="Q1472" t="s">
        <v>734</v>
      </c>
      <c r="R1472" t="s">
        <v>737</v>
      </c>
    </row>
    <row r="1473" spans="1:18" x14ac:dyDescent="0.25">
      <c r="A1473" s="6">
        <v>1472</v>
      </c>
      <c r="B1473" s="7">
        <v>45450</v>
      </c>
      <c r="C1473" s="8" t="s">
        <v>124</v>
      </c>
      <c r="D1473" s="8" t="s">
        <v>117</v>
      </c>
      <c r="E1473" s="8" t="s">
        <v>79</v>
      </c>
      <c r="F1473" s="8" t="s">
        <v>136</v>
      </c>
      <c r="G1473" s="6">
        <v>23</v>
      </c>
      <c r="H1473" s="25">
        <v>91600</v>
      </c>
      <c r="I1473" s="6">
        <v>10</v>
      </c>
      <c r="J1473" s="6">
        <f t="shared" si="44"/>
        <v>2106800</v>
      </c>
      <c r="K1473" s="6">
        <f t="shared" si="45"/>
        <v>1896120</v>
      </c>
      <c r="L1473" s="8" t="s">
        <v>76</v>
      </c>
      <c r="M1473" s="8" t="s">
        <v>77</v>
      </c>
      <c r="N1473">
        <v>6</v>
      </c>
      <c r="O1473">
        <v>2024</v>
      </c>
      <c r="P1473" s="29" t="s">
        <v>720</v>
      </c>
      <c r="Q1473" t="s">
        <v>736</v>
      </c>
      <c r="R1473" t="s">
        <v>737</v>
      </c>
    </row>
    <row r="1474" spans="1:18" x14ac:dyDescent="0.25">
      <c r="A1474" s="9">
        <v>1473</v>
      </c>
      <c r="B1474" s="10">
        <v>45110</v>
      </c>
      <c r="C1474" s="11" t="s">
        <v>82</v>
      </c>
      <c r="D1474" s="11" t="s">
        <v>83</v>
      </c>
      <c r="E1474" s="11" t="s">
        <v>84</v>
      </c>
      <c r="F1474" s="11" t="s">
        <v>90</v>
      </c>
      <c r="G1474" s="9">
        <v>39</v>
      </c>
      <c r="H1474" s="26">
        <v>1700</v>
      </c>
      <c r="I1474" s="9">
        <v>20</v>
      </c>
      <c r="J1474" s="9">
        <f t="shared" ref="J1474:J1537" si="46">G1474*H1474</f>
        <v>66300</v>
      </c>
      <c r="K1474" s="9">
        <f t="shared" ref="K1474:K1537" si="47">J1474*(1-I1474/100)</f>
        <v>53040</v>
      </c>
      <c r="L1474" s="11" t="s">
        <v>187</v>
      </c>
      <c r="M1474" s="11" t="s">
        <v>81</v>
      </c>
      <c r="N1474">
        <v>7</v>
      </c>
      <c r="O1474">
        <v>2023</v>
      </c>
      <c r="P1474" s="29" t="s">
        <v>724</v>
      </c>
      <c r="Q1474" t="s">
        <v>734</v>
      </c>
      <c r="R1474" t="s">
        <v>739</v>
      </c>
    </row>
    <row r="1475" spans="1:18" x14ac:dyDescent="0.25">
      <c r="A1475" s="6">
        <v>1474</v>
      </c>
      <c r="B1475" s="7">
        <v>45053</v>
      </c>
      <c r="C1475" s="8" t="s">
        <v>78</v>
      </c>
      <c r="D1475" s="8" t="s">
        <v>83</v>
      </c>
      <c r="E1475" s="8" t="s">
        <v>79</v>
      </c>
      <c r="F1475" s="8" t="s">
        <v>120</v>
      </c>
      <c r="G1475" s="6">
        <v>26</v>
      </c>
      <c r="H1475" s="25">
        <v>5500</v>
      </c>
      <c r="I1475" s="6">
        <v>20</v>
      </c>
      <c r="J1475" s="6">
        <f t="shared" si="46"/>
        <v>143000</v>
      </c>
      <c r="K1475" s="6">
        <f t="shared" si="47"/>
        <v>114400</v>
      </c>
      <c r="L1475" s="8" t="s">
        <v>76</v>
      </c>
      <c r="M1475" s="8" t="s">
        <v>91</v>
      </c>
      <c r="N1475">
        <v>5</v>
      </c>
      <c r="O1475">
        <v>2023</v>
      </c>
      <c r="P1475" s="29" t="s">
        <v>730</v>
      </c>
      <c r="Q1475" t="s">
        <v>736</v>
      </c>
      <c r="R1475" t="s">
        <v>739</v>
      </c>
    </row>
    <row r="1476" spans="1:18" x14ac:dyDescent="0.25">
      <c r="A1476" s="9">
        <v>1475</v>
      </c>
      <c r="B1476" s="10">
        <v>45344</v>
      </c>
      <c r="C1476" s="11" t="s">
        <v>114</v>
      </c>
      <c r="D1476" s="11" t="s">
        <v>83</v>
      </c>
      <c r="E1476" s="11" t="s">
        <v>84</v>
      </c>
      <c r="F1476" s="11" t="s">
        <v>200</v>
      </c>
      <c r="G1476" s="9">
        <v>20</v>
      </c>
      <c r="H1476" s="26">
        <v>3000</v>
      </c>
      <c r="I1476" s="9">
        <v>0</v>
      </c>
      <c r="J1476" s="9">
        <f t="shared" si="46"/>
        <v>60000</v>
      </c>
      <c r="K1476" s="9">
        <f t="shared" si="47"/>
        <v>60000</v>
      </c>
      <c r="L1476" s="11" t="s">
        <v>76</v>
      </c>
      <c r="M1476" s="11" t="s">
        <v>91</v>
      </c>
      <c r="N1476">
        <v>2</v>
      </c>
      <c r="O1476">
        <v>2024</v>
      </c>
      <c r="P1476" s="29" t="s">
        <v>729</v>
      </c>
      <c r="Q1476" t="s">
        <v>735</v>
      </c>
      <c r="R1476" t="s">
        <v>739</v>
      </c>
    </row>
    <row r="1477" spans="1:18" x14ac:dyDescent="0.25">
      <c r="A1477" s="6">
        <v>1476</v>
      </c>
      <c r="B1477" s="7">
        <v>45438</v>
      </c>
      <c r="C1477" s="8" t="s">
        <v>97</v>
      </c>
      <c r="D1477" s="8" t="s">
        <v>109</v>
      </c>
      <c r="E1477" s="8" t="s">
        <v>74</v>
      </c>
      <c r="F1477" s="8" t="s">
        <v>140</v>
      </c>
      <c r="G1477" s="6">
        <v>23</v>
      </c>
      <c r="H1477" s="25">
        <v>4300</v>
      </c>
      <c r="I1477" s="6">
        <v>0</v>
      </c>
      <c r="J1477" s="6">
        <f t="shared" si="46"/>
        <v>98900</v>
      </c>
      <c r="K1477" s="6">
        <f t="shared" si="47"/>
        <v>98900</v>
      </c>
      <c r="L1477" s="8" t="s">
        <v>123</v>
      </c>
      <c r="M1477" s="8" t="s">
        <v>77</v>
      </c>
      <c r="N1477">
        <v>5</v>
      </c>
      <c r="O1477">
        <v>2024</v>
      </c>
      <c r="P1477" s="29" t="s">
        <v>732</v>
      </c>
      <c r="Q1477" t="s">
        <v>736</v>
      </c>
      <c r="R1477" t="s">
        <v>739</v>
      </c>
    </row>
    <row r="1478" spans="1:18" x14ac:dyDescent="0.25">
      <c r="A1478" s="9">
        <v>1477</v>
      </c>
      <c r="B1478" s="10">
        <v>45477</v>
      </c>
      <c r="C1478" s="11" t="s">
        <v>97</v>
      </c>
      <c r="D1478" s="11" t="s">
        <v>93</v>
      </c>
      <c r="E1478" s="11" t="s">
        <v>74</v>
      </c>
      <c r="F1478" s="11" t="s">
        <v>94</v>
      </c>
      <c r="G1478" s="9">
        <v>4</v>
      </c>
      <c r="H1478" s="26">
        <v>39200</v>
      </c>
      <c r="I1478" s="9">
        <v>15</v>
      </c>
      <c r="J1478" s="9">
        <f t="shared" si="46"/>
        <v>156800</v>
      </c>
      <c r="K1478" s="9">
        <f t="shared" si="47"/>
        <v>133280</v>
      </c>
      <c r="L1478" s="11" t="s">
        <v>123</v>
      </c>
      <c r="M1478" s="11" t="s">
        <v>77</v>
      </c>
      <c r="N1478">
        <v>7</v>
      </c>
      <c r="O1478">
        <v>2024</v>
      </c>
      <c r="P1478" s="29" t="s">
        <v>712</v>
      </c>
      <c r="Q1478" t="s">
        <v>734</v>
      </c>
      <c r="R1478" t="s">
        <v>739</v>
      </c>
    </row>
    <row r="1479" spans="1:18" x14ac:dyDescent="0.25">
      <c r="A1479" s="6">
        <v>1478</v>
      </c>
      <c r="B1479" s="7">
        <v>45309</v>
      </c>
      <c r="C1479" s="8" t="s">
        <v>97</v>
      </c>
      <c r="D1479" s="8" t="s">
        <v>109</v>
      </c>
      <c r="E1479" s="8" t="s">
        <v>79</v>
      </c>
      <c r="F1479" s="8" t="s">
        <v>136</v>
      </c>
      <c r="G1479" s="6">
        <v>25</v>
      </c>
      <c r="H1479" s="25">
        <v>76600</v>
      </c>
      <c r="I1479" s="6">
        <v>20</v>
      </c>
      <c r="J1479" s="6">
        <f t="shared" si="46"/>
        <v>1915000</v>
      </c>
      <c r="K1479" s="6">
        <f t="shared" si="47"/>
        <v>1532000</v>
      </c>
      <c r="L1479" s="8" t="s">
        <v>76</v>
      </c>
      <c r="M1479" s="8" t="s">
        <v>96</v>
      </c>
      <c r="N1479">
        <v>1</v>
      </c>
      <c r="O1479">
        <v>2024</v>
      </c>
      <c r="P1479" s="29" t="s">
        <v>727</v>
      </c>
      <c r="Q1479" t="s">
        <v>735</v>
      </c>
      <c r="R1479" t="s">
        <v>737</v>
      </c>
    </row>
    <row r="1480" spans="1:18" x14ac:dyDescent="0.25">
      <c r="A1480" s="9">
        <v>1479</v>
      </c>
      <c r="B1480" s="10">
        <v>44998</v>
      </c>
      <c r="C1480" s="11" t="s">
        <v>108</v>
      </c>
      <c r="D1480" s="11" t="s">
        <v>109</v>
      </c>
      <c r="E1480" s="11" t="s">
        <v>102</v>
      </c>
      <c r="F1480" s="11" t="s">
        <v>197</v>
      </c>
      <c r="G1480" s="9">
        <v>14</v>
      </c>
      <c r="H1480" s="26">
        <v>3600</v>
      </c>
      <c r="I1480" s="9">
        <v>20</v>
      </c>
      <c r="J1480" s="9">
        <f t="shared" si="46"/>
        <v>50400</v>
      </c>
      <c r="K1480" s="9">
        <f t="shared" si="47"/>
        <v>40320</v>
      </c>
      <c r="L1480" s="11" t="s">
        <v>123</v>
      </c>
      <c r="M1480" s="11" t="s">
        <v>77</v>
      </c>
      <c r="N1480">
        <v>3</v>
      </c>
      <c r="O1480">
        <v>2023</v>
      </c>
      <c r="P1480" s="29" t="s">
        <v>719</v>
      </c>
      <c r="Q1480" t="s">
        <v>735</v>
      </c>
      <c r="R1480" t="s">
        <v>738</v>
      </c>
    </row>
    <row r="1481" spans="1:18" x14ac:dyDescent="0.25">
      <c r="A1481" s="6">
        <v>1480</v>
      </c>
      <c r="B1481" s="7">
        <v>45626</v>
      </c>
      <c r="C1481" s="8" t="s">
        <v>108</v>
      </c>
      <c r="D1481" s="8" t="s">
        <v>93</v>
      </c>
      <c r="E1481" s="8" t="s">
        <v>74</v>
      </c>
      <c r="F1481" s="8" t="s">
        <v>142</v>
      </c>
      <c r="G1481" s="6">
        <v>46</v>
      </c>
      <c r="H1481" s="25">
        <v>13500</v>
      </c>
      <c r="I1481" s="6">
        <v>0</v>
      </c>
      <c r="J1481" s="6">
        <f t="shared" si="46"/>
        <v>621000</v>
      </c>
      <c r="K1481" s="6">
        <f t="shared" si="47"/>
        <v>621000</v>
      </c>
      <c r="L1481" s="8" t="s">
        <v>187</v>
      </c>
      <c r="M1481" s="8" t="s">
        <v>81</v>
      </c>
      <c r="N1481">
        <v>11</v>
      </c>
      <c r="O1481">
        <v>2024</v>
      </c>
      <c r="P1481" s="29" t="s">
        <v>714</v>
      </c>
      <c r="Q1481" t="s">
        <v>733</v>
      </c>
      <c r="R1481" t="s">
        <v>737</v>
      </c>
    </row>
    <row r="1482" spans="1:18" x14ac:dyDescent="0.25">
      <c r="A1482" s="9">
        <v>1481</v>
      </c>
      <c r="B1482" s="10">
        <v>44963</v>
      </c>
      <c r="C1482" s="11" t="s">
        <v>119</v>
      </c>
      <c r="D1482" s="11" t="s">
        <v>73</v>
      </c>
      <c r="E1482" s="11" t="s">
        <v>102</v>
      </c>
      <c r="F1482" s="11" t="s">
        <v>138</v>
      </c>
      <c r="G1482" s="9">
        <v>8</v>
      </c>
      <c r="H1482" s="26">
        <v>7400</v>
      </c>
      <c r="I1482" s="9">
        <v>0</v>
      </c>
      <c r="J1482" s="9">
        <f t="shared" si="46"/>
        <v>59200</v>
      </c>
      <c r="K1482" s="9">
        <f t="shared" si="47"/>
        <v>59200</v>
      </c>
      <c r="L1482" s="11" t="s">
        <v>187</v>
      </c>
      <c r="M1482" s="11" t="s">
        <v>96</v>
      </c>
      <c r="N1482">
        <v>2</v>
      </c>
      <c r="O1482">
        <v>2023</v>
      </c>
      <c r="P1482" s="29" t="s">
        <v>717</v>
      </c>
      <c r="Q1482" t="s">
        <v>735</v>
      </c>
      <c r="R1482" t="s">
        <v>739</v>
      </c>
    </row>
    <row r="1483" spans="1:18" x14ac:dyDescent="0.25">
      <c r="A1483" s="6">
        <v>1482</v>
      </c>
      <c r="B1483" s="7">
        <v>45037</v>
      </c>
      <c r="C1483" s="8" t="s">
        <v>88</v>
      </c>
      <c r="D1483" s="8" t="s">
        <v>109</v>
      </c>
      <c r="E1483" s="8" t="s">
        <v>102</v>
      </c>
      <c r="F1483" s="8" t="s">
        <v>103</v>
      </c>
      <c r="G1483" s="6">
        <v>32</v>
      </c>
      <c r="H1483" s="25">
        <v>11000</v>
      </c>
      <c r="I1483" s="6">
        <v>10</v>
      </c>
      <c r="J1483" s="6">
        <f t="shared" si="46"/>
        <v>352000</v>
      </c>
      <c r="K1483" s="6">
        <f t="shared" si="47"/>
        <v>316800</v>
      </c>
      <c r="L1483" s="8" t="s">
        <v>76</v>
      </c>
      <c r="M1483" s="8" t="s">
        <v>81</v>
      </c>
      <c r="N1483">
        <v>4</v>
      </c>
      <c r="O1483">
        <v>2023</v>
      </c>
      <c r="P1483" s="29" t="s">
        <v>716</v>
      </c>
      <c r="Q1483" t="s">
        <v>736</v>
      </c>
      <c r="R1483" t="s">
        <v>737</v>
      </c>
    </row>
    <row r="1484" spans="1:18" x14ac:dyDescent="0.25">
      <c r="A1484" s="9">
        <v>1483</v>
      </c>
      <c r="B1484" s="10">
        <v>45272</v>
      </c>
      <c r="C1484" s="11" t="s">
        <v>119</v>
      </c>
      <c r="D1484" s="11" t="s">
        <v>93</v>
      </c>
      <c r="E1484" s="11" t="s">
        <v>111</v>
      </c>
      <c r="F1484" s="11" t="s">
        <v>159</v>
      </c>
      <c r="G1484" s="9">
        <v>43</v>
      </c>
      <c r="H1484" s="26">
        <v>13600</v>
      </c>
      <c r="I1484" s="9">
        <v>0</v>
      </c>
      <c r="J1484" s="9">
        <f t="shared" si="46"/>
        <v>584800</v>
      </c>
      <c r="K1484" s="9">
        <f t="shared" si="47"/>
        <v>584800</v>
      </c>
      <c r="L1484" s="11" t="s">
        <v>76</v>
      </c>
      <c r="M1484" s="11" t="s">
        <v>96</v>
      </c>
      <c r="N1484">
        <v>12</v>
      </c>
      <c r="O1484">
        <v>2023</v>
      </c>
      <c r="P1484" s="29" t="s">
        <v>725</v>
      </c>
      <c r="Q1484" t="s">
        <v>733</v>
      </c>
      <c r="R1484" t="s">
        <v>737</v>
      </c>
    </row>
    <row r="1485" spans="1:18" x14ac:dyDescent="0.25">
      <c r="A1485" s="6">
        <v>1484</v>
      </c>
      <c r="B1485" s="7">
        <v>45566</v>
      </c>
      <c r="C1485" s="8" t="s">
        <v>108</v>
      </c>
      <c r="D1485" s="8" t="s">
        <v>109</v>
      </c>
      <c r="E1485" s="8" t="s">
        <v>111</v>
      </c>
      <c r="F1485" s="8" t="s">
        <v>156</v>
      </c>
      <c r="G1485" s="6">
        <v>3</v>
      </c>
      <c r="H1485" s="25">
        <v>46100</v>
      </c>
      <c r="I1485" s="6">
        <v>20</v>
      </c>
      <c r="J1485" s="6">
        <f t="shared" si="46"/>
        <v>138300</v>
      </c>
      <c r="K1485" s="6">
        <f t="shared" si="47"/>
        <v>110640</v>
      </c>
      <c r="L1485" s="8" t="s">
        <v>76</v>
      </c>
      <c r="M1485" s="8" t="s">
        <v>91</v>
      </c>
      <c r="N1485">
        <v>10</v>
      </c>
      <c r="O1485">
        <v>2024</v>
      </c>
      <c r="P1485" s="29" t="s">
        <v>709</v>
      </c>
      <c r="Q1485" t="s">
        <v>733</v>
      </c>
      <c r="R1485" t="s">
        <v>739</v>
      </c>
    </row>
    <row r="1486" spans="1:18" x14ac:dyDescent="0.25">
      <c r="A1486" s="9">
        <v>1485</v>
      </c>
      <c r="B1486" s="10">
        <v>45454</v>
      </c>
      <c r="C1486" s="11" t="s">
        <v>124</v>
      </c>
      <c r="D1486" s="11" t="s">
        <v>73</v>
      </c>
      <c r="E1486" s="11" t="s">
        <v>102</v>
      </c>
      <c r="F1486" s="11" t="s">
        <v>137</v>
      </c>
      <c r="G1486" s="9">
        <v>21</v>
      </c>
      <c r="H1486" s="26">
        <v>2300</v>
      </c>
      <c r="I1486" s="9">
        <v>20</v>
      </c>
      <c r="J1486" s="9">
        <f t="shared" si="46"/>
        <v>48300</v>
      </c>
      <c r="K1486" s="9">
        <f t="shared" si="47"/>
        <v>38640</v>
      </c>
      <c r="L1486" s="11" t="s">
        <v>107</v>
      </c>
      <c r="M1486" s="11" t="s">
        <v>91</v>
      </c>
      <c r="N1486">
        <v>6</v>
      </c>
      <c r="O1486">
        <v>2024</v>
      </c>
      <c r="P1486" s="29" t="s">
        <v>720</v>
      </c>
      <c r="Q1486" t="s">
        <v>736</v>
      </c>
      <c r="R1486" t="s">
        <v>738</v>
      </c>
    </row>
    <row r="1487" spans="1:18" x14ac:dyDescent="0.25">
      <c r="A1487" s="6">
        <v>1486</v>
      </c>
      <c r="B1487" s="7">
        <v>45486</v>
      </c>
      <c r="C1487" s="8" t="s">
        <v>106</v>
      </c>
      <c r="D1487" s="8" t="s">
        <v>117</v>
      </c>
      <c r="E1487" s="8" t="s">
        <v>74</v>
      </c>
      <c r="F1487" s="8" t="s">
        <v>142</v>
      </c>
      <c r="G1487" s="6">
        <v>13</v>
      </c>
      <c r="H1487" s="25">
        <v>12100</v>
      </c>
      <c r="I1487" s="6">
        <v>5</v>
      </c>
      <c r="J1487" s="6">
        <f t="shared" si="46"/>
        <v>157300</v>
      </c>
      <c r="K1487" s="6">
        <f t="shared" si="47"/>
        <v>149435</v>
      </c>
      <c r="L1487" s="8" t="s">
        <v>76</v>
      </c>
      <c r="M1487" s="8" t="s">
        <v>91</v>
      </c>
      <c r="N1487">
        <v>7</v>
      </c>
      <c r="O1487">
        <v>2024</v>
      </c>
      <c r="P1487" s="29" t="s">
        <v>712</v>
      </c>
      <c r="Q1487" t="s">
        <v>734</v>
      </c>
      <c r="R1487" t="s">
        <v>739</v>
      </c>
    </row>
    <row r="1488" spans="1:18" x14ac:dyDescent="0.25">
      <c r="A1488" s="9">
        <v>1487</v>
      </c>
      <c r="B1488" s="10">
        <v>45372</v>
      </c>
      <c r="C1488" s="11" t="s">
        <v>114</v>
      </c>
      <c r="D1488" s="11" t="s">
        <v>73</v>
      </c>
      <c r="E1488" s="11" t="s">
        <v>111</v>
      </c>
      <c r="F1488" s="11" t="s">
        <v>192</v>
      </c>
      <c r="G1488" s="9">
        <v>21</v>
      </c>
      <c r="H1488" s="26">
        <v>97200</v>
      </c>
      <c r="I1488" s="9">
        <v>0</v>
      </c>
      <c r="J1488" s="9">
        <f t="shared" si="46"/>
        <v>2041200</v>
      </c>
      <c r="K1488" s="9">
        <f t="shared" si="47"/>
        <v>2041200</v>
      </c>
      <c r="L1488" s="11" t="s">
        <v>76</v>
      </c>
      <c r="M1488" s="11" t="s">
        <v>91</v>
      </c>
      <c r="N1488">
        <v>3</v>
      </c>
      <c r="O1488">
        <v>2024</v>
      </c>
      <c r="P1488" s="29" t="s">
        <v>711</v>
      </c>
      <c r="Q1488" t="s">
        <v>735</v>
      </c>
      <c r="R1488" t="s">
        <v>737</v>
      </c>
    </row>
    <row r="1489" spans="1:18" x14ac:dyDescent="0.25">
      <c r="A1489" s="6">
        <v>1488</v>
      </c>
      <c r="B1489" s="7">
        <v>45436</v>
      </c>
      <c r="C1489" s="8" t="s">
        <v>101</v>
      </c>
      <c r="D1489" s="8" t="s">
        <v>73</v>
      </c>
      <c r="E1489" s="8" t="s">
        <v>102</v>
      </c>
      <c r="F1489" s="8" t="s">
        <v>138</v>
      </c>
      <c r="G1489" s="6">
        <v>6</v>
      </c>
      <c r="H1489" s="25">
        <v>6200</v>
      </c>
      <c r="I1489" s="6">
        <v>15</v>
      </c>
      <c r="J1489" s="6">
        <f t="shared" si="46"/>
        <v>37200</v>
      </c>
      <c r="K1489" s="6">
        <f t="shared" si="47"/>
        <v>31620</v>
      </c>
      <c r="L1489" s="8" t="s">
        <v>76</v>
      </c>
      <c r="M1489" s="8" t="s">
        <v>81</v>
      </c>
      <c r="N1489">
        <v>5</v>
      </c>
      <c r="O1489">
        <v>2024</v>
      </c>
      <c r="P1489" s="29" t="s">
        <v>732</v>
      </c>
      <c r="Q1489" t="s">
        <v>736</v>
      </c>
      <c r="R1489" t="s">
        <v>738</v>
      </c>
    </row>
    <row r="1490" spans="1:18" x14ac:dyDescent="0.25">
      <c r="A1490" s="9">
        <v>1489</v>
      </c>
      <c r="B1490" s="10">
        <v>45248</v>
      </c>
      <c r="C1490" s="11" t="s">
        <v>78</v>
      </c>
      <c r="D1490" s="11" t="s">
        <v>93</v>
      </c>
      <c r="E1490" s="11" t="s">
        <v>79</v>
      </c>
      <c r="F1490" s="11" t="s">
        <v>136</v>
      </c>
      <c r="G1490" s="9">
        <v>25</v>
      </c>
      <c r="H1490" s="26">
        <v>97000</v>
      </c>
      <c r="I1490" s="9">
        <v>20</v>
      </c>
      <c r="J1490" s="9">
        <f t="shared" si="46"/>
        <v>2425000</v>
      </c>
      <c r="K1490" s="9">
        <f t="shared" si="47"/>
        <v>1940000</v>
      </c>
      <c r="L1490" s="11" t="s">
        <v>76</v>
      </c>
      <c r="M1490" s="11" t="s">
        <v>77</v>
      </c>
      <c r="N1490">
        <v>11</v>
      </c>
      <c r="O1490">
        <v>2023</v>
      </c>
      <c r="P1490" s="29" t="s">
        <v>718</v>
      </c>
      <c r="Q1490" t="s">
        <v>733</v>
      </c>
      <c r="R1490" t="s">
        <v>737</v>
      </c>
    </row>
    <row r="1491" spans="1:18" x14ac:dyDescent="0.25">
      <c r="A1491" s="6">
        <v>1490</v>
      </c>
      <c r="B1491" s="7">
        <v>45303</v>
      </c>
      <c r="C1491" s="8" t="s">
        <v>114</v>
      </c>
      <c r="D1491" s="8" t="s">
        <v>93</v>
      </c>
      <c r="E1491" s="8" t="s">
        <v>102</v>
      </c>
      <c r="F1491" s="8" t="s">
        <v>103</v>
      </c>
      <c r="G1491" s="6">
        <v>44</v>
      </c>
      <c r="H1491" s="25">
        <v>10100</v>
      </c>
      <c r="I1491" s="6">
        <v>0</v>
      </c>
      <c r="J1491" s="6">
        <f t="shared" si="46"/>
        <v>444400</v>
      </c>
      <c r="K1491" s="6">
        <f t="shared" si="47"/>
        <v>444400</v>
      </c>
      <c r="L1491" s="8" t="s">
        <v>187</v>
      </c>
      <c r="M1491" s="8" t="s">
        <v>81</v>
      </c>
      <c r="N1491">
        <v>1</v>
      </c>
      <c r="O1491">
        <v>2024</v>
      </c>
      <c r="P1491" s="29" t="s">
        <v>727</v>
      </c>
      <c r="Q1491" t="s">
        <v>735</v>
      </c>
      <c r="R1491" t="s">
        <v>737</v>
      </c>
    </row>
    <row r="1492" spans="1:18" x14ac:dyDescent="0.25">
      <c r="A1492" s="9">
        <v>1491</v>
      </c>
      <c r="B1492" s="10">
        <v>45395</v>
      </c>
      <c r="C1492" s="11" t="s">
        <v>108</v>
      </c>
      <c r="D1492" s="11" t="s">
        <v>109</v>
      </c>
      <c r="E1492" s="11" t="s">
        <v>74</v>
      </c>
      <c r="F1492" s="11" t="s">
        <v>118</v>
      </c>
      <c r="G1492" s="9">
        <v>32</v>
      </c>
      <c r="H1492" s="26">
        <v>30200</v>
      </c>
      <c r="I1492" s="9">
        <v>0</v>
      </c>
      <c r="J1492" s="9">
        <f t="shared" si="46"/>
        <v>966400</v>
      </c>
      <c r="K1492" s="9">
        <f t="shared" si="47"/>
        <v>966400</v>
      </c>
      <c r="L1492" s="11" t="s">
        <v>76</v>
      </c>
      <c r="M1492" s="11" t="s">
        <v>77</v>
      </c>
      <c r="N1492">
        <v>4</v>
      </c>
      <c r="O1492">
        <v>2024</v>
      </c>
      <c r="P1492" s="29" t="s">
        <v>722</v>
      </c>
      <c r="Q1492" t="s">
        <v>736</v>
      </c>
      <c r="R1492" t="s">
        <v>737</v>
      </c>
    </row>
    <row r="1493" spans="1:18" x14ac:dyDescent="0.25">
      <c r="A1493" s="6">
        <v>1492</v>
      </c>
      <c r="B1493" s="7">
        <v>45317</v>
      </c>
      <c r="C1493" s="8" t="s">
        <v>106</v>
      </c>
      <c r="D1493" s="8" t="s">
        <v>73</v>
      </c>
      <c r="E1493" s="8" t="s">
        <v>74</v>
      </c>
      <c r="F1493" s="8" t="s">
        <v>94</v>
      </c>
      <c r="G1493" s="6">
        <v>43</v>
      </c>
      <c r="H1493" s="25">
        <v>39400</v>
      </c>
      <c r="I1493" s="6">
        <v>0</v>
      </c>
      <c r="J1493" s="6">
        <f t="shared" si="46"/>
        <v>1694200</v>
      </c>
      <c r="K1493" s="6">
        <f t="shared" si="47"/>
        <v>1694200</v>
      </c>
      <c r="L1493" s="8" t="s">
        <v>187</v>
      </c>
      <c r="M1493" s="8" t="s">
        <v>96</v>
      </c>
      <c r="N1493">
        <v>1</v>
      </c>
      <c r="O1493">
        <v>2024</v>
      </c>
      <c r="P1493" s="29" t="s">
        <v>727</v>
      </c>
      <c r="Q1493" t="s">
        <v>735</v>
      </c>
      <c r="R1493" t="s">
        <v>737</v>
      </c>
    </row>
    <row r="1494" spans="1:18" x14ac:dyDescent="0.25">
      <c r="A1494" s="9">
        <v>1493</v>
      </c>
      <c r="B1494" s="10">
        <v>45384</v>
      </c>
      <c r="C1494" s="11" t="s">
        <v>106</v>
      </c>
      <c r="D1494" s="11" t="s">
        <v>117</v>
      </c>
      <c r="E1494" s="11" t="s">
        <v>111</v>
      </c>
      <c r="F1494" s="11" t="s">
        <v>192</v>
      </c>
      <c r="G1494" s="9">
        <v>39</v>
      </c>
      <c r="H1494" s="26">
        <v>89200</v>
      </c>
      <c r="I1494" s="9">
        <v>5</v>
      </c>
      <c r="J1494" s="9">
        <f t="shared" si="46"/>
        <v>3478800</v>
      </c>
      <c r="K1494" s="9">
        <f t="shared" si="47"/>
        <v>3304860</v>
      </c>
      <c r="L1494" s="11" t="s">
        <v>76</v>
      </c>
      <c r="M1494" s="11" t="s">
        <v>96</v>
      </c>
      <c r="N1494">
        <v>4</v>
      </c>
      <c r="O1494">
        <v>2024</v>
      </c>
      <c r="P1494" s="29" t="s">
        <v>722</v>
      </c>
      <c r="Q1494" t="s">
        <v>736</v>
      </c>
      <c r="R1494" t="s">
        <v>737</v>
      </c>
    </row>
    <row r="1495" spans="1:18" x14ac:dyDescent="0.25">
      <c r="A1495" s="6">
        <v>1494</v>
      </c>
      <c r="B1495" s="7">
        <v>45623</v>
      </c>
      <c r="C1495" s="8" t="s">
        <v>124</v>
      </c>
      <c r="D1495" s="8" t="s">
        <v>117</v>
      </c>
      <c r="E1495" s="8" t="s">
        <v>84</v>
      </c>
      <c r="F1495" s="8" t="s">
        <v>134</v>
      </c>
      <c r="G1495" s="6">
        <v>1</v>
      </c>
      <c r="H1495" s="25">
        <v>9600</v>
      </c>
      <c r="I1495" s="6">
        <v>5</v>
      </c>
      <c r="J1495" s="6">
        <f t="shared" si="46"/>
        <v>9600</v>
      </c>
      <c r="K1495" s="6">
        <f t="shared" si="47"/>
        <v>9120</v>
      </c>
      <c r="L1495" s="8" t="s">
        <v>76</v>
      </c>
      <c r="M1495" s="8" t="s">
        <v>91</v>
      </c>
      <c r="N1495">
        <v>11</v>
      </c>
      <c r="O1495">
        <v>2024</v>
      </c>
      <c r="P1495" s="29" t="s">
        <v>714</v>
      </c>
      <c r="Q1495" t="s">
        <v>733</v>
      </c>
      <c r="R1495" t="s">
        <v>738</v>
      </c>
    </row>
    <row r="1496" spans="1:18" x14ac:dyDescent="0.25">
      <c r="A1496" s="9">
        <v>1495</v>
      </c>
      <c r="B1496" s="10">
        <v>45270</v>
      </c>
      <c r="C1496" s="11" t="s">
        <v>106</v>
      </c>
      <c r="D1496" s="11" t="s">
        <v>83</v>
      </c>
      <c r="E1496" s="11" t="s">
        <v>74</v>
      </c>
      <c r="F1496" s="11" t="s">
        <v>94</v>
      </c>
      <c r="G1496" s="9">
        <v>26</v>
      </c>
      <c r="H1496" s="26">
        <v>37000</v>
      </c>
      <c r="I1496" s="9">
        <v>0</v>
      </c>
      <c r="J1496" s="9">
        <f t="shared" si="46"/>
        <v>962000</v>
      </c>
      <c r="K1496" s="9">
        <f t="shared" si="47"/>
        <v>962000</v>
      </c>
      <c r="L1496" s="11" t="s">
        <v>76</v>
      </c>
      <c r="M1496" s="11" t="s">
        <v>91</v>
      </c>
      <c r="N1496">
        <v>12</v>
      </c>
      <c r="O1496">
        <v>2023</v>
      </c>
      <c r="P1496" s="29" t="s">
        <v>725</v>
      </c>
      <c r="Q1496" t="s">
        <v>733</v>
      </c>
      <c r="R1496" t="s">
        <v>737</v>
      </c>
    </row>
    <row r="1497" spans="1:18" x14ac:dyDescent="0.25">
      <c r="A1497" s="6">
        <v>1496</v>
      </c>
      <c r="B1497" s="7">
        <v>45546</v>
      </c>
      <c r="C1497" s="8" t="s">
        <v>106</v>
      </c>
      <c r="D1497" s="8" t="s">
        <v>73</v>
      </c>
      <c r="E1497" s="8" t="s">
        <v>79</v>
      </c>
      <c r="F1497" s="8" t="s">
        <v>131</v>
      </c>
      <c r="G1497" s="6">
        <v>32</v>
      </c>
      <c r="H1497" s="25">
        <v>112800</v>
      </c>
      <c r="I1497" s="6">
        <v>0</v>
      </c>
      <c r="J1497" s="6">
        <f t="shared" si="46"/>
        <v>3609600</v>
      </c>
      <c r="K1497" s="6">
        <f t="shared" si="47"/>
        <v>3609600</v>
      </c>
      <c r="L1497" s="8" t="s">
        <v>76</v>
      </c>
      <c r="M1497" s="8" t="s">
        <v>96</v>
      </c>
      <c r="N1497">
        <v>9</v>
      </c>
      <c r="O1497">
        <v>2024</v>
      </c>
      <c r="P1497" s="29" t="s">
        <v>731</v>
      </c>
      <c r="Q1497" t="s">
        <v>734</v>
      </c>
      <c r="R1497" t="s">
        <v>737</v>
      </c>
    </row>
    <row r="1498" spans="1:18" x14ac:dyDescent="0.25">
      <c r="A1498" s="9">
        <v>1497</v>
      </c>
      <c r="B1498" s="10">
        <v>45189</v>
      </c>
      <c r="C1498" s="11" t="s">
        <v>114</v>
      </c>
      <c r="D1498" s="11" t="s">
        <v>117</v>
      </c>
      <c r="E1498" s="11" t="s">
        <v>102</v>
      </c>
      <c r="F1498" s="11" t="s">
        <v>110</v>
      </c>
      <c r="G1498" s="9">
        <v>37</v>
      </c>
      <c r="H1498" s="26">
        <v>21400</v>
      </c>
      <c r="I1498" s="9">
        <v>5</v>
      </c>
      <c r="J1498" s="9">
        <f t="shared" si="46"/>
        <v>791800</v>
      </c>
      <c r="K1498" s="9">
        <f t="shared" si="47"/>
        <v>752210</v>
      </c>
      <c r="L1498" s="11" t="s">
        <v>76</v>
      </c>
      <c r="M1498" s="11" t="s">
        <v>77</v>
      </c>
      <c r="N1498">
        <v>9</v>
      </c>
      <c r="O1498">
        <v>2023</v>
      </c>
      <c r="P1498" s="29" t="s">
        <v>715</v>
      </c>
      <c r="Q1498" t="s">
        <v>734</v>
      </c>
      <c r="R1498" t="s">
        <v>737</v>
      </c>
    </row>
    <row r="1499" spans="1:18" x14ac:dyDescent="0.25">
      <c r="A1499" s="6">
        <v>1498</v>
      </c>
      <c r="B1499" s="7">
        <v>45133</v>
      </c>
      <c r="C1499" s="8" t="s">
        <v>97</v>
      </c>
      <c r="D1499" s="8" t="s">
        <v>93</v>
      </c>
      <c r="E1499" s="8" t="s">
        <v>111</v>
      </c>
      <c r="F1499" s="8" t="s">
        <v>156</v>
      </c>
      <c r="G1499" s="6">
        <v>3</v>
      </c>
      <c r="H1499" s="25">
        <v>39100</v>
      </c>
      <c r="I1499" s="6">
        <v>0</v>
      </c>
      <c r="J1499" s="6">
        <f t="shared" si="46"/>
        <v>117300</v>
      </c>
      <c r="K1499" s="6">
        <f t="shared" si="47"/>
        <v>117300</v>
      </c>
      <c r="L1499" s="8" t="s">
        <v>76</v>
      </c>
      <c r="M1499" s="8" t="s">
        <v>77</v>
      </c>
      <c r="N1499">
        <v>7</v>
      </c>
      <c r="O1499">
        <v>2023</v>
      </c>
      <c r="P1499" s="29" t="s">
        <v>724</v>
      </c>
      <c r="Q1499" t="s">
        <v>734</v>
      </c>
      <c r="R1499" t="s">
        <v>739</v>
      </c>
    </row>
    <row r="1500" spans="1:18" x14ac:dyDescent="0.25">
      <c r="A1500" s="9">
        <v>1499</v>
      </c>
      <c r="B1500" s="10">
        <v>45161</v>
      </c>
      <c r="C1500" s="11" t="s">
        <v>78</v>
      </c>
      <c r="D1500" s="11" t="s">
        <v>83</v>
      </c>
      <c r="E1500" s="11" t="s">
        <v>84</v>
      </c>
      <c r="F1500" s="11" t="s">
        <v>150</v>
      </c>
      <c r="G1500" s="9">
        <v>5</v>
      </c>
      <c r="H1500" s="26">
        <v>6000</v>
      </c>
      <c r="I1500" s="6">
        <v>0</v>
      </c>
      <c r="J1500" s="9">
        <f t="shared" si="46"/>
        <v>30000</v>
      </c>
      <c r="K1500" s="9">
        <f t="shared" si="47"/>
        <v>30000</v>
      </c>
      <c r="L1500" s="11" t="s">
        <v>76</v>
      </c>
      <c r="M1500" s="11" t="s">
        <v>96</v>
      </c>
      <c r="N1500">
        <v>8</v>
      </c>
      <c r="O1500">
        <v>2023</v>
      </c>
      <c r="P1500" s="29" t="s">
        <v>713</v>
      </c>
      <c r="Q1500" t="s">
        <v>734</v>
      </c>
      <c r="R1500" t="s">
        <v>738</v>
      </c>
    </row>
    <row r="1501" spans="1:18" x14ac:dyDescent="0.25">
      <c r="A1501" s="6">
        <v>1500</v>
      </c>
      <c r="B1501" s="7">
        <v>45073</v>
      </c>
      <c r="C1501" s="8" t="s">
        <v>119</v>
      </c>
      <c r="D1501" s="8" t="s">
        <v>93</v>
      </c>
      <c r="E1501" s="8" t="s">
        <v>79</v>
      </c>
      <c r="F1501" s="8" t="s">
        <v>80</v>
      </c>
      <c r="G1501" s="6">
        <v>47</v>
      </c>
      <c r="H1501" s="25">
        <v>9300</v>
      </c>
      <c r="I1501" s="6">
        <v>0</v>
      </c>
      <c r="J1501" s="6">
        <f t="shared" si="46"/>
        <v>437100</v>
      </c>
      <c r="K1501" s="6">
        <f t="shared" si="47"/>
        <v>437100</v>
      </c>
      <c r="L1501" s="8" t="s">
        <v>76</v>
      </c>
      <c r="M1501" s="8" t="s">
        <v>77</v>
      </c>
      <c r="N1501">
        <v>5</v>
      </c>
      <c r="O1501">
        <v>2023</v>
      </c>
      <c r="P1501" s="29" t="s">
        <v>730</v>
      </c>
      <c r="Q1501" t="s">
        <v>736</v>
      </c>
      <c r="R1501" t="s">
        <v>737</v>
      </c>
    </row>
    <row r="1502" spans="1:18" x14ac:dyDescent="0.25">
      <c r="A1502" s="9">
        <v>1501</v>
      </c>
      <c r="B1502" s="10">
        <v>45276</v>
      </c>
      <c r="C1502" s="11" t="s">
        <v>101</v>
      </c>
      <c r="D1502" s="11" t="s">
        <v>109</v>
      </c>
      <c r="E1502" s="11" t="s">
        <v>74</v>
      </c>
      <c r="F1502" s="11" t="s">
        <v>99</v>
      </c>
      <c r="G1502" s="9">
        <v>42</v>
      </c>
      <c r="H1502" s="26">
        <v>3300</v>
      </c>
      <c r="I1502" s="9">
        <v>0</v>
      </c>
      <c r="J1502" s="9">
        <f t="shared" si="46"/>
        <v>138600</v>
      </c>
      <c r="K1502" s="9">
        <f t="shared" si="47"/>
        <v>138600</v>
      </c>
      <c r="L1502" s="11" t="s">
        <v>76</v>
      </c>
      <c r="M1502" s="11" t="s">
        <v>91</v>
      </c>
      <c r="N1502">
        <v>12</v>
      </c>
      <c r="O1502">
        <v>2023</v>
      </c>
      <c r="P1502" s="29" t="s">
        <v>725</v>
      </c>
      <c r="Q1502" t="s">
        <v>733</v>
      </c>
      <c r="R1502" t="s">
        <v>739</v>
      </c>
    </row>
    <row r="1503" spans="1:18" x14ac:dyDescent="0.25">
      <c r="A1503" s="6">
        <v>1502</v>
      </c>
      <c r="B1503" s="7">
        <v>45225</v>
      </c>
      <c r="C1503" s="8" t="s">
        <v>82</v>
      </c>
      <c r="D1503" s="8" t="s">
        <v>73</v>
      </c>
      <c r="E1503" s="8" t="s">
        <v>84</v>
      </c>
      <c r="F1503" s="8" t="s">
        <v>128</v>
      </c>
      <c r="G1503" s="6">
        <v>22</v>
      </c>
      <c r="H1503" s="25">
        <v>4400</v>
      </c>
      <c r="I1503" s="6">
        <v>0</v>
      </c>
      <c r="J1503" s="6">
        <f t="shared" si="46"/>
        <v>96800</v>
      </c>
      <c r="K1503" s="6">
        <f t="shared" si="47"/>
        <v>96800</v>
      </c>
      <c r="L1503" s="8" t="s">
        <v>187</v>
      </c>
      <c r="M1503" s="8" t="s">
        <v>91</v>
      </c>
      <c r="N1503">
        <v>10</v>
      </c>
      <c r="O1503">
        <v>2023</v>
      </c>
      <c r="P1503" s="29" t="s">
        <v>726</v>
      </c>
      <c r="Q1503" t="s">
        <v>733</v>
      </c>
      <c r="R1503" t="s">
        <v>739</v>
      </c>
    </row>
    <row r="1504" spans="1:18" x14ac:dyDescent="0.25">
      <c r="A1504" s="9">
        <v>1503</v>
      </c>
      <c r="B1504" s="10">
        <v>45378</v>
      </c>
      <c r="C1504" s="11" t="s">
        <v>97</v>
      </c>
      <c r="D1504" s="11" t="s">
        <v>109</v>
      </c>
      <c r="E1504" s="11" t="s">
        <v>102</v>
      </c>
      <c r="F1504" s="11" t="s">
        <v>110</v>
      </c>
      <c r="G1504" s="9">
        <v>10</v>
      </c>
      <c r="H1504" s="26">
        <v>22900</v>
      </c>
      <c r="I1504" s="9">
        <v>0</v>
      </c>
      <c r="J1504" s="9">
        <f t="shared" si="46"/>
        <v>229000</v>
      </c>
      <c r="K1504" s="9">
        <f t="shared" si="47"/>
        <v>229000</v>
      </c>
      <c r="L1504" s="11" t="s">
        <v>76</v>
      </c>
      <c r="M1504" s="11" t="s">
        <v>96</v>
      </c>
      <c r="N1504">
        <v>3</v>
      </c>
      <c r="O1504">
        <v>2024</v>
      </c>
      <c r="P1504" s="29" t="s">
        <v>711</v>
      </c>
      <c r="Q1504" t="s">
        <v>735</v>
      </c>
      <c r="R1504" t="s">
        <v>737</v>
      </c>
    </row>
    <row r="1505" spans="1:18" x14ac:dyDescent="0.25">
      <c r="A1505" s="9">
        <v>1504</v>
      </c>
      <c r="B1505" s="10">
        <v>45041</v>
      </c>
      <c r="C1505" s="11" t="s">
        <v>97</v>
      </c>
      <c r="D1505" s="11" t="s">
        <v>83</v>
      </c>
      <c r="E1505" s="11" t="s">
        <v>102</v>
      </c>
      <c r="F1505" s="11" t="s">
        <v>138</v>
      </c>
      <c r="G1505" s="9">
        <v>11</v>
      </c>
      <c r="H1505" s="26">
        <v>6900</v>
      </c>
      <c r="I1505" s="9">
        <v>0</v>
      </c>
      <c r="J1505" s="9">
        <f t="shared" si="46"/>
        <v>75900</v>
      </c>
      <c r="K1505" s="9">
        <f t="shared" si="47"/>
        <v>75900</v>
      </c>
      <c r="L1505" s="11" t="s">
        <v>187</v>
      </c>
      <c r="M1505" s="11" t="s">
        <v>96</v>
      </c>
      <c r="N1505">
        <v>4</v>
      </c>
      <c r="O1505">
        <v>2023</v>
      </c>
      <c r="P1505" s="29" t="s">
        <v>716</v>
      </c>
      <c r="Q1505" t="s">
        <v>736</v>
      </c>
      <c r="R1505" t="s">
        <v>739</v>
      </c>
    </row>
    <row r="1506" spans="1:18" x14ac:dyDescent="0.25">
      <c r="A1506" s="6">
        <v>1505</v>
      </c>
      <c r="B1506" s="7">
        <v>45171</v>
      </c>
      <c r="C1506" s="8" t="s">
        <v>108</v>
      </c>
      <c r="D1506" s="8" t="s">
        <v>73</v>
      </c>
      <c r="E1506" s="8" t="s">
        <v>84</v>
      </c>
      <c r="F1506" s="8" t="s">
        <v>206</v>
      </c>
      <c r="G1506" s="6">
        <v>37</v>
      </c>
      <c r="H1506" s="25">
        <v>13900</v>
      </c>
      <c r="I1506" s="6">
        <v>20</v>
      </c>
      <c r="J1506" s="6">
        <f t="shared" si="46"/>
        <v>514300</v>
      </c>
      <c r="K1506" s="6">
        <f t="shared" si="47"/>
        <v>411440</v>
      </c>
      <c r="L1506" s="8" t="s">
        <v>76</v>
      </c>
      <c r="M1506" s="8" t="s">
        <v>91</v>
      </c>
      <c r="N1506">
        <v>9</v>
      </c>
      <c r="O1506">
        <v>2023</v>
      </c>
      <c r="P1506" s="29" t="s">
        <v>715</v>
      </c>
      <c r="Q1506" t="s">
        <v>734</v>
      </c>
      <c r="R1506" t="s">
        <v>737</v>
      </c>
    </row>
    <row r="1507" spans="1:18" x14ac:dyDescent="0.25">
      <c r="A1507" s="9">
        <v>1506</v>
      </c>
      <c r="B1507" s="10">
        <v>45359</v>
      </c>
      <c r="C1507" s="11" t="s">
        <v>97</v>
      </c>
      <c r="D1507" s="11" t="s">
        <v>109</v>
      </c>
      <c r="E1507" s="11" t="s">
        <v>79</v>
      </c>
      <c r="F1507" s="11" t="s">
        <v>131</v>
      </c>
      <c r="G1507" s="9">
        <v>31</v>
      </c>
      <c r="H1507" s="26">
        <v>108600</v>
      </c>
      <c r="I1507" s="9">
        <v>0</v>
      </c>
      <c r="J1507" s="9">
        <f t="shared" si="46"/>
        <v>3366600</v>
      </c>
      <c r="K1507" s="9">
        <f t="shared" si="47"/>
        <v>3366600</v>
      </c>
      <c r="L1507" s="11" t="s">
        <v>123</v>
      </c>
      <c r="M1507" s="11" t="s">
        <v>91</v>
      </c>
      <c r="N1507">
        <v>3</v>
      </c>
      <c r="O1507">
        <v>2024</v>
      </c>
      <c r="P1507" s="29" t="s">
        <v>711</v>
      </c>
      <c r="Q1507" t="s">
        <v>735</v>
      </c>
      <c r="R1507" t="s">
        <v>737</v>
      </c>
    </row>
    <row r="1508" spans="1:18" x14ac:dyDescent="0.25">
      <c r="A1508" s="6">
        <v>1507</v>
      </c>
      <c r="B1508" s="7">
        <v>45363</v>
      </c>
      <c r="C1508" s="8" t="s">
        <v>124</v>
      </c>
      <c r="D1508" s="8" t="s">
        <v>83</v>
      </c>
      <c r="E1508" s="8" t="s">
        <v>111</v>
      </c>
      <c r="F1508" s="8" t="s">
        <v>156</v>
      </c>
      <c r="G1508" s="6">
        <v>40</v>
      </c>
      <c r="H1508" s="25">
        <v>45000</v>
      </c>
      <c r="I1508" s="6">
        <v>5</v>
      </c>
      <c r="J1508" s="6">
        <f t="shared" si="46"/>
        <v>1800000</v>
      </c>
      <c r="K1508" s="6">
        <f t="shared" si="47"/>
        <v>1710000</v>
      </c>
      <c r="L1508" s="8" t="s">
        <v>76</v>
      </c>
      <c r="M1508" s="8" t="s">
        <v>91</v>
      </c>
      <c r="N1508">
        <v>3</v>
      </c>
      <c r="O1508">
        <v>2024</v>
      </c>
      <c r="P1508" s="29" t="s">
        <v>711</v>
      </c>
      <c r="Q1508" t="s">
        <v>735</v>
      </c>
      <c r="R1508" t="s">
        <v>737</v>
      </c>
    </row>
    <row r="1509" spans="1:18" x14ac:dyDescent="0.25">
      <c r="A1509" s="9">
        <v>1508</v>
      </c>
      <c r="B1509" s="10">
        <v>45083</v>
      </c>
      <c r="C1509" s="11" t="s">
        <v>119</v>
      </c>
      <c r="D1509" s="11" t="s">
        <v>93</v>
      </c>
      <c r="E1509" s="11" t="s">
        <v>74</v>
      </c>
      <c r="F1509" s="11" t="s">
        <v>75</v>
      </c>
      <c r="G1509" s="9">
        <v>41</v>
      </c>
      <c r="H1509" s="26">
        <v>20600</v>
      </c>
      <c r="I1509" s="9">
        <v>0</v>
      </c>
      <c r="J1509" s="9">
        <f t="shared" si="46"/>
        <v>844600</v>
      </c>
      <c r="K1509" s="9">
        <f t="shared" si="47"/>
        <v>844600</v>
      </c>
      <c r="L1509" s="11" t="s">
        <v>187</v>
      </c>
      <c r="M1509" s="11" t="s">
        <v>91</v>
      </c>
      <c r="N1509">
        <v>6</v>
      </c>
      <c r="O1509">
        <v>2023</v>
      </c>
      <c r="P1509" s="29" t="s">
        <v>723</v>
      </c>
      <c r="Q1509" t="s">
        <v>736</v>
      </c>
      <c r="R1509" t="s">
        <v>737</v>
      </c>
    </row>
    <row r="1510" spans="1:18" x14ac:dyDescent="0.25">
      <c r="A1510" s="6">
        <v>1509</v>
      </c>
      <c r="B1510" s="7">
        <v>45091</v>
      </c>
      <c r="C1510" s="8" t="s">
        <v>88</v>
      </c>
      <c r="D1510" s="8" t="s">
        <v>73</v>
      </c>
      <c r="E1510" s="8" t="s">
        <v>111</v>
      </c>
      <c r="F1510" s="8" t="s">
        <v>135</v>
      </c>
      <c r="G1510" s="6">
        <v>30</v>
      </c>
      <c r="H1510" s="25">
        <v>107600</v>
      </c>
      <c r="I1510" s="6">
        <v>5</v>
      </c>
      <c r="J1510" s="6">
        <f t="shared" si="46"/>
        <v>3228000</v>
      </c>
      <c r="K1510" s="6">
        <f t="shared" si="47"/>
        <v>3066600</v>
      </c>
      <c r="L1510" s="8" t="s">
        <v>76</v>
      </c>
      <c r="M1510" s="8" t="s">
        <v>81</v>
      </c>
      <c r="N1510">
        <v>6</v>
      </c>
      <c r="O1510">
        <v>2023</v>
      </c>
      <c r="P1510" s="29" t="s">
        <v>723</v>
      </c>
      <c r="Q1510" t="s">
        <v>736</v>
      </c>
      <c r="R1510" t="s">
        <v>737</v>
      </c>
    </row>
    <row r="1511" spans="1:18" x14ac:dyDescent="0.25">
      <c r="A1511" s="9">
        <v>1510</v>
      </c>
      <c r="B1511" s="10">
        <v>45174</v>
      </c>
      <c r="C1511" s="11" t="s">
        <v>88</v>
      </c>
      <c r="D1511" s="11" t="s">
        <v>109</v>
      </c>
      <c r="E1511" s="11" t="s">
        <v>111</v>
      </c>
      <c r="F1511" s="11" t="s">
        <v>165</v>
      </c>
      <c r="G1511" s="9">
        <v>30</v>
      </c>
      <c r="H1511" s="26">
        <v>20200</v>
      </c>
      <c r="I1511" s="9">
        <v>5</v>
      </c>
      <c r="J1511" s="9">
        <f t="shared" si="46"/>
        <v>606000</v>
      </c>
      <c r="K1511" s="9">
        <f t="shared" si="47"/>
        <v>575700</v>
      </c>
      <c r="L1511" s="11" t="s">
        <v>187</v>
      </c>
      <c r="M1511" s="11" t="s">
        <v>91</v>
      </c>
      <c r="N1511">
        <v>9</v>
      </c>
      <c r="O1511">
        <v>2023</v>
      </c>
      <c r="P1511" s="29" t="s">
        <v>715</v>
      </c>
      <c r="Q1511" t="s">
        <v>734</v>
      </c>
      <c r="R1511" t="s">
        <v>737</v>
      </c>
    </row>
    <row r="1512" spans="1:18" x14ac:dyDescent="0.25">
      <c r="A1512" s="6">
        <v>1511</v>
      </c>
      <c r="B1512" s="7">
        <v>45401</v>
      </c>
      <c r="C1512" s="8" t="s">
        <v>88</v>
      </c>
      <c r="D1512" s="8" t="s">
        <v>117</v>
      </c>
      <c r="E1512" s="8" t="s">
        <v>74</v>
      </c>
      <c r="F1512" s="8" t="s">
        <v>140</v>
      </c>
      <c r="G1512" s="6">
        <v>34</v>
      </c>
      <c r="H1512" s="25">
        <v>4200</v>
      </c>
      <c r="I1512" s="6">
        <v>15</v>
      </c>
      <c r="J1512" s="6">
        <f t="shared" si="46"/>
        <v>142800</v>
      </c>
      <c r="K1512" s="6">
        <f t="shared" si="47"/>
        <v>121380</v>
      </c>
      <c r="L1512" s="8" t="s">
        <v>76</v>
      </c>
      <c r="M1512" s="8" t="s">
        <v>81</v>
      </c>
      <c r="N1512">
        <v>4</v>
      </c>
      <c r="O1512">
        <v>2024</v>
      </c>
      <c r="P1512" s="29" t="s">
        <v>722</v>
      </c>
      <c r="Q1512" t="s">
        <v>736</v>
      </c>
      <c r="R1512" t="s">
        <v>739</v>
      </c>
    </row>
    <row r="1513" spans="1:18" x14ac:dyDescent="0.25">
      <c r="A1513" s="9">
        <v>1512</v>
      </c>
      <c r="B1513" s="10">
        <v>45122</v>
      </c>
      <c r="C1513" s="11" t="s">
        <v>124</v>
      </c>
      <c r="D1513" s="11" t="s">
        <v>109</v>
      </c>
      <c r="E1513" s="11" t="s">
        <v>102</v>
      </c>
      <c r="F1513" s="11" t="s">
        <v>157</v>
      </c>
      <c r="G1513" s="9">
        <v>36</v>
      </c>
      <c r="H1513" s="26">
        <v>13500</v>
      </c>
      <c r="I1513" s="9">
        <v>0</v>
      </c>
      <c r="J1513" s="9">
        <f t="shared" si="46"/>
        <v>486000</v>
      </c>
      <c r="K1513" s="9">
        <f t="shared" si="47"/>
        <v>486000</v>
      </c>
      <c r="L1513" s="11" t="s">
        <v>107</v>
      </c>
      <c r="M1513" s="11" t="s">
        <v>91</v>
      </c>
      <c r="N1513">
        <v>7</v>
      </c>
      <c r="O1513">
        <v>2023</v>
      </c>
      <c r="P1513" s="29" t="s">
        <v>724</v>
      </c>
      <c r="Q1513" t="s">
        <v>734</v>
      </c>
      <c r="R1513" t="s">
        <v>737</v>
      </c>
    </row>
    <row r="1514" spans="1:18" x14ac:dyDescent="0.25">
      <c r="A1514" s="6">
        <v>1513</v>
      </c>
      <c r="B1514" s="7">
        <v>45586</v>
      </c>
      <c r="C1514" s="8" t="s">
        <v>101</v>
      </c>
      <c r="D1514" s="8" t="s">
        <v>109</v>
      </c>
      <c r="E1514" s="8" t="s">
        <v>111</v>
      </c>
      <c r="F1514" s="8" t="s">
        <v>166</v>
      </c>
      <c r="G1514" s="6">
        <v>35</v>
      </c>
      <c r="H1514" s="25">
        <v>28500</v>
      </c>
      <c r="I1514" s="6">
        <v>20</v>
      </c>
      <c r="J1514" s="6">
        <f t="shared" si="46"/>
        <v>997500</v>
      </c>
      <c r="K1514" s="6">
        <f t="shared" si="47"/>
        <v>798000</v>
      </c>
      <c r="L1514" s="8" t="s">
        <v>187</v>
      </c>
      <c r="M1514" s="8" t="s">
        <v>96</v>
      </c>
      <c r="N1514">
        <v>10</v>
      </c>
      <c r="O1514">
        <v>2024</v>
      </c>
      <c r="P1514" s="29" t="s">
        <v>709</v>
      </c>
      <c r="Q1514" t="s">
        <v>733</v>
      </c>
      <c r="R1514" t="s">
        <v>737</v>
      </c>
    </row>
    <row r="1515" spans="1:18" x14ac:dyDescent="0.25">
      <c r="A1515" s="9">
        <v>1514</v>
      </c>
      <c r="B1515" s="10">
        <v>45565</v>
      </c>
      <c r="C1515" s="11" t="s">
        <v>114</v>
      </c>
      <c r="D1515" s="11" t="s">
        <v>73</v>
      </c>
      <c r="E1515" s="11" t="s">
        <v>84</v>
      </c>
      <c r="F1515" s="11" t="s">
        <v>90</v>
      </c>
      <c r="G1515" s="9">
        <v>11</v>
      </c>
      <c r="H1515" s="26">
        <v>1800</v>
      </c>
      <c r="I1515" s="9">
        <v>0</v>
      </c>
      <c r="J1515" s="9">
        <f t="shared" si="46"/>
        <v>19800</v>
      </c>
      <c r="K1515" s="9">
        <f t="shared" si="47"/>
        <v>19800</v>
      </c>
      <c r="L1515" s="11" t="s">
        <v>187</v>
      </c>
      <c r="M1515" s="11" t="s">
        <v>91</v>
      </c>
      <c r="N1515">
        <v>9</v>
      </c>
      <c r="O1515">
        <v>2024</v>
      </c>
      <c r="P1515" s="29" t="s">
        <v>731</v>
      </c>
      <c r="Q1515" t="s">
        <v>734</v>
      </c>
      <c r="R1515" t="s">
        <v>738</v>
      </c>
    </row>
    <row r="1516" spans="1:18" x14ac:dyDescent="0.25">
      <c r="A1516" s="6">
        <v>1515</v>
      </c>
      <c r="B1516" s="7">
        <v>45380</v>
      </c>
      <c r="C1516" s="8" t="s">
        <v>78</v>
      </c>
      <c r="D1516" s="8" t="s">
        <v>109</v>
      </c>
      <c r="E1516" s="8" t="s">
        <v>111</v>
      </c>
      <c r="F1516" s="8" t="s">
        <v>166</v>
      </c>
      <c r="G1516" s="6">
        <v>48</v>
      </c>
      <c r="H1516" s="25">
        <v>27100</v>
      </c>
      <c r="I1516" s="6">
        <v>15</v>
      </c>
      <c r="J1516" s="6">
        <f t="shared" si="46"/>
        <v>1300800</v>
      </c>
      <c r="K1516" s="6">
        <f t="shared" si="47"/>
        <v>1105680</v>
      </c>
      <c r="L1516" s="8" t="s">
        <v>187</v>
      </c>
      <c r="M1516" s="8" t="s">
        <v>81</v>
      </c>
      <c r="N1516">
        <v>3</v>
      </c>
      <c r="O1516">
        <v>2024</v>
      </c>
      <c r="P1516" s="29" t="s">
        <v>711</v>
      </c>
      <c r="Q1516" t="s">
        <v>735</v>
      </c>
      <c r="R1516" t="s">
        <v>737</v>
      </c>
    </row>
    <row r="1517" spans="1:18" x14ac:dyDescent="0.25">
      <c r="A1517" s="9">
        <v>1516</v>
      </c>
      <c r="B1517" s="10">
        <v>45338</v>
      </c>
      <c r="C1517" s="11" t="s">
        <v>124</v>
      </c>
      <c r="D1517" s="11" t="s">
        <v>109</v>
      </c>
      <c r="E1517" s="11" t="s">
        <v>84</v>
      </c>
      <c r="F1517" s="11" t="s">
        <v>148</v>
      </c>
      <c r="G1517" s="9">
        <v>16</v>
      </c>
      <c r="H1517" s="26">
        <v>4700</v>
      </c>
      <c r="I1517" s="9">
        <v>20</v>
      </c>
      <c r="J1517" s="9">
        <f t="shared" si="46"/>
        <v>75200</v>
      </c>
      <c r="K1517" s="9">
        <f t="shared" si="47"/>
        <v>60160</v>
      </c>
      <c r="L1517" s="11" t="s">
        <v>107</v>
      </c>
      <c r="M1517" s="11" t="s">
        <v>81</v>
      </c>
      <c r="N1517">
        <v>2</v>
      </c>
      <c r="O1517">
        <v>2024</v>
      </c>
      <c r="P1517" s="29" t="s">
        <v>729</v>
      </c>
      <c r="Q1517" t="s">
        <v>735</v>
      </c>
      <c r="R1517" t="s">
        <v>739</v>
      </c>
    </row>
    <row r="1518" spans="1:18" x14ac:dyDescent="0.25">
      <c r="A1518" s="6">
        <v>1517</v>
      </c>
      <c r="B1518" s="7">
        <v>45425</v>
      </c>
      <c r="C1518" s="8" t="s">
        <v>88</v>
      </c>
      <c r="D1518" s="8" t="s">
        <v>93</v>
      </c>
      <c r="E1518" s="8" t="s">
        <v>102</v>
      </c>
      <c r="F1518" s="8" t="s">
        <v>138</v>
      </c>
      <c r="G1518" s="6">
        <v>5</v>
      </c>
      <c r="H1518" s="25">
        <v>6900</v>
      </c>
      <c r="I1518" s="6">
        <v>20</v>
      </c>
      <c r="J1518" s="6">
        <f t="shared" si="46"/>
        <v>34500</v>
      </c>
      <c r="K1518" s="6">
        <f t="shared" si="47"/>
        <v>27600</v>
      </c>
      <c r="L1518" s="8" t="s">
        <v>76</v>
      </c>
      <c r="M1518" s="8" t="s">
        <v>77</v>
      </c>
      <c r="N1518">
        <v>5</v>
      </c>
      <c r="O1518">
        <v>2024</v>
      </c>
      <c r="P1518" s="29" t="s">
        <v>732</v>
      </c>
      <c r="Q1518" t="s">
        <v>736</v>
      </c>
      <c r="R1518" t="s">
        <v>738</v>
      </c>
    </row>
    <row r="1519" spans="1:18" x14ac:dyDescent="0.25">
      <c r="A1519" s="9">
        <v>1518</v>
      </c>
      <c r="B1519" s="10">
        <v>44981</v>
      </c>
      <c r="C1519" s="11" t="s">
        <v>88</v>
      </c>
      <c r="D1519" s="11" t="s">
        <v>73</v>
      </c>
      <c r="E1519" s="11" t="s">
        <v>74</v>
      </c>
      <c r="F1519" s="11" t="s">
        <v>212</v>
      </c>
      <c r="G1519" s="9">
        <v>10</v>
      </c>
      <c r="H1519" s="26">
        <v>7600</v>
      </c>
      <c r="I1519" s="9">
        <v>20</v>
      </c>
      <c r="J1519" s="9">
        <f t="shared" si="46"/>
        <v>76000</v>
      </c>
      <c r="K1519" s="9">
        <f t="shared" si="47"/>
        <v>60800</v>
      </c>
      <c r="L1519" s="11" t="s">
        <v>123</v>
      </c>
      <c r="M1519" s="11" t="s">
        <v>96</v>
      </c>
      <c r="N1519">
        <v>2</v>
      </c>
      <c r="O1519">
        <v>2023</v>
      </c>
      <c r="P1519" s="29" t="s">
        <v>717</v>
      </c>
      <c r="Q1519" t="s">
        <v>735</v>
      </c>
      <c r="R1519" t="s">
        <v>739</v>
      </c>
    </row>
    <row r="1520" spans="1:18" x14ac:dyDescent="0.25">
      <c r="A1520" s="6">
        <v>1519</v>
      </c>
      <c r="B1520" s="7">
        <v>45172</v>
      </c>
      <c r="C1520" s="8" t="s">
        <v>88</v>
      </c>
      <c r="D1520" s="8" t="s">
        <v>93</v>
      </c>
      <c r="E1520" s="8" t="s">
        <v>74</v>
      </c>
      <c r="F1520" s="8" t="s">
        <v>99</v>
      </c>
      <c r="G1520" s="6">
        <v>46</v>
      </c>
      <c r="H1520" s="25">
        <v>3600</v>
      </c>
      <c r="I1520" s="6">
        <v>0</v>
      </c>
      <c r="J1520" s="6">
        <f t="shared" si="46"/>
        <v>165600</v>
      </c>
      <c r="K1520" s="6">
        <f t="shared" si="47"/>
        <v>165600</v>
      </c>
      <c r="L1520" s="8" t="s">
        <v>76</v>
      </c>
      <c r="M1520" s="8" t="s">
        <v>96</v>
      </c>
      <c r="N1520">
        <v>9</v>
      </c>
      <c r="O1520">
        <v>2023</v>
      </c>
      <c r="P1520" s="29" t="s">
        <v>715</v>
      </c>
      <c r="Q1520" t="s">
        <v>734</v>
      </c>
      <c r="R1520" t="s">
        <v>739</v>
      </c>
    </row>
    <row r="1521" spans="1:18" x14ac:dyDescent="0.25">
      <c r="A1521" s="6">
        <v>1520</v>
      </c>
      <c r="B1521" s="7">
        <v>45502</v>
      </c>
      <c r="C1521" s="8" t="s">
        <v>108</v>
      </c>
      <c r="D1521" s="8" t="s">
        <v>109</v>
      </c>
      <c r="E1521" s="8" t="s">
        <v>84</v>
      </c>
      <c r="F1521" s="8" t="s">
        <v>148</v>
      </c>
      <c r="G1521" s="6">
        <v>40</v>
      </c>
      <c r="H1521" s="25">
        <v>4500</v>
      </c>
      <c r="I1521" s="6">
        <v>15</v>
      </c>
      <c r="J1521" s="6">
        <f t="shared" si="46"/>
        <v>180000</v>
      </c>
      <c r="K1521" s="6">
        <f t="shared" si="47"/>
        <v>153000</v>
      </c>
      <c r="L1521" s="8" t="s">
        <v>76</v>
      </c>
      <c r="M1521" s="8" t="s">
        <v>91</v>
      </c>
      <c r="N1521">
        <v>7</v>
      </c>
      <c r="O1521">
        <v>2024</v>
      </c>
      <c r="P1521" s="29" t="s">
        <v>712</v>
      </c>
      <c r="Q1521" t="s">
        <v>734</v>
      </c>
      <c r="R1521" t="s">
        <v>739</v>
      </c>
    </row>
    <row r="1522" spans="1:18" x14ac:dyDescent="0.25">
      <c r="A1522" s="9">
        <v>1521</v>
      </c>
      <c r="B1522" s="10">
        <v>45214</v>
      </c>
      <c r="C1522" s="11" t="s">
        <v>106</v>
      </c>
      <c r="D1522" s="11" t="s">
        <v>73</v>
      </c>
      <c r="E1522" s="11" t="s">
        <v>84</v>
      </c>
      <c r="F1522" s="11" t="s">
        <v>85</v>
      </c>
      <c r="G1522" s="9">
        <v>3</v>
      </c>
      <c r="H1522" s="26">
        <v>5000</v>
      </c>
      <c r="I1522" s="9">
        <v>5</v>
      </c>
      <c r="J1522" s="9">
        <f t="shared" si="46"/>
        <v>15000</v>
      </c>
      <c r="K1522" s="9">
        <f t="shared" si="47"/>
        <v>14250</v>
      </c>
      <c r="L1522" s="11" t="s">
        <v>76</v>
      </c>
      <c r="M1522" s="11" t="s">
        <v>91</v>
      </c>
      <c r="N1522">
        <v>10</v>
      </c>
      <c r="O1522">
        <v>2023</v>
      </c>
      <c r="P1522" s="29" t="s">
        <v>726</v>
      </c>
      <c r="Q1522" t="s">
        <v>733</v>
      </c>
      <c r="R1522" t="s">
        <v>738</v>
      </c>
    </row>
    <row r="1523" spans="1:18" x14ac:dyDescent="0.25">
      <c r="A1523" s="6">
        <v>1522</v>
      </c>
      <c r="B1523" s="7">
        <v>45315</v>
      </c>
      <c r="C1523" s="8" t="s">
        <v>119</v>
      </c>
      <c r="D1523" s="8" t="s">
        <v>109</v>
      </c>
      <c r="E1523" s="8" t="s">
        <v>79</v>
      </c>
      <c r="F1523" s="8" t="s">
        <v>120</v>
      </c>
      <c r="G1523" s="6">
        <v>38</v>
      </c>
      <c r="H1523" s="25">
        <v>6800</v>
      </c>
      <c r="I1523" s="6">
        <v>0</v>
      </c>
      <c r="J1523" s="6">
        <f t="shared" si="46"/>
        <v>258400</v>
      </c>
      <c r="K1523" s="6">
        <f t="shared" si="47"/>
        <v>258400</v>
      </c>
      <c r="L1523" s="8" t="s">
        <v>76</v>
      </c>
      <c r="M1523" s="8" t="s">
        <v>91</v>
      </c>
      <c r="N1523">
        <v>1</v>
      </c>
      <c r="O1523">
        <v>2024</v>
      </c>
      <c r="P1523" s="29" t="s">
        <v>727</v>
      </c>
      <c r="Q1523" t="s">
        <v>735</v>
      </c>
      <c r="R1523" t="s">
        <v>737</v>
      </c>
    </row>
    <row r="1524" spans="1:18" x14ac:dyDescent="0.25">
      <c r="A1524" s="9">
        <v>1523</v>
      </c>
      <c r="B1524" s="10">
        <v>45430</v>
      </c>
      <c r="C1524" s="11" t="s">
        <v>124</v>
      </c>
      <c r="D1524" s="11" t="s">
        <v>117</v>
      </c>
      <c r="E1524" s="11" t="s">
        <v>74</v>
      </c>
      <c r="F1524" s="11" t="s">
        <v>118</v>
      </c>
      <c r="G1524" s="9">
        <v>5</v>
      </c>
      <c r="H1524" s="26">
        <v>31400</v>
      </c>
      <c r="I1524" s="9">
        <v>15</v>
      </c>
      <c r="J1524" s="9">
        <f t="shared" si="46"/>
        <v>157000</v>
      </c>
      <c r="K1524" s="9">
        <f t="shared" si="47"/>
        <v>133450</v>
      </c>
      <c r="L1524" s="11" t="s">
        <v>76</v>
      </c>
      <c r="M1524" s="11" t="s">
        <v>96</v>
      </c>
      <c r="N1524">
        <v>5</v>
      </c>
      <c r="O1524">
        <v>2024</v>
      </c>
      <c r="P1524" s="29" t="s">
        <v>732</v>
      </c>
      <c r="Q1524" t="s">
        <v>736</v>
      </c>
      <c r="R1524" t="s">
        <v>739</v>
      </c>
    </row>
    <row r="1525" spans="1:18" x14ac:dyDescent="0.25">
      <c r="A1525" s="6">
        <v>1524</v>
      </c>
      <c r="B1525" s="7">
        <v>45506</v>
      </c>
      <c r="C1525" s="8" t="s">
        <v>108</v>
      </c>
      <c r="D1525" s="30" t="s">
        <v>703</v>
      </c>
      <c r="E1525" s="8" t="s">
        <v>84</v>
      </c>
      <c r="F1525" s="8" t="s">
        <v>200</v>
      </c>
      <c r="G1525" s="6">
        <v>6</v>
      </c>
      <c r="H1525" s="25">
        <v>3100</v>
      </c>
      <c r="I1525" s="6">
        <v>0</v>
      </c>
      <c r="J1525" s="6">
        <f t="shared" si="46"/>
        <v>18600</v>
      </c>
      <c r="K1525" s="6">
        <f t="shared" si="47"/>
        <v>18600</v>
      </c>
      <c r="L1525" s="8" t="s">
        <v>76</v>
      </c>
      <c r="M1525" s="8" t="s">
        <v>91</v>
      </c>
      <c r="N1525">
        <v>8</v>
      </c>
      <c r="O1525">
        <v>2024</v>
      </c>
      <c r="P1525" s="29" t="s">
        <v>710</v>
      </c>
      <c r="Q1525" t="s">
        <v>734</v>
      </c>
      <c r="R1525" t="s">
        <v>738</v>
      </c>
    </row>
    <row r="1526" spans="1:18" x14ac:dyDescent="0.25">
      <c r="A1526" s="9">
        <v>1525</v>
      </c>
      <c r="B1526" s="10">
        <v>45563</v>
      </c>
      <c r="C1526" s="11" t="s">
        <v>124</v>
      </c>
      <c r="D1526" s="11" t="s">
        <v>83</v>
      </c>
      <c r="E1526" s="11" t="s">
        <v>84</v>
      </c>
      <c r="F1526" s="11" t="s">
        <v>200</v>
      </c>
      <c r="G1526" s="9">
        <v>13</v>
      </c>
      <c r="H1526" s="26">
        <v>3600</v>
      </c>
      <c r="I1526" s="9">
        <v>5</v>
      </c>
      <c r="J1526" s="9">
        <f t="shared" si="46"/>
        <v>46800</v>
      </c>
      <c r="K1526" s="9">
        <f t="shared" si="47"/>
        <v>44460</v>
      </c>
      <c r="L1526" s="11" t="s">
        <v>76</v>
      </c>
      <c r="M1526" s="11" t="s">
        <v>77</v>
      </c>
      <c r="N1526">
        <v>9</v>
      </c>
      <c r="O1526">
        <v>2024</v>
      </c>
      <c r="P1526" s="29" t="s">
        <v>731</v>
      </c>
      <c r="Q1526" t="s">
        <v>734</v>
      </c>
      <c r="R1526" t="s">
        <v>738</v>
      </c>
    </row>
    <row r="1527" spans="1:18" x14ac:dyDescent="0.25">
      <c r="A1527" s="6">
        <v>1526</v>
      </c>
      <c r="B1527" s="7">
        <v>45253</v>
      </c>
      <c r="C1527" s="8" t="s">
        <v>108</v>
      </c>
      <c r="D1527" s="8" t="s">
        <v>73</v>
      </c>
      <c r="E1527" s="8" t="s">
        <v>84</v>
      </c>
      <c r="F1527" s="8" t="s">
        <v>134</v>
      </c>
      <c r="G1527" s="6">
        <v>28</v>
      </c>
      <c r="H1527" s="25">
        <v>9300</v>
      </c>
      <c r="I1527" s="6">
        <v>15</v>
      </c>
      <c r="J1527" s="6">
        <f t="shared" si="46"/>
        <v>260400</v>
      </c>
      <c r="K1527" s="6">
        <f t="shared" si="47"/>
        <v>221340</v>
      </c>
      <c r="L1527" s="8" t="s">
        <v>76</v>
      </c>
      <c r="M1527" s="8" t="s">
        <v>96</v>
      </c>
      <c r="N1527">
        <v>11</v>
      </c>
      <c r="O1527">
        <v>2023</v>
      </c>
      <c r="P1527" s="29" t="s">
        <v>718</v>
      </c>
      <c r="Q1527" t="s">
        <v>733</v>
      </c>
      <c r="R1527" t="s">
        <v>737</v>
      </c>
    </row>
    <row r="1528" spans="1:18" x14ac:dyDescent="0.25">
      <c r="A1528" s="9">
        <v>1527</v>
      </c>
      <c r="B1528" s="10">
        <v>45362</v>
      </c>
      <c r="C1528" s="11" t="s">
        <v>119</v>
      </c>
      <c r="D1528" s="11" t="s">
        <v>73</v>
      </c>
      <c r="E1528" s="11" t="s">
        <v>74</v>
      </c>
      <c r="F1528" s="11" t="s">
        <v>94</v>
      </c>
      <c r="G1528" s="9">
        <v>40</v>
      </c>
      <c r="H1528" s="26">
        <v>32600</v>
      </c>
      <c r="I1528" s="9">
        <v>0</v>
      </c>
      <c r="J1528" s="9">
        <f t="shared" si="46"/>
        <v>1304000</v>
      </c>
      <c r="K1528" s="9">
        <f t="shared" si="47"/>
        <v>1304000</v>
      </c>
      <c r="L1528" s="11" t="s">
        <v>76</v>
      </c>
      <c r="M1528" s="11" t="s">
        <v>77</v>
      </c>
      <c r="N1528">
        <v>3</v>
      </c>
      <c r="O1528">
        <v>2024</v>
      </c>
      <c r="P1528" s="29" t="s">
        <v>711</v>
      </c>
      <c r="Q1528" t="s">
        <v>735</v>
      </c>
      <c r="R1528" t="s">
        <v>737</v>
      </c>
    </row>
    <row r="1529" spans="1:18" x14ac:dyDescent="0.25">
      <c r="A1529" s="6">
        <v>1528</v>
      </c>
      <c r="B1529" s="7">
        <v>45316</v>
      </c>
      <c r="C1529" s="8" t="s">
        <v>106</v>
      </c>
      <c r="D1529" s="8" t="s">
        <v>83</v>
      </c>
      <c r="E1529" s="8" t="s">
        <v>111</v>
      </c>
      <c r="F1529" s="8" t="s">
        <v>165</v>
      </c>
      <c r="G1529" s="6">
        <v>44</v>
      </c>
      <c r="H1529" s="25">
        <v>16400</v>
      </c>
      <c r="I1529" s="6">
        <v>0</v>
      </c>
      <c r="J1529" s="6">
        <f t="shared" si="46"/>
        <v>721600</v>
      </c>
      <c r="K1529" s="6">
        <f t="shared" si="47"/>
        <v>721600</v>
      </c>
      <c r="L1529" s="8" t="s">
        <v>76</v>
      </c>
      <c r="M1529" s="8" t="s">
        <v>91</v>
      </c>
      <c r="N1529">
        <v>1</v>
      </c>
      <c r="O1529">
        <v>2024</v>
      </c>
      <c r="P1529" s="29" t="s">
        <v>727</v>
      </c>
      <c r="Q1529" t="s">
        <v>735</v>
      </c>
      <c r="R1529" t="s">
        <v>737</v>
      </c>
    </row>
    <row r="1530" spans="1:18" x14ac:dyDescent="0.25">
      <c r="A1530" s="9">
        <v>1529</v>
      </c>
      <c r="B1530" s="10">
        <v>45597</v>
      </c>
      <c r="C1530" s="11" t="s">
        <v>82</v>
      </c>
      <c r="D1530" s="11" t="s">
        <v>83</v>
      </c>
      <c r="E1530" s="11" t="s">
        <v>111</v>
      </c>
      <c r="F1530" s="11" t="s">
        <v>132</v>
      </c>
      <c r="G1530" s="9">
        <v>23</v>
      </c>
      <c r="H1530" s="26">
        <v>7000</v>
      </c>
      <c r="I1530" s="9">
        <v>5</v>
      </c>
      <c r="J1530" s="9">
        <f t="shared" si="46"/>
        <v>161000</v>
      </c>
      <c r="K1530" s="9">
        <f t="shared" si="47"/>
        <v>152950</v>
      </c>
      <c r="L1530" s="11" t="s">
        <v>187</v>
      </c>
      <c r="M1530" s="11" t="s">
        <v>81</v>
      </c>
      <c r="N1530">
        <v>11</v>
      </c>
      <c r="O1530">
        <v>2024</v>
      </c>
      <c r="P1530" s="29" t="s">
        <v>714</v>
      </c>
      <c r="Q1530" t="s">
        <v>733</v>
      </c>
      <c r="R1530" t="s">
        <v>739</v>
      </c>
    </row>
    <row r="1531" spans="1:18" x14ac:dyDescent="0.25">
      <c r="A1531" s="6">
        <v>1530</v>
      </c>
      <c r="B1531" s="7">
        <v>45215</v>
      </c>
      <c r="C1531" s="8" t="s">
        <v>101</v>
      </c>
      <c r="D1531" s="8" t="s">
        <v>73</v>
      </c>
      <c r="E1531" s="8" t="s">
        <v>111</v>
      </c>
      <c r="F1531" s="8" t="s">
        <v>112</v>
      </c>
      <c r="G1531" s="6">
        <v>21</v>
      </c>
      <c r="H1531" s="25">
        <v>71600</v>
      </c>
      <c r="I1531" s="6">
        <v>0</v>
      </c>
      <c r="J1531" s="6">
        <f t="shared" si="46"/>
        <v>1503600</v>
      </c>
      <c r="K1531" s="6">
        <f t="shared" si="47"/>
        <v>1503600</v>
      </c>
      <c r="L1531" s="8" t="s">
        <v>107</v>
      </c>
      <c r="M1531" s="8" t="s">
        <v>77</v>
      </c>
      <c r="N1531">
        <v>10</v>
      </c>
      <c r="O1531">
        <v>2023</v>
      </c>
      <c r="P1531" s="29" t="s">
        <v>726</v>
      </c>
      <c r="Q1531" t="s">
        <v>733</v>
      </c>
      <c r="R1531" t="s">
        <v>737</v>
      </c>
    </row>
    <row r="1532" spans="1:18" x14ac:dyDescent="0.25">
      <c r="A1532" s="9">
        <v>1531</v>
      </c>
      <c r="B1532" s="10">
        <v>45265</v>
      </c>
      <c r="C1532" s="11" t="s">
        <v>97</v>
      </c>
      <c r="D1532" s="11" t="s">
        <v>109</v>
      </c>
      <c r="E1532" s="11" t="s">
        <v>79</v>
      </c>
      <c r="F1532" s="11" t="s">
        <v>122</v>
      </c>
      <c r="G1532" s="9">
        <v>10</v>
      </c>
      <c r="H1532" s="26">
        <v>17900</v>
      </c>
      <c r="I1532" s="9">
        <v>20</v>
      </c>
      <c r="J1532" s="9">
        <f t="shared" si="46"/>
        <v>179000</v>
      </c>
      <c r="K1532" s="9">
        <f t="shared" si="47"/>
        <v>143200</v>
      </c>
      <c r="L1532" s="11" t="s">
        <v>76</v>
      </c>
      <c r="M1532" s="11" t="s">
        <v>81</v>
      </c>
      <c r="N1532">
        <v>12</v>
      </c>
      <c r="O1532">
        <v>2023</v>
      </c>
      <c r="P1532" s="29" t="s">
        <v>725</v>
      </c>
      <c r="Q1532" t="s">
        <v>733</v>
      </c>
      <c r="R1532" t="s">
        <v>739</v>
      </c>
    </row>
    <row r="1533" spans="1:18" x14ac:dyDescent="0.25">
      <c r="A1533" s="6">
        <v>1532</v>
      </c>
      <c r="B1533" s="7">
        <v>45016</v>
      </c>
      <c r="C1533" s="8" t="s">
        <v>97</v>
      </c>
      <c r="D1533" s="8" t="s">
        <v>73</v>
      </c>
      <c r="E1533" s="8" t="s">
        <v>79</v>
      </c>
      <c r="F1533" s="8" t="s">
        <v>120</v>
      </c>
      <c r="G1533" s="6">
        <v>40</v>
      </c>
      <c r="H1533" s="25">
        <v>6700</v>
      </c>
      <c r="I1533" s="6">
        <v>15</v>
      </c>
      <c r="J1533" s="6">
        <f t="shared" si="46"/>
        <v>268000</v>
      </c>
      <c r="K1533" s="6">
        <f t="shared" si="47"/>
        <v>227800</v>
      </c>
      <c r="L1533" s="8" t="s">
        <v>76</v>
      </c>
      <c r="M1533" s="8" t="s">
        <v>91</v>
      </c>
      <c r="N1533">
        <v>3</v>
      </c>
      <c r="O1533">
        <v>2023</v>
      </c>
      <c r="P1533" s="29" t="s">
        <v>719</v>
      </c>
      <c r="Q1533" t="s">
        <v>735</v>
      </c>
      <c r="R1533" t="s">
        <v>737</v>
      </c>
    </row>
    <row r="1534" spans="1:18" x14ac:dyDescent="0.25">
      <c r="A1534" s="9">
        <v>1533</v>
      </c>
      <c r="B1534" s="10">
        <v>45058</v>
      </c>
      <c r="C1534" s="11" t="s">
        <v>97</v>
      </c>
      <c r="D1534" s="11" t="s">
        <v>93</v>
      </c>
      <c r="E1534" s="11" t="s">
        <v>79</v>
      </c>
      <c r="F1534" s="11" t="s">
        <v>136</v>
      </c>
      <c r="G1534" s="9">
        <v>13</v>
      </c>
      <c r="H1534" s="26">
        <v>91500</v>
      </c>
      <c r="I1534" s="9">
        <v>0</v>
      </c>
      <c r="J1534" s="9">
        <f t="shared" si="46"/>
        <v>1189500</v>
      </c>
      <c r="K1534" s="9">
        <f t="shared" si="47"/>
        <v>1189500</v>
      </c>
      <c r="L1534" s="11" t="s">
        <v>107</v>
      </c>
      <c r="M1534" s="11" t="s">
        <v>77</v>
      </c>
      <c r="N1534">
        <v>5</v>
      </c>
      <c r="O1534">
        <v>2023</v>
      </c>
      <c r="P1534" s="29" t="s">
        <v>730</v>
      </c>
      <c r="Q1534" t="s">
        <v>736</v>
      </c>
      <c r="R1534" t="s">
        <v>737</v>
      </c>
    </row>
    <row r="1535" spans="1:18" x14ac:dyDescent="0.25">
      <c r="A1535" s="6">
        <v>1534</v>
      </c>
      <c r="B1535" s="7">
        <v>45020</v>
      </c>
      <c r="C1535" s="8" t="s">
        <v>97</v>
      </c>
      <c r="D1535" s="8" t="s">
        <v>73</v>
      </c>
      <c r="E1535" s="8" t="s">
        <v>111</v>
      </c>
      <c r="F1535" s="8" t="s">
        <v>156</v>
      </c>
      <c r="G1535" s="6">
        <v>46</v>
      </c>
      <c r="H1535" s="25">
        <v>40000</v>
      </c>
      <c r="I1535" s="6">
        <v>15</v>
      </c>
      <c r="J1535" s="6">
        <f t="shared" si="46"/>
        <v>1840000</v>
      </c>
      <c r="K1535" s="6">
        <f t="shared" si="47"/>
        <v>1564000</v>
      </c>
      <c r="L1535" s="8" t="s">
        <v>76</v>
      </c>
      <c r="M1535" s="8" t="s">
        <v>96</v>
      </c>
      <c r="N1535">
        <v>4</v>
      </c>
      <c r="O1535">
        <v>2023</v>
      </c>
      <c r="P1535" s="29" t="s">
        <v>716</v>
      </c>
      <c r="Q1535" t="s">
        <v>736</v>
      </c>
      <c r="R1535" t="s">
        <v>737</v>
      </c>
    </row>
    <row r="1536" spans="1:18" x14ac:dyDescent="0.25">
      <c r="A1536" s="9">
        <v>1535</v>
      </c>
      <c r="B1536" s="10">
        <v>45469</v>
      </c>
      <c r="C1536" s="11" t="s">
        <v>106</v>
      </c>
      <c r="D1536" s="11" t="s">
        <v>83</v>
      </c>
      <c r="E1536" s="11" t="s">
        <v>84</v>
      </c>
      <c r="F1536" s="11" t="s">
        <v>85</v>
      </c>
      <c r="G1536" s="9">
        <v>12</v>
      </c>
      <c r="H1536" s="26">
        <v>5700</v>
      </c>
      <c r="I1536" s="9">
        <v>5</v>
      </c>
      <c r="J1536" s="9">
        <f t="shared" si="46"/>
        <v>68400</v>
      </c>
      <c r="K1536" s="9">
        <f t="shared" si="47"/>
        <v>64980</v>
      </c>
      <c r="L1536" s="11" t="s">
        <v>76</v>
      </c>
      <c r="M1536" s="11" t="s">
        <v>77</v>
      </c>
      <c r="N1536">
        <v>6</v>
      </c>
      <c r="O1536">
        <v>2024</v>
      </c>
      <c r="P1536" s="29" t="s">
        <v>720</v>
      </c>
      <c r="Q1536" t="s">
        <v>736</v>
      </c>
      <c r="R1536" t="s">
        <v>739</v>
      </c>
    </row>
    <row r="1537" spans="1:18" x14ac:dyDescent="0.25">
      <c r="A1537" s="6">
        <v>1536</v>
      </c>
      <c r="B1537" s="7">
        <v>45116</v>
      </c>
      <c r="C1537" s="8" t="s">
        <v>82</v>
      </c>
      <c r="D1537" s="8" t="s">
        <v>73</v>
      </c>
      <c r="E1537" s="8" t="s">
        <v>79</v>
      </c>
      <c r="F1537" s="8" t="s">
        <v>122</v>
      </c>
      <c r="G1537" s="6">
        <v>17</v>
      </c>
      <c r="H1537" s="25">
        <v>20600</v>
      </c>
      <c r="I1537" s="6">
        <v>15</v>
      </c>
      <c r="J1537" s="6">
        <f t="shared" si="46"/>
        <v>350200</v>
      </c>
      <c r="K1537" s="6">
        <f t="shared" si="47"/>
        <v>297670</v>
      </c>
      <c r="L1537" s="8" t="s">
        <v>76</v>
      </c>
      <c r="M1537" s="8" t="s">
        <v>81</v>
      </c>
      <c r="N1537">
        <v>7</v>
      </c>
      <c r="O1537">
        <v>2023</v>
      </c>
      <c r="P1537" s="29" t="s">
        <v>724</v>
      </c>
      <c r="Q1537" t="s">
        <v>734</v>
      </c>
      <c r="R1537" t="s">
        <v>737</v>
      </c>
    </row>
    <row r="1538" spans="1:18" x14ac:dyDescent="0.25">
      <c r="A1538" s="9">
        <v>1537</v>
      </c>
      <c r="B1538" s="10">
        <v>45112</v>
      </c>
      <c r="C1538" s="11" t="s">
        <v>97</v>
      </c>
      <c r="D1538" s="11" t="s">
        <v>109</v>
      </c>
      <c r="E1538" s="11" t="s">
        <v>84</v>
      </c>
      <c r="F1538" s="11" t="s">
        <v>200</v>
      </c>
      <c r="G1538" s="9">
        <v>15</v>
      </c>
      <c r="H1538" s="26">
        <v>3500</v>
      </c>
      <c r="I1538" s="9">
        <v>10</v>
      </c>
      <c r="J1538" s="9">
        <f t="shared" ref="J1538:J1601" si="48">G1538*H1538</f>
        <v>52500</v>
      </c>
      <c r="K1538" s="9">
        <f t="shared" ref="K1538:K1601" si="49">J1538*(1-I1538/100)</f>
        <v>47250</v>
      </c>
      <c r="L1538" s="11" t="s">
        <v>76</v>
      </c>
      <c r="M1538" s="11" t="s">
        <v>96</v>
      </c>
      <c r="N1538">
        <v>7</v>
      </c>
      <c r="O1538">
        <v>2023</v>
      </c>
      <c r="P1538" s="29" t="s">
        <v>724</v>
      </c>
      <c r="Q1538" t="s">
        <v>734</v>
      </c>
      <c r="R1538" t="s">
        <v>738</v>
      </c>
    </row>
    <row r="1539" spans="1:18" x14ac:dyDescent="0.25">
      <c r="A1539" s="6">
        <v>1538</v>
      </c>
      <c r="B1539" s="7">
        <v>45349</v>
      </c>
      <c r="C1539" s="8" t="s">
        <v>82</v>
      </c>
      <c r="D1539" s="8" t="s">
        <v>117</v>
      </c>
      <c r="E1539" s="8" t="s">
        <v>84</v>
      </c>
      <c r="F1539" s="8" t="s">
        <v>148</v>
      </c>
      <c r="G1539" s="6">
        <v>23</v>
      </c>
      <c r="H1539" s="25">
        <v>4600</v>
      </c>
      <c r="I1539" s="6">
        <v>15</v>
      </c>
      <c r="J1539" s="6">
        <f t="shared" si="48"/>
        <v>105800</v>
      </c>
      <c r="K1539" s="6">
        <f t="shared" si="49"/>
        <v>89930</v>
      </c>
      <c r="L1539" s="8" t="s">
        <v>187</v>
      </c>
      <c r="M1539" s="8" t="s">
        <v>77</v>
      </c>
      <c r="N1539">
        <v>2</v>
      </c>
      <c r="O1539">
        <v>2024</v>
      </c>
      <c r="P1539" s="29" t="s">
        <v>729</v>
      </c>
      <c r="Q1539" t="s">
        <v>735</v>
      </c>
      <c r="R1539" t="s">
        <v>739</v>
      </c>
    </row>
    <row r="1540" spans="1:18" x14ac:dyDescent="0.25">
      <c r="A1540" s="9">
        <v>1539</v>
      </c>
      <c r="B1540" s="10">
        <v>45626</v>
      </c>
      <c r="C1540" s="11" t="s">
        <v>101</v>
      </c>
      <c r="D1540" s="11" t="s">
        <v>117</v>
      </c>
      <c r="E1540" s="11" t="s">
        <v>84</v>
      </c>
      <c r="F1540" s="11" t="s">
        <v>150</v>
      </c>
      <c r="G1540" s="9">
        <v>32</v>
      </c>
      <c r="H1540" s="26">
        <v>5000</v>
      </c>
      <c r="I1540" s="9">
        <v>10</v>
      </c>
      <c r="J1540" s="9">
        <f t="shared" si="48"/>
        <v>160000</v>
      </c>
      <c r="K1540" s="9">
        <f t="shared" si="49"/>
        <v>144000</v>
      </c>
      <c r="L1540" s="11" t="s">
        <v>76</v>
      </c>
      <c r="M1540" s="11" t="s">
        <v>77</v>
      </c>
      <c r="N1540">
        <v>11</v>
      </c>
      <c r="O1540">
        <v>2024</v>
      </c>
      <c r="P1540" s="29" t="s">
        <v>714</v>
      </c>
      <c r="Q1540" t="s">
        <v>733</v>
      </c>
      <c r="R1540" t="s">
        <v>739</v>
      </c>
    </row>
    <row r="1541" spans="1:18" x14ac:dyDescent="0.25">
      <c r="A1541" s="6">
        <v>1540</v>
      </c>
      <c r="B1541" s="7">
        <v>45367</v>
      </c>
      <c r="C1541" s="8" t="s">
        <v>97</v>
      </c>
      <c r="D1541" s="8" t="s">
        <v>83</v>
      </c>
      <c r="E1541" s="8" t="s">
        <v>79</v>
      </c>
      <c r="F1541" s="8" t="s">
        <v>131</v>
      </c>
      <c r="G1541" s="6">
        <v>50</v>
      </c>
      <c r="H1541" s="25">
        <v>117600</v>
      </c>
      <c r="I1541" s="6">
        <v>15</v>
      </c>
      <c r="J1541" s="6">
        <f t="shared" si="48"/>
        <v>5880000</v>
      </c>
      <c r="K1541" s="6">
        <f t="shared" si="49"/>
        <v>4998000</v>
      </c>
      <c r="L1541" s="8" t="s">
        <v>107</v>
      </c>
      <c r="M1541" s="8" t="s">
        <v>96</v>
      </c>
      <c r="N1541">
        <v>3</v>
      </c>
      <c r="O1541">
        <v>2024</v>
      </c>
      <c r="P1541" s="29" t="s">
        <v>711</v>
      </c>
      <c r="Q1541" t="s">
        <v>735</v>
      </c>
      <c r="R1541" t="s">
        <v>737</v>
      </c>
    </row>
    <row r="1542" spans="1:18" x14ac:dyDescent="0.25">
      <c r="A1542" s="9">
        <v>1541</v>
      </c>
      <c r="B1542" s="10">
        <v>45624</v>
      </c>
      <c r="C1542" s="11" t="s">
        <v>124</v>
      </c>
      <c r="D1542" s="11" t="s">
        <v>73</v>
      </c>
      <c r="E1542" s="11" t="s">
        <v>102</v>
      </c>
      <c r="F1542" s="11" t="s">
        <v>110</v>
      </c>
      <c r="G1542" s="9">
        <v>21</v>
      </c>
      <c r="H1542" s="26">
        <v>23800</v>
      </c>
      <c r="I1542" s="9">
        <v>0</v>
      </c>
      <c r="J1542" s="9">
        <f t="shared" si="48"/>
        <v>499800</v>
      </c>
      <c r="K1542" s="9">
        <f t="shared" si="49"/>
        <v>499800</v>
      </c>
      <c r="L1542" s="11" t="s">
        <v>76</v>
      </c>
      <c r="M1542" s="31" t="s">
        <v>695</v>
      </c>
      <c r="N1542">
        <v>11</v>
      </c>
      <c r="O1542">
        <v>2024</v>
      </c>
      <c r="P1542" s="29" t="s">
        <v>714</v>
      </c>
      <c r="Q1542" t="s">
        <v>733</v>
      </c>
      <c r="R1542" t="s">
        <v>737</v>
      </c>
    </row>
    <row r="1543" spans="1:18" x14ac:dyDescent="0.25">
      <c r="A1543" s="6">
        <v>1542</v>
      </c>
      <c r="B1543" s="7">
        <v>45438</v>
      </c>
      <c r="C1543" s="8" t="s">
        <v>101</v>
      </c>
      <c r="D1543" s="8" t="s">
        <v>83</v>
      </c>
      <c r="E1543" s="8" t="s">
        <v>74</v>
      </c>
      <c r="F1543" s="8" t="s">
        <v>75</v>
      </c>
      <c r="G1543" s="6">
        <v>11</v>
      </c>
      <c r="H1543" s="25">
        <v>21100</v>
      </c>
      <c r="I1543" s="6">
        <v>5</v>
      </c>
      <c r="J1543" s="6">
        <f t="shared" si="48"/>
        <v>232100</v>
      </c>
      <c r="K1543" s="6">
        <f t="shared" si="49"/>
        <v>220495</v>
      </c>
      <c r="L1543" s="8" t="s">
        <v>76</v>
      </c>
      <c r="M1543" s="8" t="s">
        <v>96</v>
      </c>
      <c r="N1543">
        <v>5</v>
      </c>
      <c r="O1543">
        <v>2024</v>
      </c>
      <c r="P1543" s="29" t="s">
        <v>732</v>
      </c>
      <c r="Q1543" t="s">
        <v>736</v>
      </c>
      <c r="R1543" t="s">
        <v>737</v>
      </c>
    </row>
    <row r="1544" spans="1:18" x14ac:dyDescent="0.25">
      <c r="A1544" s="9">
        <v>1543</v>
      </c>
      <c r="B1544" s="10">
        <v>45403</v>
      </c>
      <c r="C1544" s="11" t="s">
        <v>119</v>
      </c>
      <c r="D1544" s="11" t="s">
        <v>117</v>
      </c>
      <c r="E1544" s="11" t="s">
        <v>111</v>
      </c>
      <c r="F1544" s="11" t="s">
        <v>159</v>
      </c>
      <c r="G1544" s="9">
        <v>30</v>
      </c>
      <c r="H1544" s="26">
        <v>13400</v>
      </c>
      <c r="I1544" s="9">
        <v>15</v>
      </c>
      <c r="J1544" s="9">
        <f t="shared" si="48"/>
        <v>402000</v>
      </c>
      <c r="K1544" s="9">
        <f t="shared" si="49"/>
        <v>341700</v>
      </c>
      <c r="L1544" s="11" t="s">
        <v>76</v>
      </c>
      <c r="M1544" s="11" t="s">
        <v>81</v>
      </c>
      <c r="N1544">
        <v>4</v>
      </c>
      <c r="O1544">
        <v>2024</v>
      </c>
      <c r="P1544" s="29" t="s">
        <v>722</v>
      </c>
      <c r="Q1544" t="s">
        <v>736</v>
      </c>
      <c r="R1544" t="s">
        <v>737</v>
      </c>
    </row>
    <row r="1545" spans="1:18" x14ac:dyDescent="0.25">
      <c r="A1545" s="6">
        <v>1544</v>
      </c>
      <c r="B1545" s="7">
        <v>45321</v>
      </c>
      <c r="C1545" s="8" t="s">
        <v>114</v>
      </c>
      <c r="D1545" s="8" t="s">
        <v>73</v>
      </c>
      <c r="E1545" s="8" t="s">
        <v>84</v>
      </c>
      <c r="F1545" s="8" t="s">
        <v>200</v>
      </c>
      <c r="G1545" s="6">
        <v>41</v>
      </c>
      <c r="H1545" s="25">
        <v>3200</v>
      </c>
      <c r="I1545" s="6">
        <v>0</v>
      </c>
      <c r="J1545" s="6">
        <f t="shared" si="48"/>
        <v>131200</v>
      </c>
      <c r="K1545" s="6">
        <f t="shared" si="49"/>
        <v>131200</v>
      </c>
      <c r="L1545" s="8" t="s">
        <v>76</v>
      </c>
      <c r="M1545" s="8" t="s">
        <v>96</v>
      </c>
      <c r="N1545">
        <v>1</v>
      </c>
      <c r="O1545">
        <v>2024</v>
      </c>
      <c r="P1545" s="29" t="s">
        <v>727</v>
      </c>
      <c r="Q1545" t="s">
        <v>735</v>
      </c>
      <c r="R1545" t="s">
        <v>739</v>
      </c>
    </row>
    <row r="1546" spans="1:18" x14ac:dyDescent="0.25">
      <c r="A1546" s="9">
        <v>1545</v>
      </c>
      <c r="B1546" s="10">
        <v>45371</v>
      </c>
      <c r="C1546" s="11" t="s">
        <v>108</v>
      </c>
      <c r="D1546" s="11" t="s">
        <v>109</v>
      </c>
      <c r="E1546" s="11" t="s">
        <v>102</v>
      </c>
      <c r="F1546" s="11" t="s">
        <v>103</v>
      </c>
      <c r="G1546" s="9">
        <v>2</v>
      </c>
      <c r="H1546" s="26">
        <v>9400</v>
      </c>
      <c r="I1546" s="9">
        <v>0</v>
      </c>
      <c r="J1546" s="9">
        <f t="shared" si="48"/>
        <v>18800</v>
      </c>
      <c r="K1546" s="9">
        <f t="shared" si="49"/>
        <v>18800</v>
      </c>
      <c r="L1546" s="11" t="s">
        <v>76</v>
      </c>
      <c r="M1546" s="11" t="s">
        <v>81</v>
      </c>
      <c r="N1546">
        <v>3</v>
      </c>
      <c r="O1546">
        <v>2024</v>
      </c>
      <c r="P1546" s="29" t="s">
        <v>711</v>
      </c>
      <c r="Q1546" t="s">
        <v>735</v>
      </c>
      <c r="R1546" t="s">
        <v>738</v>
      </c>
    </row>
    <row r="1547" spans="1:18" x14ac:dyDescent="0.25">
      <c r="A1547" s="6">
        <v>1546</v>
      </c>
      <c r="B1547" s="7">
        <v>45272</v>
      </c>
      <c r="C1547" s="8" t="s">
        <v>106</v>
      </c>
      <c r="D1547" s="8" t="s">
        <v>73</v>
      </c>
      <c r="E1547" s="8" t="s">
        <v>111</v>
      </c>
      <c r="F1547" s="8" t="s">
        <v>165</v>
      </c>
      <c r="G1547" s="6">
        <v>36</v>
      </c>
      <c r="H1547" s="25">
        <v>16900</v>
      </c>
      <c r="I1547" s="6">
        <v>5</v>
      </c>
      <c r="J1547" s="6">
        <f t="shared" si="48"/>
        <v>608400</v>
      </c>
      <c r="K1547" s="6">
        <f t="shared" si="49"/>
        <v>577980</v>
      </c>
      <c r="L1547" s="8" t="s">
        <v>76</v>
      </c>
      <c r="M1547" s="8" t="s">
        <v>81</v>
      </c>
      <c r="N1547">
        <v>12</v>
      </c>
      <c r="O1547">
        <v>2023</v>
      </c>
      <c r="P1547" s="29" t="s">
        <v>725</v>
      </c>
      <c r="Q1547" t="s">
        <v>733</v>
      </c>
      <c r="R1547" t="s">
        <v>737</v>
      </c>
    </row>
    <row r="1548" spans="1:18" x14ac:dyDescent="0.25">
      <c r="A1548" s="9">
        <v>1547</v>
      </c>
      <c r="B1548" s="10">
        <v>45548</v>
      </c>
      <c r="C1548" s="11" t="s">
        <v>119</v>
      </c>
      <c r="D1548" s="11" t="s">
        <v>83</v>
      </c>
      <c r="E1548" s="11" t="s">
        <v>111</v>
      </c>
      <c r="F1548" s="11" t="s">
        <v>166</v>
      </c>
      <c r="G1548" s="9">
        <v>43</v>
      </c>
      <c r="H1548" s="26">
        <v>28600</v>
      </c>
      <c r="I1548" s="9">
        <v>0</v>
      </c>
      <c r="J1548" s="9">
        <f t="shared" si="48"/>
        <v>1229800</v>
      </c>
      <c r="K1548" s="9">
        <f t="shared" si="49"/>
        <v>1229800</v>
      </c>
      <c r="L1548" s="11" t="s">
        <v>76</v>
      </c>
      <c r="M1548" s="11" t="s">
        <v>77</v>
      </c>
      <c r="N1548">
        <v>9</v>
      </c>
      <c r="O1548">
        <v>2024</v>
      </c>
      <c r="P1548" s="29" t="s">
        <v>731</v>
      </c>
      <c r="Q1548" t="s">
        <v>734</v>
      </c>
      <c r="R1548" t="s">
        <v>737</v>
      </c>
    </row>
    <row r="1549" spans="1:18" x14ac:dyDescent="0.25">
      <c r="A1549" s="6">
        <v>1548</v>
      </c>
      <c r="B1549" s="7">
        <v>45258</v>
      </c>
      <c r="C1549" s="8" t="s">
        <v>119</v>
      </c>
      <c r="D1549" s="8" t="s">
        <v>93</v>
      </c>
      <c r="E1549" s="8" t="s">
        <v>74</v>
      </c>
      <c r="F1549" s="8" t="s">
        <v>142</v>
      </c>
      <c r="G1549" s="6">
        <v>32</v>
      </c>
      <c r="H1549" s="25">
        <v>11500</v>
      </c>
      <c r="I1549" s="6">
        <v>5</v>
      </c>
      <c r="J1549" s="6">
        <f t="shared" si="48"/>
        <v>368000</v>
      </c>
      <c r="K1549" s="6">
        <f t="shared" si="49"/>
        <v>349600</v>
      </c>
      <c r="L1549" s="8" t="s">
        <v>187</v>
      </c>
      <c r="M1549" s="8" t="s">
        <v>91</v>
      </c>
      <c r="N1549">
        <v>11</v>
      </c>
      <c r="O1549">
        <v>2023</v>
      </c>
      <c r="P1549" s="29" t="s">
        <v>718</v>
      </c>
      <c r="Q1549" t="s">
        <v>733</v>
      </c>
      <c r="R1549" t="s">
        <v>737</v>
      </c>
    </row>
    <row r="1550" spans="1:18" x14ac:dyDescent="0.25">
      <c r="A1550" s="9">
        <v>1549</v>
      </c>
      <c r="B1550" s="10">
        <v>44940</v>
      </c>
      <c r="C1550" s="11" t="s">
        <v>101</v>
      </c>
      <c r="D1550" s="11" t="s">
        <v>109</v>
      </c>
      <c r="E1550" s="11" t="s">
        <v>74</v>
      </c>
      <c r="F1550" s="11" t="s">
        <v>190</v>
      </c>
      <c r="G1550" s="9">
        <v>28</v>
      </c>
      <c r="H1550" s="26">
        <v>34300</v>
      </c>
      <c r="I1550" s="9">
        <v>10</v>
      </c>
      <c r="J1550" s="9">
        <f t="shared" si="48"/>
        <v>960400</v>
      </c>
      <c r="K1550" s="9">
        <f t="shared" si="49"/>
        <v>864360</v>
      </c>
      <c r="L1550" s="11" t="s">
        <v>76</v>
      </c>
      <c r="M1550" s="11" t="s">
        <v>81</v>
      </c>
      <c r="N1550">
        <v>1</v>
      </c>
      <c r="O1550">
        <v>2023</v>
      </c>
      <c r="P1550" s="29" t="s">
        <v>721</v>
      </c>
      <c r="Q1550" t="s">
        <v>735</v>
      </c>
      <c r="R1550" t="s">
        <v>737</v>
      </c>
    </row>
    <row r="1551" spans="1:18" x14ac:dyDescent="0.25">
      <c r="A1551" s="6">
        <v>1550</v>
      </c>
      <c r="B1551" s="7">
        <v>45215</v>
      </c>
      <c r="C1551" s="8" t="s">
        <v>88</v>
      </c>
      <c r="D1551" s="8" t="s">
        <v>117</v>
      </c>
      <c r="E1551" s="8" t="s">
        <v>84</v>
      </c>
      <c r="F1551" s="8" t="s">
        <v>200</v>
      </c>
      <c r="G1551" s="6">
        <v>31</v>
      </c>
      <c r="H1551" s="25">
        <v>3300</v>
      </c>
      <c r="I1551" s="6">
        <v>0</v>
      </c>
      <c r="J1551" s="6">
        <f t="shared" si="48"/>
        <v>102300</v>
      </c>
      <c r="K1551" s="6">
        <f t="shared" si="49"/>
        <v>102300</v>
      </c>
      <c r="L1551" s="8" t="s">
        <v>76</v>
      </c>
      <c r="M1551" s="8" t="s">
        <v>91</v>
      </c>
      <c r="N1551">
        <v>10</v>
      </c>
      <c r="O1551">
        <v>2023</v>
      </c>
      <c r="P1551" s="29" t="s">
        <v>726</v>
      </c>
      <c r="Q1551" t="s">
        <v>733</v>
      </c>
      <c r="R1551" t="s">
        <v>739</v>
      </c>
    </row>
    <row r="1552" spans="1:18" x14ac:dyDescent="0.25">
      <c r="A1552" s="9">
        <v>1551</v>
      </c>
      <c r="B1552" s="10">
        <v>45354</v>
      </c>
      <c r="C1552" s="11" t="s">
        <v>106</v>
      </c>
      <c r="D1552" s="11" t="s">
        <v>109</v>
      </c>
      <c r="E1552" s="11" t="s">
        <v>74</v>
      </c>
      <c r="F1552" s="11" t="s">
        <v>75</v>
      </c>
      <c r="G1552" s="9">
        <v>21</v>
      </c>
      <c r="H1552" s="26">
        <v>24800</v>
      </c>
      <c r="I1552" s="9">
        <v>20</v>
      </c>
      <c r="J1552" s="9">
        <f t="shared" si="48"/>
        <v>520800</v>
      </c>
      <c r="K1552" s="9">
        <f t="shared" si="49"/>
        <v>416640</v>
      </c>
      <c r="L1552" s="11" t="s">
        <v>76</v>
      </c>
      <c r="M1552" s="11" t="s">
        <v>91</v>
      </c>
      <c r="N1552">
        <v>3</v>
      </c>
      <c r="O1552">
        <v>2024</v>
      </c>
      <c r="P1552" s="29" t="s">
        <v>711</v>
      </c>
      <c r="Q1552" t="s">
        <v>735</v>
      </c>
      <c r="R1552" t="s">
        <v>737</v>
      </c>
    </row>
    <row r="1553" spans="1:18" x14ac:dyDescent="0.25">
      <c r="A1553" s="6">
        <v>1552</v>
      </c>
      <c r="B1553" s="7">
        <v>45214</v>
      </c>
      <c r="C1553" s="8" t="s">
        <v>82</v>
      </c>
      <c r="D1553" s="8" t="s">
        <v>117</v>
      </c>
      <c r="E1553" s="8" t="s">
        <v>102</v>
      </c>
      <c r="F1553" s="8" t="s">
        <v>157</v>
      </c>
      <c r="G1553" s="6">
        <v>9</v>
      </c>
      <c r="H1553" s="25">
        <v>12900</v>
      </c>
      <c r="I1553" s="6">
        <v>15</v>
      </c>
      <c r="J1553" s="6">
        <f t="shared" si="48"/>
        <v>116100</v>
      </c>
      <c r="K1553" s="6">
        <f t="shared" si="49"/>
        <v>98685</v>
      </c>
      <c r="L1553" s="8" t="s">
        <v>123</v>
      </c>
      <c r="M1553" s="8" t="s">
        <v>81</v>
      </c>
      <c r="N1553">
        <v>10</v>
      </c>
      <c r="O1553">
        <v>2023</v>
      </c>
      <c r="P1553" s="29" t="s">
        <v>726</v>
      </c>
      <c r="Q1553" t="s">
        <v>733</v>
      </c>
      <c r="R1553" t="s">
        <v>739</v>
      </c>
    </row>
    <row r="1554" spans="1:18" x14ac:dyDescent="0.25">
      <c r="A1554" s="9">
        <v>1553</v>
      </c>
      <c r="B1554" s="10">
        <v>45534</v>
      </c>
      <c r="C1554" s="11" t="s">
        <v>124</v>
      </c>
      <c r="D1554" s="11" t="s">
        <v>109</v>
      </c>
      <c r="E1554" s="11" t="s">
        <v>84</v>
      </c>
      <c r="F1554" s="11" t="s">
        <v>85</v>
      </c>
      <c r="G1554" s="9">
        <v>2</v>
      </c>
      <c r="H1554" s="26">
        <v>5600</v>
      </c>
      <c r="I1554" s="9">
        <v>5</v>
      </c>
      <c r="J1554" s="9">
        <f t="shared" si="48"/>
        <v>11200</v>
      </c>
      <c r="K1554" s="9">
        <f t="shared" si="49"/>
        <v>10640</v>
      </c>
      <c r="L1554" s="11" t="s">
        <v>76</v>
      </c>
      <c r="M1554" s="11" t="s">
        <v>77</v>
      </c>
      <c r="N1554">
        <v>8</v>
      </c>
      <c r="O1554">
        <v>2024</v>
      </c>
      <c r="P1554" s="29" t="s">
        <v>710</v>
      </c>
      <c r="Q1554" t="s">
        <v>734</v>
      </c>
      <c r="R1554" t="s">
        <v>738</v>
      </c>
    </row>
    <row r="1555" spans="1:18" x14ac:dyDescent="0.25">
      <c r="A1555" s="6">
        <v>1554</v>
      </c>
      <c r="B1555" s="7">
        <v>44932</v>
      </c>
      <c r="C1555" s="8" t="s">
        <v>124</v>
      </c>
      <c r="D1555" s="8" t="s">
        <v>117</v>
      </c>
      <c r="E1555" s="8" t="s">
        <v>79</v>
      </c>
      <c r="F1555" s="8" t="s">
        <v>172</v>
      </c>
      <c r="G1555" s="6">
        <v>47</v>
      </c>
      <c r="H1555" s="25">
        <v>25400</v>
      </c>
      <c r="I1555" s="6">
        <v>5</v>
      </c>
      <c r="J1555" s="6">
        <f t="shared" si="48"/>
        <v>1193800</v>
      </c>
      <c r="K1555" s="6">
        <f t="shared" si="49"/>
        <v>1134110</v>
      </c>
      <c r="L1555" s="8" t="s">
        <v>76</v>
      </c>
      <c r="M1555" s="8" t="s">
        <v>91</v>
      </c>
      <c r="N1555">
        <v>1</v>
      </c>
      <c r="O1555">
        <v>2023</v>
      </c>
      <c r="P1555" s="29" t="s">
        <v>721</v>
      </c>
      <c r="Q1555" t="s">
        <v>735</v>
      </c>
      <c r="R1555" t="s">
        <v>737</v>
      </c>
    </row>
    <row r="1556" spans="1:18" x14ac:dyDescent="0.25">
      <c r="A1556" s="9">
        <v>1555</v>
      </c>
      <c r="B1556" s="10">
        <v>45124</v>
      </c>
      <c r="C1556" s="11" t="s">
        <v>101</v>
      </c>
      <c r="D1556" s="11" t="s">
        <v>109</v>
      </c>
      <c r="E1556" s="11" t="s">
        <v>74</v>
      </c>
      <c r="F1556" s="11" t="s">
        <v>94</v>
      </c>
      <c r="G1556" s="9">
        <v>15</v>
      </c>
      <c r="H1556" s="26">
        <v>35600</v>
      </c>
      <c r="I1556" s="9">
        <v>0</v>
      </c>
      <c r="J1556" s="9">
        <f t="shared" si="48"/>
        <v>534000</v>
      </c>
      <c r="K1556" s="9">
        <f t="shared" si="49"/>
        <v>534000</v>
      </c>
      <c r="L1556" s="11" t="s">
        <v>76</v>
      </c>
      <c r="M1556" s="11" t="s">
        <v>96</v>
      </c>
      <c r="N1556">
        <v>7</v>
      </c>
      <c r="O1556">
        <v>2023</v>
      </c>
      <c r="P1556" s="29" t="s">
        <v>724</v>
      </c>
      <c r="Q1556" t="s">
        <v>734</v>
      </c>
      <c r="R1556" t="s">
        <v>737</v>
      </c>
    </row>
    <row r="1557" spans="1:18" x14ac:dyDescent="0.25">
      <c r="A1557" s="6">
        <v>1556</v>
      </c>
      <c r="B1557" s="7">
        <v>45562</v>
      </c>
      <c r="C1557" s="8" t="s">
        <v>119</v>
      </c>
      <c r="D1557" s="8" t="s">
        <v>93</v>
      </c>
      <c r="E1557" s="8" t="s">
        <v>84</v>
      </c>
      <c r="F1557" s="8" t="s">
        <v>134</v>
      </c>
      <c r="G1557" s="6">
        <v>32</v>
      </c>
      <c r="H1557" s="25">
        <v>10900</v>
      </c>
      <c r="I1557" s="6">
        <v>20</v>
      </c>
      <c r="J1557" s="6">
        <f t="shared" si="48"/>
        <v>348800</v>
      </c>
      <c r="K1557" s="6">
        <f t="shared" si="49"/>
        <v>279040</v>
      </c>
      <c r="L1557" s="8" t="s">
        <v>123</v>
      </c>
      <c r="M1557" s="8" t="s">
        <v>81</v>
      </c>
      <c r="N1557">
        <v>9</v>
      </c>
      <c r="O1557">
        <v>2024</v>
      </c>
      <c r="P1557" s="29" t="s">
        <v>731</v>
      </c>
      <c r="Q1557" t="s">
        <v>734</v>
      </c>
      <c r="R1557" t="s">
        <v>737</v>
      </c>
    </row>
    <row r="1558" spans="1:18" x14ac:dyDescent="0.25">
      <c r="A1558" s="9">
        <v>1557</v>
      </c>
      <c r="B1558" s="10">
        <v>45588</v>
      </c>
      <c r="C1558" s="11" t="s">
        <v>106</v>
      </c>
      <c r="D1558" s="11" t="s">
        <v>93</v>
      </c>
      <c r="E1558" s="11" t="s">
        <v>102</v>
      </c>
      <c r="F1558" s="11" t="s">
        <v>137</v>
      </c>
      <c r="G1558" s="9">
        <v>4</v>
      </c>
      <c r="H1558" s="26">
        <v>2100</v>
      </c>
      <c r="I1558" s="9">
        <v>10</v>
      </c>
      <c r="J1558" s="9">
        <f t="shared" si="48"/>
        <v>8400</v>
      </c>
      <c r="K1558" s="9">
        <f t="shared" si="49"/>
        <v>7560</v>
      </c>
      <c r="L1558" s="11" t="s">
        <v>187</v>
      </c>
      <c r="M1558" s="11" t="s">
        <v>81</v>
      </c>
      <c r="N1558">
        <v>10</v>
      </c>
      <c r="O1558">
        <v>2024</v>
      </c>
      <c r="P1558" s="29" t="s">
        <v>709</v>
      </c>
      <c r="Q1558" t="s">
        <v>733</v>
      </c>
      <c r="R1558" t="s">
        <v>738</v>
      </c>
    </row>
    <row r="1559" spans="1:18" x14ac:dyDescent="0.25">
      <c r="A1559" s="6">
        <v>1558</v>
      </c>
      <c r="B1559" s="7">
        <v>45443</v>
      </c>
      <c r="C1559" s="8" t="s">
        <v>101</v>
      </c>
      <c r="D1559" s="8" t="s">
        <v>109</v>
      </c>
      <c r="E1559" s="8" t="s">
        <v>111</v>
      </c>
      <c r="F1559" s="8" t="s">
        <v>165</v>
      </c>
      <c r="G1559" s="6">
        <v>1</v>
      </c>
      <c r="H1559" s="25">
        <v>19400</v>
      </c>
      <c r="I1559" s="6">
        <v>0</v>
      </c>
      <c r="J1559" s="6">
        <f t="shared" si="48"/>
        <v>19400</v>
      </c>
      <c r="K1559" s="6">
        <f t="shared" si="49"/>
        <v>19400</v>
      </c>
      <c r="L1559" s="8" t="s">
        <v>76</v>
      </c>
      <c r="M1559" s="8" t="s">
        <v>81</v>
      </c>
      <c r="N1559">
        <v>5</v>
      </c>
      <c r="O1559">
        <v>2024</v>
      </c>
      <c r="P1559" s="29" t="s">
        <v>732</v>
      </c>
      <c r="Q1559" t="s">
        <v>736</v>
      </c>
      <c r="R1559" t="s">
        <v>738</v>
      </c>
    </row>
    <row r="1560" spans="1:18" x14ac:dyDescent="0.25">
      <c r="A1560" s="9">
        <v>1559</v>
      </c>
      <c r="B1560" s="10">
        <v>45230</v>
      </c>
      <c r="C1560" s="11" t="s">
        <v>78</v>
      </c>
      <c r="D1560" s="11" t="s">
        <v>73</v>
      </c>
      <c r="E1560" s="11" t="s">
        <v>111</v>
      </c>
      <c r="F1560" s="11" t="s">
        <v>112</v>
      </c>
      <c r="G1560" s="9">
        <v>50</v>
      </c>
      <c r="H1560" s="26">
        <v>64500</v>
      </c>
      <c r="I1560" s="9">
        <v>5</v>
      </c>
      <c r="J1560" s="9">
        <f t="shared" si="48"/>
        <v>3225000</v>
      </c>
      <c r="K1560" s="9">
        <f t="shared" si="49"/>
        <v>3063750</v>
      </c>
      <c r="L1560" s="11" t="s">
        <v>107</v>
      </c>
      <c r="M1560" s="11" t="s">
        <v>81</v>
      </c>
      <c r="N1560">
        <v>10</v>
      </c>
      <c r="O1560">
        <v>2023</v>
      </c>
      <c r="P1560" s="29" t="s">
        <v>726</v>
      </c>
      <c r="Q1560" t="s">
        <v>733</v>
      </c>
      <c r="R1560" t="s">
        <v>737</v>
      </c>
    </row>
    <row r="1561" spans="1:18" x14ac:dyDescent="0.25">
      <c r="A1561" s="6">
        <v>1560</v>
      </c>
      <c r="B1561" s="7">
        <v>45332</v>
      </c>
      <c r="C1561" s="8" t="s">
        <v>114</v>
      </c>
      <c r="D1561" s="8" t="s">
        <v>93</v>
      </c>
      <c r="E1561" s="8" t="s">
        <v>84</v>
      </c>
      <c r="F1561" s="8" t="s">
        <v>85</v>
      </c>
      <c r="G1561" s="6">
        <v>7</v>
      </c>
      <c r="H1561" s="25">
        <v>5900</v>
      </c>
      <c r="I1561" s="6">
        <v>0</v>
      </c>
      <c r="J1561" s="6">
        <f t="shared" si="48"/>
        <v>41300</v>
      </c>
      <c r="K1561" s="6">
        <f t="shared" si="49"/>
        <v>41300</v>
      </c>
      <c r="L1561" s="8" t="s">
        <v>123</v>
      </c>
      <c r="M1561" s="8" t="s">
        <v>91</v>
      </c>
      <c r="N1561">
        <v>2</v>
      </c>
      <c r="O1561">
        <v>2024</v>
      </c>
      <c r="P1561" s="29" t="s">
        <v>729</v>
      </c>
      <c r="Q1561" t="s">
        <v>735</v>
      </c>
      <c r="R1561" t="s">
        <v>738</v>
      </c>
    </row>
    <row r="1562" spans="1:18" x14ac:dyDescent="0.25">
      <c r="A1562" s="9">
        <v>1561</v>
      </c>
      <c r="B1562" s="10">
        <v>45129</v>
      </c>
      <c r="C1562" s="11" t="s">
        <v>124</v>
      </c>
      <c r="D1562" s="11" t="s">
        <v>83</v>
      </c>
      <c r="E1562" s="11" t="s">
        <v>74</v>
      </c>
      <c r="F1562" s="11" t="s">
        <v>142</v>
      </c>
      <c r="G1562" s="9">
        <v>21</v>
      </c>
      <c r="H1562" s="26">
        <v>12600</v>
      </c>
      <c r="I1562" s="9">
        <v>0</v>
      </c>
      <c r="J1562" s="9">
        <f t="shared" si="48"/>
        <v>264600</v>
      </c>
      <c r="K1562" s="9">
        <f t="shared" si="49"/>
        <v>264600</v>
      </c>
      <c r="L1562" s="11" t="s">
        <v>123</v>
      </c>
      <c r="M1562" s="11" t="s">
        <v>77</v>
      </c>
      <c r="N1562">
        <v>7</v>
      </c>
      <c r="O1562">
        <v>2023</v>
      </c>
      <c r="P1562" s="29" t="s">
        <v>724</v>
      </c>
      <c r="Q1562" t="s">
        <v>734</v>
      </c>
      <c r="R1562" t="s">
        <v>737</v>
      </c>
    </row>
    <row r="1563" spans="1:18" x14ac:dyDescent="0.25">
      <c r="A1563" s="6">
        <v>1562</v>
      </c>
      <c r="B1563" s="7">
        <v>44938</v>
      </c>
      <c r="C1563" s="8" t="s">
        <v>82</v>
      </c>
      <c r="D1563" s="8" t="s">
        <v>83</v>
      </c>
      <c r="E1563" s="8" t="s">
        <v>74</v>
      </c>
      <c r="F1563" s="8" t="s">
        <v>142</v>
      </c>
      <c r="G1563" s="6">
        <v>47</v>
      </c>
      <c r="H1563" s="25">
        <v>11700</v>
      </c>
      <c r="I1563" s="6">
        <v>15</v>
      </c>
      <c r="J1563" s="6">
        <f t="shared" si="48"/>
        <v>549900</v>
      </c>
      <c r="K1563" s="6">
        <f t="shared" si="49"/>
        <v>467415</v>
      </c>
      <c r="L1563" s="8" t="s">
        <v>76</v>
      </c>
      <c r="M1563" s="8" t="s">
        <v>77</v>
      </c>
      <c r="N1563">
        <v>1</v>
      </c>
      <c r="O1563">
        <v>2023</v>
      </c>
      <c r="P1563" s="29" t="s">
        <v>721</v>
      </c>
      <c r="Q1563" t="s">
        <v>735</v>
      </c>
      <c r="R1563" t="s">
        <v>737</v>
      </c>
    </row>
    <row r="1564" spans="1:18" x14ac:dyDescent="0.25">
      <c r="A1564" s="9">
        <v>1563</v>
      </c>
      <c r="B1564" s="10">
        <v>45371</v>
      </c>
      <c r="C1564" s="11" t="s">
        <v>88</v>
      </c>
      <c r="D1564" s="11" t="s">
        <v>83</v>
      </c>
      <c r="E1564" s="11" t="s">
        <v>84</v>
      </c>
      <c r="F1564" s="11" t="s">
        <v>200</v>
      </c>
      <c r="G1564" s="9">
        <v>49</v>
      </c>
      <c r="H1564" s="26">
        <v>3400</v>
      </c>
      <c r="I1564" s="9">
        <v>0</v>
      </c>
      <c r="J1564" s="9">
        <f t="shared" si="48"/>
        <v>166600</v>
      </c>
      <c r="K1564" s="9">
        <f t="shared" si="49"/>
        <v>166600</v>
      </c>
      <c r="L1564" s="11" t="s">
        <v>76</v>
      </c>
      <c r="M1564" s="11" t="s">
        <v>96</v>
      </c>
      <c r="N1564">
        <v>3</v>
      </c>
      <c r="O1564">
        <v>2024</v>
      </c>
      <c r="P1564" s="29" t="s">
        <v>711</v>
      </c>
      <c r="Q1564" t="s">
        <v>735</v>
      </c>
      <c r="R1564" t="s">
        <v>739</v>
      </c>
    </row>
    <row r="1565" spans="1:18" x14ac:dyDescent="0.25">
      <c r="A1565" s="6">
        <v>1564</v>
      </c>
      <c r="B1565" s="7">
        <v>45330</v>
      </c>
      <c r="C1565" s="8" t="s">
        <v>124</v>
      </c>
      <c r="D1565" s="8" t="s">
        <v>73</v>
      </c>
      <c r="E1565" s="8" t="s">
        <v>102</v>
      </c>
      <c r="F1565" s="8" t="s">
        <v>138</v>
      </c>
      <c r="G1565" s="6">
        <v>46</v>
      </c>
      <c r="H1565" s="25">
        <v>7000</v>
      </c>
      <c r="I1565" s="6">
        <v>0</v>
      </c>
      <c r="J1565" s="6">
        <f t="shared" si="48"/>
        <v>322000</v>
      </c>
      <c r="K1565" s="6">
        <f t="shared" si="49"/>
        <v>322000</v>
      </c>
      <c r="L1565" s="8" t="s">
        <v>76</v>
      </c>
      <c r="M1565" s="8" t="s">
        <v>77</v>
      </c>
      <c r="N1565">
        <v>2</v>
      </c>
      <c r="O1565">
        <v>2024</v>
      </c>
      <c r="P1565" s="29" t="s">
        <v>729</v>
      </c>
      <c r="Q1565" t="s">
        <v>735</v>
      </c>
      <c r="R1565" t="s">
        <v>737</v>
      </c>
    </row>
    <row r="1566" spans="1:18" x14ac:dyDescent="0.25">
      <c r="A1566" s="9">
        <v>1565</v>
      </c>
      <c r="B1566" s="10">
        <v>45070</v>
      </c>
      <c r="C1566" s="11" t="s">
        <v>108</v>
      </c>
      <c r="D1566" s="11" t="s">
        <v>73</v>
      </c>
      <c r="E1566" s="11" t="s">
        <v>102</v>
      </c>
      <c r="F1566" s="11" t="s">
        <v>103</v>
      </c>
      <c r="G1566" s="9">
        <v>16</v>
      </c>
      <c r="H1566" s="26">
        <v>11100</v>
      </c>
      <c r="I1566" s="9">
        <v>0</v>
      </c>
      <c r="J1566" s="9">
        <f t="shared" si="48"/>
        <v>177600</v>
      </c>
      <c r="K1566" s="9">
        <f t="shared" si="49"/>
        <v>177600</v>
      </c>
      <c r="L1566" s="11" t="s">
        <v>76</v>
      </c>
      <c r="M1566" s="11" t="s">
        <v>96</v>
      </c>
      <c r="N1566">
        <v>5</v>
      </c>
      <c r="O1566">
        <v>2023</v>
      </c>
      <c r="P1566" s="29" t="s">
        <v>730</v>
      </c>
      <c r="Q1566" t="s">
        <v>736</v>
      </c>
      <c r="R1566" t="s">
        <v>739</v>
      </c>
    </row>
    <row r="1567" spans="1:18" x14ac:dyDescent="0.25">
      <c r="A1567" s="6">
        <v>1566</v>
      </c>
      <c r="B1567" s="7">
        <v>45273</v>
      </c>
      <c r="C1567" s="8" t="s">
        <v>97</v>
      </c>
      <c r="D1567" s="8" t="s">
        <v>83</v>
      </c>
      <c r="E1567" s="8" t="s">
        <v>74</v>
      </c>
      <c r="F1567" s="8" t="s">
        <v>118</v>
      </c>
      <c r="G1567" s="6">
        <v>35</v>
      </c>
      <c r="H1567" s="25">
        <v>28600</v>
      </c>
      <c r="I1567" s="6">
        <v>15</v>
      </c>
      <c r="J1567" s="6">
        <f t="shared" si="48"/>
        <v>1001000</v>
      </c>
      <c r="K1567" s="6">
        <f t="shared" si="49"/>
        <v>850850</v>
      </c>
      <c r="L1567" s="8" t="s">
        <v>76</v>
      </c>
      <c r="M1567" s="8" t="s">
        <v>91</v>
      </c>
      <c r="N1567">
        <v>12</v>
      </c>
      <c r="O1567">
        <v>2023</v>
      </c>
      <c r="P1567" s="29" t="s">
        <v>725</v>
      </c>
      <c r="Q1567" t="s">
        <v>733</v>
      </c>
      <c r="R1567" t="s">
        <v>737</v>
      </c>
    </row>
    <row r="1568" spans="1:18" x14ac:dyDescent="0.25">
      <c r="A1568" s="9">
        <v>1567</v>
      </c>
      <c r="B1568" s="10">
        <v>45567</v>
      </c>
      <c r="C1568" s="11" t="s">
        <v>108</v>
      </c>
      <c r="D1568" s="11" t="s">
        <v>93</v>
      </c>
      <c r="E1568" s="11" t="s">
        <v>79</v>
      </c>
      <c r="F1568" s="11" t="s">
        <v>80</v>
      </c>
      <c r="G1568" s="9">
        <v>8</v>
      </c>
      <c r="H1568" s="26">
        <v>8600</v>
      </c>
      <c r="I1568" s="9">
        <v>0</v>
      </c>
      <c r="J1568" s="9">
        <f t="shared" si="48"/>
        <v>68800</v>
      </c>
      <c r="K1568" s="9">
        <f t="shared" si="49"/>
        <v>68800</v>
      </c>
      <c r="L1568" s="11" t="s">
        <v>187</v>
      </c>
      <c r="M1568" s="11" t="s">
        <v>96</v>
      </c>
      <c r="N1568">
        <v>10</v>
      </c>
      <c r="O1568">
        <v>2024</v>
      </c>
      <c r="P1568" s="29" t="s">
        <v>709</v>
      </c>
      <c r="Q1568" t="s">
        <v>733</v>
      </c>
      <c r="R1568" t="s">
        <v>739</v>
      </c>
    </row>
    <row r="1569" spans="1:18" x14ac:dyDescent="0.25">
      <c r="A1569" s="6">
        <v>1568</v>
      </c>
      <c r="B1569" s="7">
        <v>44994</v>
      </c>
      <c r="C1569" s="8" t="s">
        <v>78</v>
      </c>
      <c r="D1569" s="8" t="s">
        <v>93</v>
      </c>
      <c r="E1569" s="8" t="s">
        <v>79</v>
      </c>
      <c r="F1569" s="8" t="s">
        <v>136</v>
      </c>
      <c r="G1569" s="12">
        <v>45</v>
      </c>
      <c r="H1569" s="25">
        <v>90200</v>
      </c>
      <c r="I1569" s="6">
        <v>0</v>
      </c>
      <c r="J1569" s="6">
        <f t="shared" si="48"/>
        <v>4059000</v>
      </c>
      <c r="K1569" s="6">
        <f t="shared" si="49"/>
        <v>4059000</v>
      </c>
      <c r="L1569" s="8" t="s">
        <v>76</v>
      </c>
      <c r="M1569" s="8" t="s">
        <v>77</v>
      </c>
      <c r="N1569">
        <v>3</v>
      </c>
      <c r="O1569">
        <v>2023</v>
      </c>
      <c r="P1569" s="29" t="s">
        <v>719</v>
      </c>
      <c r="Q1569" t="s">
        <v>735</v>
      </c>
      <c r="R1569" t="s">
        <v>737</v>
      </c>
    </row>
    <row r="1570" spans="1:18" x14ac:dyDescent="0.25">
      <c r="A1570" s="9">
        <v>1569</v>
      </c>
      <c r="B1570" s="10">
        <v>45151</v>
      </c>
      <c r="C1570" s="11" t="s">
        <v>106</v>
      </c>
      <c r="D1570" s="11" t="s">
        <v>109</v>
      </c>
      <c r="E1570" s="11" t="s">
        <v>84</v>
      </c>
      <c r="F1570" s="11" t="s">
        <v>200</v>
      </c>
      <c r="G1570" s="9">
        <v>49</v>
      </c>
      <c r="H1570" s="26">
        <v>3100</v>
      </c>
      <c r="I1570" s="9">
        <v>0</v>
      </c>
      <c r="J1570" s="9">
        <f t="shared" si="48"/>
        <v>151900</v>
      </c>
      <c r="K1570" s="9">
        <f t="shared" si="49"/>
        <v>151900</v>
      </c>
      <c r="L1570" s="11" t="s">
        <v>76</v>
      </c>
      <c r="M1570" s="11" t="s">
        <v>91</v>
      </c>
      <c r="N1570">
        <v>8</v>
      </c>
      <c r="O1570">
        <v>2023</v>
      </c>
      <c r="P1570" s="29" t="s">
        <v>713</v>
      </c>
      <c r="Q1570" t="s">
        <v>734</v>
      </c>
      <c r="R1570" t="s">
        <v>739</v>
      </c>
    </row>
    <row r="1571" spans="1:18" x14ac:dyDescent="0.25">
      <c r="A1571" s="6">
        <v>1570</v>
      </c>
      <c r="B1571" s="7">
        <v>45449</v>
      </c>
      <c r="C1571" s="8" t="s">
        <v>101</v>
      </c>
      <c r="D1571" s="8" t="s">
        <v>83</v>
      </c>
      <c r="E1571" s="8" t="s">
        <v>79</v>
      </c>
      <c r="F1571" s="8" t="s">
        <v>115</v>
      </c>
      <c r="G1571" s="6">
        <v>3</v>
      </c>
      <c r="H1571" s="25">
        <v>9300</v>
      </c>
      <c r="I1571" s="6">
        <v>0</v>
      </c>
      <c r="J1571" s="6">
        <f t="shared" si="48"/>
        <v>27900</v>
      </c>
      <c r="K1571" s="6">
        <f t="shared" si="49"/>
        <v>27900</v>
      </c>
      <c r="L1571" s="8" t="s">
        <v>76</v>
      </c>
      <c r="M1571" s="8" t="s">
        <v>77</v>
      </c>
      <c r="N1571">
        <v>6</v>
      </c>
      <c r="O1571">
        <v>2024</v>
      </c>
      <c r="P1571" s="29" t="s">
        <v>720</v>
      </c>
      <c r="Q1571" t="s">
        <v>736</v>
      </c>
      <c r="R1571" t="s">
        <v>738</v>
      </c>
    </row>
    <row r="1572" spans="1:18" x14ac:dyDescent="0.25">
      <c r="A1572" s="6">
        <v>1571</v>
      </c>
      <c r="B1572" s="7">
        <v>45162</v>
      </c>
      <c r="C1572" s="8" t="s">
        <v>124</v>
      </c>
      <c r="D1572" s="8" t="s">
        <v>83</v>
      </c>
      <c r="E1572" s="8" t="s">
        <v>79</v>
      </c>
      <c r="F1572" s="8" t="s">
        <v>120</v>
      </c>
      <c r="G1572" s="6">
        <v>38</v>
      </c>
      <c r="H1572" s="25">
        <v>6500</v>
      </c>
      <c r="I1572" s="6">
        <v>5</v>
      </c>
      <c r="J1572" s="6">
        <f t="shared" si="48"/>
        <v>247000</v>
      </c>
      <c r="K1572" s="6">
        <f t="shared" si="49"/>
        <v>234650</v>
      </c>
      <c r="L1572" s="8" t="s">
        <v>107</v>
      </c>
      <c r="M1572" s="8" t="s">
        <v>81</v>
      </c>
      <c r="N1572">
        <v>8</v>
      </c>
      <c r="O1572">
        <v>2023</v>
      </c>
      <c r="P1572" s="29" t="s">
        <v>713</v>
      </c>
      <c r="Q1572" t="s">
        <v>734</v>
      </c>
      <c r="R1572" t="s">
        <v>737</v>
      </c>
    </row>
    <row r="1573" spans="1:18" x14ac:dyDescent="0.25">
      <c r="A1573" s="9">
        <v>1572</v>
      </c>
      <c r="B1573" s="10">
        <v>45085</v>
      </c>
      <c r="C1573" s="11" t="s">
        <v>108</v>
      </c>
      <c r="D1573" s="11" t="s">
        <v>93</v>
      </c>
      <c r="E1573" s="11" t="s">
        <v>79</v>
      </c>
      <c r="F1573" s="11" t="s">
        <v>179</v>
      </c>
      <c r="G1573" s="9">
        <v>24</v>
      </c>
      <c r="H1573" s="26">
        <v>2400</v>
      </c>
      <c r="I1573" s="9">
        <v>20</v>
      </c>
      <c r="J1573" s="9">
        <f t="shared" si="48"/>
        <v>57600</v>
      </c>
      <c r="K1573" s="9">
        <f t="shared" si="49"/>
        <v>46080</v>
      </c>
      <c r="L1573" s="11" t="s">
        <v>76</v>
      </c>
      <c r="M1573" s="11" t="s">
        <v>81</v>
      </c>
      <c r="N1573">
        <v>6</v>
      </c>
      <c r="O1573">
        <v>2023</v>
      </c>
      <c r="P1573" s="29" t="s">
        <v>723</v>
      </c>
      <c r="Q1573" t="s">
        <v>736</v>
      </c>
      <c r="R1573" t="s">
        <v>738</v>
      </c>
    </row>
    <row r="1574" spans="1:18" x14ac:dyDescent="0.25">
      <c r="A1574" s="6">
        <v>1573</v>
      </c>
      <c r="B1574" s="7">
        <v>45133</v>
      </c>
      <c r="C1574" s="8" t="s">
        <v>124</v>
      </c>
      <c r="D1574" s="8" t="s">
        <v>117</v>
      </c>
      <c r="E1574" s="8" t="s">
        <v>74</v>
      </c>
      <c r="F1574" s="8" t="s">
        <v>75</v>
      </c>
      <c r="G1574" s="6">
        <v>17</v>
      </c>
      <c r="H1574" s="25">
        <v>21600</v>
      </c>
      <c r="I1574" s="6">
        <v>5</v>
      </c>
      <c r="J1574" s="6">
        <f t="shared" si="48"/>
        <v>367200</v>
      </c>
      <c r="K1574" s="6">
        <f t="shared" si="49"/>
        <v>348840</v>
      </c>
      <c r="L1574" s="8" t="s">
        <v>76</v>
      </c>
      <c r="M1574" s="8" t="s">
        <v>96</v>
      </c>
      <c r="N1574">
        <v>7</v>
      </c>
      <c r="O1574">
        <v>2023</v>
      </c>
      <c r="P1574" s="29" t="s">
        <v>724</v>
      </c>
      <c r="Q1574" t="s">
        <v>734</v>
      </c>
      <c r="R1574" t="s">
        <v>737</v>
      </c>
    </row>
    <row r="1575" spans="1:18" x14ac:dyDescent="0.25">
      <c r="A1575" s="9">
        <v>1574</v>
      </c>
      <c r="B1575" s="10">
        <v>44956</v>
      </c>
      <c r="C1575" s="11" t="s">
        <v>119</v>
      </c>
      <c r="D1575" s="11" t="s">
        <v>93</v>
      </c>
      <c r="E1575" s="11" t="s">
        <v>102</v>
      </c>
      <c r="F1575" s="11" t="s">
        <v>151</v>
      </c>
      <c r="G1575" s="9">
        <v>8</v>
      </c>
      <c r="H1575" s="26">
        <v>7100</v>
      </c>
      <c r="I1575" s="9">
        <v>15</v>
      </c>
      <c r="J1575" s="9">
        <f t="shared" si="48"/>
        <v>56800</v>
      </c>
      <c r="K1575" s="9">
        <f t="shared" si="49"/>
        <v>48280</v>
      </c>
      <c r="L1575" s="11" t="s">
        <v>76</v>
      </c>
      <c r="M1575" s="11" t="s">
        <v>77</v>
      </c>
      <c r="N1575">
        <v>1</v>
      </c>
      <c r="O1575">
        <v>2023</v>
      </c>
      <c r="P1575" s="29" t="s">
        <v>721</v>
      </c>
      <c r="Q1575" t="s">
        <v>735</v>
      </c>
      <c r="R1575" t="s">
        <v>738</v>
      </c>
    </row>
    <row r="1576" spans="1:18" x14ac:dyDescent="0.25">
      <c r="A1576" s="6">
        <v>1575</v>
      </c>
      <c r="B1576" s="7">
        <v>45137</v>
      </c>
      <c r="C1576" s="8" t="s">
        <v>106</v>
      </c>
      <c r="D1576" s="8" t="s">
        <v>93</v>
      </c>
      <c r="E1576" s="8" t="s">
        <v>74</v>
      </c>
      <c r="F1576" s="8" t="s">
        <v>75</v>
      </c>
      <c r="G1576" s="6">
        <v>20</v>
      </c>
      <c r="H1576" s="25">
        <v>24700</v>
      </c>
      <c r="I1576" s="6">
        <v>15</v>
      </c>
      <c r="J1576" s="6">
        <f t="shared" si="48"/>
        <v>494000</v>
      </c>
      <c r="K1576" s="6">
        <f t="shared" si="49"/>
        <v>419900</v>
      </c>
      <c r="L1576" s="8" t="s">
        <v>76</v>
      </c>
      <c r="M1576" s="8" t="s">
        <v>77</v>
      </c>
      <c r="N1576">
        <v>7</v>
      </c>
      <c r="O1576">
        <v>2023</v>
      </c>
      <c r="P1576" s="29" t="s">
        <v>724</v>
      </c>
      <c r="Q1576" t="s">
        <v>734</v>
      </c>
      <c r="R1576" t="s">
        <v>737</v>
      </c>
    </row>
    <row r="1577" spans="1:18" x14ac:dyDescent="0.25">
      <c r="A1577" s="9">
        <v>1576</v>
      </c>
      <c r="B1577" s="10">
        <v>45361</v>
      </c>
      <c r="C1577" s="11" t="s">
        <v>106</v>
      </c>
      <c r="D1577" s="30" t="s">
        <v>703</v>
      </c>
      <c r="E1577" s="11" t="s">
        <v>74</v>
      </c>
      <c r="F1577" s="11" t="s">
        <v>75</v>
      </c>
      <c r="G1577" s="12">
        <v>20</v>
      </c>
      <c r="H1577" s="26">
        <v>22600</v>
      </c>
      <c r="I1577" s="9">
        <v>20</v>
      </c>
      <c r="J1577" s="9">
        <f t="shared" si="48"/>
        <v>452000</v>
      </c>
      <c r="K1577" s="9">
        <f t="shared" si="49"/>
        <v>361600</v>
      </c>
      <c r="L1577" s="11" t="s">
        <v>76</v>
      </c>
      <c r="M1577" s="11" t="s">
        <v>81</v>
      </c>
      <c r="N1577">
        <v>3</v>
      </c>
      <c r="O1577">
        <v>2024</v>
      </c>
      <c r="P1577" s="29" t="s">
        <v>711</v>
      </c>
      <c r="Q1577" t="s">
        <v>735</v>
      </c>
      <c r="R1577" t="s">
        <v>737</v>
      </c>
    </row>
    <row r="1578" spans="1:18" x14ac:dyDescent="0.25">
      <c r="A1578" s="6">
        <v>1577</v>
      </c>
      <c r="B1578" s="7">
        <v>45150</v>
      </c>
      <c r="C1578" s="8" t="s">
        <v>106</v>
      </c>
      <c r="D1578" s="8" t="s">
        <v>83</v>
      </c>
      <c r="E1578" s="8" t="s">
        <v>111</v>
      </c>
      <c r="F1578" s="8" t="s">
        <v>132</v>
      </c>
      <c r="G1578" s="6">
        <v>26</v>
      </c>
      <c r="H1578" s="25">
        <v>7600</v>
      </c>
      <c r="I1578" s="6">
        <v>5</v>
      </c>
      <c r="J1578" s="6">
        <f t="shared" si="48"/>
        <v>197600</v>
      </c>
      <c r="K1578" s="6">
        <f t="shared" si="49"/>
        <v>187720</v>
      </c>
      <c r="L1578" s="8" t="s">
        <v>76</v>
      </c>
      <c r="M1578" s="8" t="s">
        <v>81</v>
      </c>
      <c r="N1578">
        <v>8</v>
      </c>
      <c r="O1578">
        <v>2023</v>
      </c>
      <c r="P1578" s="29" t="s">
        <v>713</v>
      </c>
      <c r="Q1578" t="s">
        <v>734</v>
      </c>
      <c r="R1578" t="s">
        <v>739</v>
      </c>
    </row>
    <row r="1579" spans="1:18" x14ac:dyDescent="0.25">
      <c r="A1579" s="9">
        <v>1578</v>
      </c>
      <c r="B1579" s="10">
        <v>45448</v>
      </c>
      <c r="C1579" s="11" t="s">
        <v>82</v>
      </c>
      <c r="D1579" s="11" t="s">
        <v>93</v>
      </c>
      <c r="E1579" s="11" t="s">
        <v>74</v>
      </c>
      <c r="F1579" s="11" t="s">
        <v>75</v>
      </c>
      <c r="G1579" s="9">
        <v>7</v>
      </c>
      <c r="H1579" s="26">
        <v>20200</v>
      </c>
      <c r="I1579" s="9">
        <v>10</v>
      </c>
      <c r="J1579" s="9">
        <f t="shared" si="48"/>
        <v>141400</v>
      </c>
      <c r="K1579" s="9">
        <f t="shared" si="49"/>
        <v>127260</v>
      </c>
      <c r="L1579" s="11" t="s">
        <v>107</v>
      </c>
      <c r="M1579" s="11" t="s">
        <v>77</v>
      </c>
      <c r="N1579">
        <v>6</v>
      </c>
      <c r="O1579">
        <v>2024</v>
      </c>
      <c r="P1579" s="29" t="s">
        <v>720</v>
      </c>
      <c r="Q1579" t="s">
        <v>736</v>
      </c>
      <c r="R1579" t="s">
        <v>739</v>
      </c>
    </row>
    <row r="1580" spans="1:18" x14ac:dyDescent="0.25">
      <c r="A1580" s="6">
        <v>1579</v>
      </c>
      <c r="B1580" s="7">
        <v>44978</v>
      </c>
      <c r="C1580" s="8" t="s">
        <v>78</v>
      </c>
      <c r="D1580" s="8" t="s">
        <v>117</v>
      </c>
      <c r="E1580" s="8" t="s">
        <v>79</v>
      </c>
      <c r="F1580" s="8" t="s">
        <v>179</v>
      </c>
      <c r="G1580" s="6">
        <v>47</v>
      </c>
      <c r="H1580" s="25">
        <v>2500</v>
      </c>
      <c r="I1580" s="6">
        <v>0</v>
      </c>
      <c r="J1580" s="6">
        <f t="shared" si="48"/>
        <v>117500</v>
      </c>
      <c r="K1580" s="6">
        <f t="shared" si="49"/>
        <v>117500</v>
      </c>
      <c r="L1580" s="8" t="s">
        <v>76</v>
      </c>
      <c r="M1580" s="8" t="s">
        <v>81</v>
      </c>
      <c r="N1580">
        <v>2</v>
      </c>
      <c r="O1580">
        <v>2023</v>
      </c>
      <c r="P1580" s="29" t="s">
        <v>717</v>
      </c>
      <c r="Q1580" t="s">
        <v>735</v>
      </c>
      <c r="R1580" t="s">
        <v>739</v>
      </c>
    </row>
    <row r="1581" spans="1:18" x14ac:dyDescent="0.25">
      <c r="A1581" s="9">
        <v>1580</v>
      </c>
      <c r="B1581" s="10">
        <v>44981</v>
      </c>
      <c r="C1581" s="11" t="s">
        <v>88</v>
      </c>
      <c r="D1581" s="11" t="s">
        <v>109</v>
      </c>
      <c r="E1581" s="11" t="s">
        <v>84</v>
      </c>
      <c r="F1581" s="11" t="s">
        <v>148</v>
      </c>
      <c r="G1581" s="9">
        <v>24</v>
      </c>
      <c r="H1581" s="26">
        <v>5200</v>
      </c>
      <c r="I1581" s="9">
        <v>15</v>
      </c>
      <c r="J1581" s="9">
        <f t="shared" si="48"/>
        <v>124800</v>
      </c>
      <c r="K1581" s="9">
        <f t="shared" si="49"/>
        <v>106080</v>
      </c>
      <c r="L1581" s="11" t="s">
        <v>76</v>
      </c>
      <c r="M1581" s="11" t="s">
        <v>91</v>
      </c>
      <c r="N1581">
        <v>2</v>
      </c>
      <c r="O1581">
        <v>2023</v>
      </c>
      <c r="P1581" s="29" t="s">
        <v>717</v>
      </c>
      <c r="Q1581" t="s">
        <v>735</v>
      </c>
      <c r="R1581" t="s">
        <v>739</v>
      </c>
    </row>
    <row r="1582" spans="1:18" x14ac:dyDescent="0.25">
      <c r="A1582" s="6">
        <v>1581</v>
      </c>
      <c r="B1582" s="7">
        <v>44949</v>
      </c>
      <c r="C1582" s="8" t="s">
        <v>101</v>
      </c>
      <c r="D1582" s="8" t="s">
        <v>73</v>
      </c>
      <c r="E1582" s="8" t="s">
        <v>79</v>
      </c>
      <c r="F1582" s="8" t="s">
        <v>179</v>
      </c>
      <c r="G1582" s="6">
        <v>30</v>
      </c>
      <c r="H1582" s="25">
        <v>2300</v>
      </c>
      <c r="I1582" s="6">
        <v>0</v>
      </c>
      <c r="J1582" s="6">
        <f t="shared" si="48"/>
        <v>69000</v>
      </c>
      <c r="K1582" s="6">
        <f t="shared" si="49"/>
        <v>69000</v>
      </c>
      <c r="L1582" s="8" t="s">
        <v>123</v>
      </c>
      <c r="M1582" s="8" t="s">
        <v>81</v>
      </c>
      <c r="N1582">
        <v>1</v>
      </c>
      <c r="O1582">
        <v>2023</v>
      </c>
      <c r="P1582" s="29" t="s">
        <v>721</v>
      </c>
      <c r="Q1582" t="s">
        <v>735</v>
      </c>
      <c r="R1582" t="s">
        <v>739</v>
      </c>
    </row>
    <row r="1583" spans="1:18" x14ac:dyDescent="0.25">
      <c r="A1583" s="9">
        <v>1582</v>
      </c>
      <c r="B1583" s="10">
        <v>45578</v>
      </c>
      <c r="C1583" s="11" t="s">
        <v>78</v>
      </c>
      <c r="D1583" s="11" t="s">
        <v>83</v>
      </c>
      <c r="E1583" s="11" t="s">
        <v>84</v>
      </c>
      <c r="F1583" s="11" t="s">
        <v>206</v>
      </c>
      <c r="G1583" s="9">
        <v>47</v>
      </c>
      <c r="H1583" s="26">
        <v>13000</v>
      </c>
      <c r="I1583" s="9">
        <v>0</v>
      </c>
      <c r="J1583" s="9">
        <f t="shared" si="48"/>
        <v>611000</v>
      </c>
      <c r="K1583" s="9">
        <f t="shared" si="49"/>
        <v>611000</v>
      </c>
      <c r="L1583" s="11" t="s">
        <v>76</v>
      </c>
      <c r="M1583" s="11" t="s">
        <v>96</v>
      </c>
      <c r="N1583">
        <v>10</v>
      </c>
      <c r="O1583">
        <v>2024</v>
      </c>
      <c r="P1583" s="29" t="s">
        <v>709</v>
      </c>
      <c r="Q1583" t="s">
        <v>733</v>
      </c>
      <c r="R1583" t="s">
        <v>737</v>
      </c>
    </row>
    <row r="1584" spans="1:18" x14ac:dyDescent="0.25">
      <c r="A1584" s="6">
        <v>1583</v>
      </c>
      <c r="B1584" s="7">
        <v>44950</v>
      </c>
      <c r="C1584" s="8" t="s">
        <v>124</v>
      </c>
      <c r="D1584" s="8" t="s">
        <v>83</v>
      </c>
      <c r="E1584" s="8" t="s">
        <v>79</v>
      </c>
      <c r="F1584" s="8" t="s">
        <v>122</v>
      </c>
      <c r="G1584" s="6">
        <v>26</v>
      </c>
      <c r="H1584" s="25">
        <v>17200</v>
      </c>
      <c r="I1584" s="6">
        <v>0</v>
      </c>
      <c r="J1584" s="6">
        <f t="shared" si="48"/>
        <v>447200</v>
      </c>
      <c r="K1584" s="6">
        <f t="shared" si="49"/>
        <v>447200</v>
      </c>
      <c r="L1584" s="8" t="s">
        <v>187</v>
      </c>
      <c r="M1584" s="8" t="s">
        <v>77</v>
      </c>
      <c r="N1584">
        <v>1</v>
      </c>
      <c r="O1584">
        <v>2023</v>
      </c>
      <c r="P1584" s="29" t="s">
        <v>721</v>
      </c>
      <c r="Q1584" t="s">
        <v>735</v>
      </c>
      <c r="R1584" t="s">
        <v>737</v>
      </c>
    </row>
    <row r="1585" spans="1:18" x14ac:dyDescent="0.25">
      <c r="A1585" s="9">
        <v>1584</v>
      </c>
      <c r="B1585" s="10">
        <v>45436</v>
      </c>
      <c r="C1585" s="11" t="s">
        <v>114</v>
      </c>
      <c r="D1585" s="11" t="s">
        <v>83</v>
      </c>
      <c r="E1585" s="11" t="s">
        <v>111</v>
      </c>
      <c r="F1585" s="11" t="s">
        <v>166</v>
      </c>
      <c r="G1585" s="9">
        <v>37</v>
      </c>
      <c r="H1585" s="26">
        <v>32000</v>
      </c>
      <c r="I1585" s="9">
        <v>20</v>
      </c>
      <c r="J1585" s="9">
        <f t="shared" si="48"/>
        <v>1184000</v>
      </c>
      <c r="K1585" s="9">
        <f t="shared" si="49"/>
        <v>947200</v>
      </c>
      <c r="L1585" s="11" t="s">
        <v>107</v>
      </c>
      <c r="M1585" s="11" t="s">
        <v>77</v>
      </c>
      <c r="N1585">
        <v>5</v>
      </c>
      <c r="O1585">
        <v>2024</v>
      </c>
      <c r="P1585" s="29" t="s">
        <v>732</v>
      </c>
      <c r="Q1585" t="s">
        <v>736</v>
      </c>
      <c r="R1585" t="s">
        <v>737</v>
      </c>
    </row>
    <row r="1586" spans="1:18" x14ac:dyDescent="0.25">
      <c r="A1586" s="6">
        <v>1585</v>
      </c>
      <c r="B1586" s="7">
        <v>45214</v>
      </c>
      <c r="C1586" s="8" t="s">
        <v>101</v>
      </c>
      <c r="D1586" s="8" t="s">
        <v>83</v>
      </c>
      <c r="E1586" s="8" t="s">
        <v>84</v>
      </c>
      <c r="F1586" s="8" t="s">
        <v>134</v>
      </c>
      <c r="G1586" s="6">
        <v>18</v>
      </c>
      <c r="H1586" s="25">
        <v>8700</v>
      </c>
      <c r="I1586" s="6">
        <v>0</v>
      </c>
      <c r="J1586" s="6">
        <f t="shared" si="48"/>
        <v>156600</v>
      </c>
      <c r="K1586" s="6">
        <f t="shared" si="49"/>
        <v>156600</v>
      </c>
      <c r="L1586" s="8" t="s">
        <v>123</v>
      </c>
      <c r="M1586" s="8" t="s">
        <v>81</v>
      </c>
      <c r="N1586">
        <v>10</v>
      </c>
      <c r="O1586">
        <v>2023</v>
      </c>
      <c r="P1586" s="29" t="s">
        <v>726</v>
      </c>
      <c r="Q1586" t="s">
        <v>733</v>
      </c>
      <c r="R1586" t="s">
        <v>739</v>
      </c>
    </row>
    <row r="1587" spans="1:18" x14ac:dyDescent="0.25">
      <c r="A1587" s="9">
        <v>1586</v>
      </c>
      <c r="B1587" s="10">
        <v>45485</v>
      </c>
      <c r="C1587" s="11" t="s">
        <v>119</v>
      </c>
      <c r="D1587" s="11" t="s">
        <v>73</v>
      </c>
      <c r="E1587" s="11" t="s">
        <v>79</v>
      </c>
      <c r="F1587" s="11" t="s">
        <v>115</v>
      </c>
      <c r="G1587" s="9">
        <v>45</v>
      </c>
      <c r="H1587" s="26">
        <v>9400</v>
      </c>
      <c r="I1587" s="9">
        <v>15</v>
      </c>
      <c r="J1587" s="9">
        <f t="shared" si="48"/>
        <v>423000</v>
      </c>
      <c r="K1587" s="9">
        <f t="shared" si="49"/>
        <v>359550</v>
      </c>
      <c r="L1587" s="11" t="s">
        <v>76</v>
      </c>
      <c r="M1587" s="11" t="s">
        <v>81</v>
      </c>
      <c r="N1587">
        <v>7</v>
      </c>
      <c r="O1587">
        <v>2024</v>
      </c>
      <c r="P1587" s="29" t="s">
        <v>712</v>
      </c>
      <c r="Q1587" t="s">
        <v>734</v>
      </c>
      <c r="R1587" t="s">
        <v>737</v>
      </c>
    </row>
    <row r="1588" spans="1:18" x14ac:dyDescent="0.25">
      <c r="A1588" s="6">
        <v>1587</v>
      </c>
      <c r="B1588" s="7">
        <v>44975</v>
      </c>
      <c r="C1588" s="8" t="s">
        <v>101</v>
      </c>
      <c r="D1588" s="30" t="s">
        <v>703</v>
      </c>
      <c r="E1588" s="8" t="s">
        <v>79</v>
      </c>
      <c r="F1588" s="8" t="s">
        <v>120</v>
      </c>
      <c r="G1588" s="12">
        <v>31</v>
      </c>
      <c r="H1588" s="25">
        <v>6100</v>
      </c>
      <c r="I1588" s="6">
        <v>15</v>
      </c>
      <c r="J1588" s="6">
        <f t="shared" si="48"/>
        <v>189100</v>
      </c>
      <c r="K1588" s="6">
        <f t="shared" si="49"/>
        <v>160735</v>
      </c>
      <c r="L1588" s="8" t="s">
        <v>76</v>
      </c>
      <c r="M1588" s="8" t="s">
        <v>96</v>
      </c>
      <c r="N1588">
        <v>2</v>
      </c>
      <c r="O1588">
        <v>2023</v>
      </c>
      <c r="P1588" s="29" t="s">
        <v>717</v>
      </c>
      <c r="Q1588" t="s">
        <v>735</v>
      </c>
      <c r="R1588" t="s">
        <v>739</v>
      </c>
    </row>
    <row r="1589" spans="1:18" x14ac:dyDescent="0.25">
      <c r="A1589" s="9">
        <v>1588</v>
      </c>
      <c r="B1589" s="10">
        <v>45307</v>
      </c>
      <c r="C1589" s="11" t="s">
        <v>82</v>
      </c>
      <c r="D1589" s="11" t="s">
        <v>93</v>
      </c>
      <c r="E1589" s="11" t="s">
        <v>84</v>
      </c>
      <c r="F1589" s="11" t="s">
        <v>200</v>
      </c>
      <c r="G1589" s="9">
        <v>23</v>
      </c>
      <c r="H1589" s="26">
        <v>3500</v>
      </c>
      <c r="I1589" s="9">
        <v>0</v>
      </c>
      <c r="J1589" s="9">
        <f t="shared" si="48"/>
        <v>80500</v>
      </c>
      <c r="K1589" s="9">
        <f t="shared" si="49"/>
        <v>80500</v>
      </c>
      <c r="L1589" s="11" t="s">
        <v>76</v>
      </c>
      <c r="M1589" s="11" t="s">
        <v>91</v>
      </c>
      <c r="N1589">
        <v>1</v>
      </c>
      <c r="O1589">
        <v>2024</v>
      </c>
      <c r="P1589" s="29" t="s">
        <v>727</v>
      </c>
      <c r="Q1589" t="s">
        <v>735</v>
      </c>
      <c r="R1589" t="s">
        <v>739</v>
      </c>
    </row>
    <row r="1590" spans="1:18" x14ac:dyDescent="0.25">
      <c r="A1590" s="6">
        <v>1589</v>
      </c>
      <c r="B1590" s="7">
        <v>45405</v>
      </c>
      <c r="C1590" s="8" t="s">
        <v>88</v>
      </c>
      <c r="D1590" s="8" t="s">
        <v>117</v>
      </c>
      <c r="E1590" s="8" t="s">
        <v>84</v>
      </c>
      <c r="F1590" s="8" t="s">
        <v>85</v>
      </c>
      <c r="G1590" s="6">
        <v>27</v>
      </c>
      <c r="H1590" s="25">
        <v>5800</v>
      </c>
      <c r="I1590" s="6">
        <v>0</v>
      </c>
      <c r="J1590" s="6">
        <f t="shared" si="48"/>
        <v>156600</v>
      </c>
      <c r="K1590" s="6">
        <f t="shared" si="49"/>
        <v>156600</v>
      </c>
      <c r="L1590" s="8" t="s">
        <v>76</v>
      </c>
      <c r="M1590" s="8" t="s">
        <v>91</v>
      </c>
      <c r="N1590">
        <v>4</v>
      </c>
      <c r="O1590">
        <v>2024</v>
      </c>
      <c r="P1590" s="29" t="s">
        <v>722</v>
      </c>
      <c r="Q1590" t="s">
        <v>736</v>
      </c>
      <c r="R1590" t="s">
        <v>739</v>
      </c>
    </row>
    <row r="1591" spans="1:18" x14ac:dyDescent="0.25">
      <c r="A1591" s="9">
        <v>1590</v>
      </c>
      <c r="B1591" s="10">
        <v>45513</v>
      </c>
      <c r="C1591" s="11" t="s">
        <v>101</v>
      </c>
      <c r="D1591" s="11" t="s">
        <v>109</v>
      </c>
      <c r="E1591" s="11" t="s">
        <v>74</v>
      </c>
      <c r="F1591" s="11" t="s">
        <v>212</v>
      </c>
      <c r="G1591" s="9">
        <v>29</v>
      </c>
      <c r="H1591" s="26">
        <v>8500</v>
      </c>
      <c r="I1591" s="9">
        <v>0</v>
      </c>
      <c r="J1591" s="9">
        <f t="shared" si="48"/>
        <v>246500</v>
      </c>
      <c r="K1591" s="9">
        <f t="shared" si="49"/>
        <v>246500</v>
      </c>
      <c r="L1591" s="11" t="s">
        <v>187</v>
      </c>
      <c r="M1591" s="11" t="s">
        <v>81</v>
      </c>
      <c r="N1591">
        <v>8</v>
      </c>
      <c r="O1591">
        <v>2024</v>
      </c>
      <c r="P1591" s="29" t="s">
        <v>710</v>
      </c>
      <c r="Q1591" t="s">
        <v>734</v>
      </c>
      <c r="R1591" t="s">
        <v>737</v>
      </c>
    </row>
    <row r="1592" spans="1:18" x14ac:dyDescent="0.25">
      <c r="A1592" s="6">
        <v>1591</v>
      </c>
      <c r="B1592" s="7">
        <v>45278</v>
      </c>
      <c r="C1592" s="8" t="s">
        <v>82</v>
      </c>
      <c r="D1592" s="8" t="s">
        <v>109</v>
      </c>
      <c r="E1592" s="8" t="s">
        <v>102</v>
      </c>
      <c r="F1592" s="8" t="s">
        <v>157</v>
      </c>
      <c r="G1592" s="6">
        <v>48</v>
      </c>
      <c r="H1592" s="25">
        <v>12400</v>
      </c>
      <c r="I1592" s="6">
        <v>20</v>
      </c>
      <c r="J1592" s="6">
        <f t="shared" si="48"/>
        <v>595200</v>
      </c>
      <c r="K1592" s="6">
        <f t="shared" si="49"/>
        <v>476160</v>
      </c>
      <c r="L1592" s="8" t="s">
        <v>76</v>
      </c>
      <c r="M1592" s="8" t="s">
        <v>81</v>
      </c>
      <c r="N1592">
        <v>12</v>
      </c>
      <c r="O1592">
        <v>2023</v>
      </c>
      <c r="P1592" s="29" t="s">
        <v>725</v>
      </c>
      <c r="Q1592" t="s">
        <v>733</v>
      </c>
      <c r="R1592" t="s">
        <v>737</v>
      </c>
    </row>
    <row r="1593" spans="1:18" x14ac:dyDescent="0.25">
      <c r="A1593" s="9">
        <v>1592</v>
      </c>
      <c r="B1593" s="10">
        <v>45137</v>
      </c>
      <c r="C1593" s="11" t="s">
        <v>114</v>
      </c>
      <c r="D1593" s="11" t="s">
        <v>73</v>
      </c>
      <c r="E1593" s="11" t="s">
        <v>111</v>
      </c>
      <c r="F1593" s="11" t="s">
        <v>112</v>
      </c>
      <c r="G1593" s="9">
        <v>35</v>
      </c>
      <c r="H1593" s="26">
        <v>74600</v>
      </c>
      <c r="I1593" s="9">
        <v>10</v>
      </c>
      <c r="J1593" s="9">
        <f t="shared" si="48"/>
        <v>2611000</v>
      </c>
      <c r="K1593" s="9">
        <f t="shared" si="49"/>
        <v>2349900</v>
      </c>
      <c r="L1593" s="11" t="s">
        <v>76</v>
      </c>
      <c r="M1593" s="11" t="s">
        <v>77</v>
      </c>
      <c r="N1593">
        <v>7</v>
      </c>
      <c r="O1593">
        <v>2023</v>
      </c>
      <c r="P1593" s="29" t="s">
        <v>724</v>
      </c>
      <c r="Q1593" t="s">
        <v>734</v>
      </c>
      <c r="R1593" t="s">
        <v>737</v>
      </c>
    </row>
    <row r="1594" spans="1:18" x14ac:dyDescent="0.25">
      <c r="A1594" s="6">
        <v>1593</v>
      </c>
      <c r="B1594" s="7">
        <v>45047</v>
      </c>
      <c r="C1594" s="8" t="s">
        <v>101</v>
      </c>
      <c r="D1594" s="8" t="s">
        <v>93</v>
      </c>
      <c r="E1594" s="8" t="s">
        <v>84</v>
      </c>
      <c r="F1594" s="8" t="s">
        <v>90</v>
      </c>
      <c r="G1594" s="6">
        <v>22</v>
      </c>
      <c r="H1594" s="25">
        <v>1900</v>
      </c>
      <c r="I1594" s="6">
        <v>0</v>
      </c>
      <c r="J1594" s="6">
        <f t="shared" si="48"/>
        <v>41800</v>
      </c>
      <c r="K1594" s="6">
        <f t="shared" si="49"/>
        <v>41800</v>
      </c>
      <c r="L1594" s="8" t="s">
        <v>76</v>
      </c>
      <c r="M1594" s="8" t="s">
        <v>96</v>
      </c>
      <c r="N1594">
        <v>5</v>
      </c>
      <c r="O1594">
        <v>2023</v>
      </c>
      <c r="P1594" s="29" t="s">
        <v>730</v>
      </c>
      <c r="Q1594" t="s">
        <v>736</v>
      </c>
      <c r="R1594" t="s">
        <v>738</v>
      </c>
    </row>
    <row r="1595" spans="1:18" x14ac:dyDescent="0.25">
      <c r="A1595" s="9">
        <v>1594</v>
      </c>
      <c r="B1595" s="10">
        <v>45309</v>
      </c>
      <c r="C1595" s="11" t="s">
        <v>82</v>
      </c>
      <c r="D1595" s="11" t="s">
        <v>83</v>
      </c>
      <c r="E1595" s="11" t="s">
        <v>102</v>
      </c>
      <c r="F1595" s="11" t="s">
        <v>151</v>
      </c>
      <c r="G1595" s="9">
        <v>23</v>
      </c>
      <c r="H1595" s="26">
        <v>7200</v>
      </c>
      <c r="I1595" s="9">
        <v>0</v>
      </c>
      <c r="J1595" s="9">
        <f t="shared" si="48"/>
        <v>165600</v>
      </c>
      <c r="K1595" s="9">
        <f t="shared" si="49"/>
        <v>165600</v>
      </c>
      <c r="L1595" s="11" t="s">
        <v>187</v>
      </c>
      <c r="M1595" s="11" t="s">
        <v>77</v>
      </c>
      <c r="N1595">
        <v>1</v>
      </c>
      <c r="O1595">
        <v>2024</v>
      </c>
      <c r="P1595" s="29" t="s">
        <v>727</v>
      </c>
      <c r="Q1595" t="s">
        <v>735</v>
      </c>
      <c r="R1595" t="s">
        <v>739</v>
      </c>
    </row>
    <row r="1596" spans="1:18" x14ac:dyDescent="0.25">
      <c r="A1596" s="6">
        <v>1595</v>
      </c>
      <c r="B1596" s="7">
        <v>45582</v>
      </c>
      <c r="C1596" s="8" t="s">
        <v>119</v>
      </c>
      <c r="D1596" s="8" t="s">
        <v>109</v>
      </c>
      <c r="E1596" s="8" t="s">
        <v>84</v>
      </c>
      <c r="F1596" s="8" t="s">
        <v>206</v>
      </c>
      <c r="G1596" s="6">
        <v>33</v>
      </c>
      <c r="H1596" s="25">
        <v>15700</v>
      </c>
      <c r="I1596" s="6">
        <v>0</v>
      </c>
      <c r="J1596" s="6">
        <f t="shared" si="48"/>
        <v>518100</v>
      </c>
      <c r="K1596" s="6">
        <f t="shared" si="49"/>
        <v>518100</v>
      </c>
      <c r="L1596" s="8" t="s">
        <v>187</v>
      </c>
      <c r="M1596" s="8" t="s">
        <v>91</v>
      </c>
      <c r="N1596">
        <v>10</v>
      </c>
      <c r="O1596">
        <v>2024</v>
      </c>
      <c r="P1596" s="29" t="s">
        <v>709</v>
      </c>
      <c r="Q1596" t="s">
        <v>733</v>
      </c>
      <c r="R1596" t="s">
        <v>737</v>
      </c>
    </row>
    <row r="1597" spans="1:18" x14ac:dyDescent="0.25">
      <c r="A1597" s="9">
        <v>1596</v>
      </c>
      <c r="B1597" s="10">
        <v>45000</v>
      </c>
      <c r="C1597" s="11" t="s">
        <v>101</v>
      </c>
      <c r="D1597" s="11" t="s">
        <v>109</v>
      </c>
      <c r="E1597" s="11" t="s">
        <v>111</v>
      </c>
      <c r="F1597" s="11" t="s">
        <v>135</v>
      </c>
      <c r="G1597" s="9">
        <v>35</v>
      </c>
      <c r="H1597" s="26">
        <v>127200</v>
      </c>
      <c r="I1597" s="9">
        <v>0</v>
      </c>
      <c r="J1597" s="9">
        <f t="shared" si="48"/>
        <v>4452000</v>
      </c>
      <c r="K1597" s="9">
        <f t="shared" si="49"/>
        <v>4452000</v>
      </c>
      <c r="L1597" s="11" t="s">
        <v>76</v>
      </c>
      <c r="M1597" s="11" t="s">
        <v>81</v>
      </c>
      <c r="N1597">
        <v>3</v>
      </c>
      <c r="O1597">
        <v>2023</v>
      </c>
      <c r="P1597" s="29" t="s">
        <v>719</v>
      </c>
      <c r="Q1597" t="s">
        <v>735</v>
      </c>
      <c r="R1597" t="s">
        <v>737</v>
      </c>
    </row>
    <row r="1598" spans="1:18" x14ac:dyDescent="0.25">
      <c r="A1598" s="6">
        <v>1597</v>
      </c>
      <c r="B1598" s="7">
        <v>44943</v>
      </c>
      <c r="C1598" s="8" t="s">
        <v>78</v>
      </c>
      <c r="D1598" s="8" t="s">
        <v>117</v>
      </c>
      <c r="E1598" s="8" t="s">
        <v>79</v>
      </c>
      <c r="F1598" s="8" t="s">
        <v>80</v>
      </c>
      <c r="G1598" s="6">
        <v>50</v>
      </c>
      <c r="H1598" s="25">
        <v>8000</v>
      </c>
      <c r="I1598" s="6">
        <v>0</v>
      </c>
      <c r="J1598" s="6">
        <f t="shared" si="48"/>
        <v>400000</v>
      </c>
      <c r="K1598" s="6">
        <f t="shared" si="49"/>
        <v>400000</v>
      </c>
      <c r="L1598" s="8" t="s">
        <v>187</v>
      </c>
      <c r="M1598" s="8" t="s">
        <v>77</v>
      </c>
      <c r="N1598">
        <v>1</v>
      </c>
      <c r="O1598">
        <v>2023</v>
      </c>
      <c r="P1598" s="29" t="s">
        <v>721</v>
      </c>
      <c r="Q1598" t="s">
        <v>735</v>
      </c>
      <c r="R1598" t="s">
        <v>737</v>
      </c>
    </row>
    <row r="1599" spans="1:18" x14ac:dyDescent="0.25">
      <c r="A1599" s="9">
        <v>1598</v>
      </c>
      <c r="B1599" s="10">
        <v>45508</v>
      </c>
      <c r="C1599" s="11" t="s">
        <v>97</v>
      </c>
      <c r="D1599" s="11" t="s">
        <v>83</v>
      </c>
      <c r="E1599" s="11" t="s">
        <v>74</v>
      </c>
      <c r="F1599" s="11" t="s">
        <v>140</v>
      </c>
      <c r="G1599" s="9">
        <v>39</v>
      </c>
      <c r="H1599" s="26">
        <v>4100</v>
      </c>
      <c r="I1599" s="9">
        <v>0</v>
      </c>
      <c r="J1599" s="9">
        <f t="shared" si="48"/>
        <v>159900</v>
      </c>
      <c r="K1599" s="9">
        <f t="shared" si="49"/>
        <v>159900</v>
      </c>
      <c r="L1599" s="11" t="s">
        <v>76</v>
      </c>
      <c r="M1599" s="11" t="s">
        <v>91</v>
      </c>
      <c r="N1599">
        <v>8</v>
      </c>
      <c r="O1599">
        <v>2024</v>
      </c>
      <c r="P1599" s="29" t="s">
        <v>710</v>
      </c>
      <c r="Q1599" t="s">
        <v>734</v>
      </c>
      <c r="R1599" t="s">
        <v>739</v>
      </c>
    </row>
    <row r="1600" spans="1:18" x14ac:dyDescent="0.25">
      <c r="A1600" s="6">
        <v>1599</v>
      </c>
      <c r="B1600" s="7">
        <v>44965</v>
      </c>
      <c r="C1600" s="8" t="s">
        <v>101</v>
      </c>
      <c r="D1600" s="8" t="s">
        <v>83</v>
      </c>
      <c r="E1600" s="8" t="s">
        <v>102</v>
      </c>
      <c r="F1600" s="8" t="s">
        <v>197</v>
      </c>
      <c r="G1600" s="6">
        <v>38</v>
      </c>
      <c r="H1600" s="25">
        <v>4000</v>
      </c>
      <c r="I1600" s="6">
        <v>0</v>
      </c>
      <c r="J1600" s="6">
        <f t="shared" si="48"/>
        <v>152000</v>
      </c>
      <c r="K1600" s="6">
        <f t="shared" si="49"/>
        <v>152000</v>
      </c>
      <c r="L1600" s="8" t="s">
        <v>76</v>
      </c>
      <c r="M1600" s="31" t="s">
        <v>695</v>
      </c>
      <c r="N1600">
        <v>2</v>
      </c>
      <c r="O1600">
        <v>2023</v>
      </c>
      <c r="P1600" s="29" t="s">
        <v>717</v>
      </c>
      <c r="Q1600" t="s">
        <v>735</v>
      </c>
      <c r="R1600" t="s">
        <v>739</v>
      </c>
    </row>
    <row r="1601" spans="1:18" x14ac:dyDescent="0.25">
      <c r="A1601" s="9">
        <v>1600</v>
      </c>
      <c r="B1601" s="10">
        <v>45438</v>
      </c>
      <c r="C1601" s="11" t="s">
        <v>88</v>
      </c>
      <c r="D1601" s="11" t="s">
        <v>117</v>
      </c>
      <c r="E1601" s="11" t="s">
        <v>79</v>
      </c>
      <c r="F1601" s="11" t="s">
        <v>179</v>
      </c>
      <c r="G1601" s="9">
        <v>25</v>
      </c>
      <c r="H1601" s="26">
        <v>2700</v>
      </c>
      <c r="I1601" s="9">
        <v>5</v>
      </c>
      <c r="J1601" s="9">
        <f t="shared" si="48"/>
        <v>67500</v>
      </c>
      <c r="K1601" s="9">
        <f t="shared" si="49"/>
        <v>64125</v>
      </c>
      <c r="L1601" s="11" t="s">
        <v>187</v>
      </c>
      <c r="M1601" s="11" t="s">
        <v>77</v>
      </c>
      <c r="N1601">
        <v>5</v>
      </c>
      <c r="O1601">
        <v>2024</v>
      </c>
      <c r="P1601" s="29" t="s">
        <v>732</v>
      </c>
      <c r="Q1601" t="s">
        <v>736</v>
      </c>
      <c r="R1601" t="s">
        <v>739</v>
      </c>
    </row>
    <row r="1602" spans="1:18" x14ac:dyDescent="0.25">
      <c r="A1602" s="6">
        <v>1601</v>
      </c>
      <c r="B1602" s="7">
        <v>45455</v>
      </c>
      <c r="C1602" s="8" t="s">
        <v>124</v>
      </c>
      <c r="D1602" s="8" t="s">
        <v>93</v>
      </c>
      <c r="E1602" s="8" t="s">
        <v>74</v>
      </c>
      <c r="F1602" s="8" t="s">
        <v>99</v>
      </c>
      <c r="G1602" s="6">
        <v>25</v>
      </c>
      <c r="H1602" s="25">
        <v>4000</v>
      </c>
      <c r="I1602" s="6">
        <v>20</v>
      </c>
      <c r="J1602" s="6">
        <f t="shared" ref="J1602:J1665" si="50">G1602*H1602</f>
        <v>100000</v>
      </c>
      <c r="K1602" s="6">
        <f t="shared" ref="K1602:K1665" si="51">J1602*(1-I1602/100)</f>
        <v>80000</v>
      </c>
      <c r="L1602" s="8" t="s">
        <v>76</v>
      </c>
      <c r="M1602" s="8" t="s">
        <v>91</v>
      </c>
      <c r="N1602">
        <v>6</v>
      </c>
      <c r="O1602">
        <v>2024</v>
      </c>
      <c r="P1602" s="29" t="s">
        <v>720</v>
      </c>
      <c r="Q1602" t="s">
        <v>736</v>
      </c>
      <c r="R1602" t="s">
        <v>739</v>
      </c>
    </row>
    <row r="1603" spans="1:18" x14ac:dyDescent="0.25">
      <c r="A1603" s="9">
        <v>1602</v>
      </c>
      <c r="B1603" s="10">
        <v>45015</v>
      </c>
      <c r="C1603" s="11" t="s">
        <v>119</v>
      </c>
      <c r="D1603" s="30" t="s">
        <v>703</v>
      </c>
      <c r="E1603" s="11" t="s">
        <v>102</v>
      </c>
      <c r="F1603" s="11" t="s">
        <v>137</v>
      </c>
      <c r="G1603" s="9">
        <v>47</v>
      </c>
      <c r="H1603" s="26">
        <v>2000</v>
      </c>
      <c r="I1603" s="9">
        <v>5</v>
      </c>
      <c r="J1603" s="9">
        <f t="shared" si="50"/>
        <v>94000</v>
      </c>
      <c r="K1603" s="9">
        <f t="shared" si="51"/>
        <v>89300</v>
      </c>
      <c r="L1603" s="11" t="s">
        <v>187</v>
      </c>
      <c r="M1603" s="11" t="s">
        <v>77</v>
      </c>
      <c r="N1603">
        <v>3</v>
      </c>
      <c r="O1603">
        <v>2023</v>
      </c>
      <c r="P1603" s="29" t="s">
        <v>719</v>
      </c>
      <c r="Q1603" t="s">
        <v>735</v>
      </c>
      <c r="R1603" t="s">
        <v>739</v>
      </c>
    </row>
    <row r="1604" spans="1:18" x14ac:dyDescent="0.25">
      <c r="A1604" s="6">
        <v>1603</v>
      </c>
      <c r="B1604" s="7">
        <v>45315</v>
      </c>
      <c r="C1604" s="8" t="s">
        <v>88</v>
      </c>
      <c r="D1604" s="8" t="s">
        <v>109</v>
      </c>
      <c r="E1604" s="8" t="s">
        <v>102</v>
      </c>
      <c r="F1604" s="8" t="s">
        <v>197</v>
      </c>
      <c r="G1604" s="6">
        <v>20</v>
      </c>
      <c r="H1604" s="25">
        <v>3500</v>
      </c>
      <c r="I1604" s="6">
        <v>0</v>
      </c>
      <c r="J1604" s="6">
        <f t="shared" si="50"/>
        <v>70000</v>
      </c>
      <c r="K1604" s="6">
        <f t="shared" si="51"/>
        <v>70000</v>
      </c>
      <c r="L1604" s="8" t="s">
        <v>76</v>
      </c>
      <c r="M1604" s="8" t="s">
        <v>91</v>
      </c>
      <c r="N1604">
        <v>1</v>
      </c>
      <c r="O1604">
        <v>2024</v>
      </c>
      <c r="P1604" s="29" t="s">
        <v>727</v>
      </c>
      <c r="Q1604" t="s">
        <v>735</v>
      </c>
      <c r="R1604" t="s">
        <v>739</v>
      </c>
    </row>
    <row r="1605" spans="1:18" x14ac:dyDescent="0.25">
      <c r="A1605" s="9">
        <v>1604</v>
      </c>
      <c r="B1605" s="10">
        <v>45555</v>
      </c>
      <c r="C1605" s="11" t="s">
        <v>114</v>
      </c>
      <c r="D1605" s="30" t="s">
        <v>703</v>
      </c>
      <c r="E1605" s="11" t="s">
        <v>79</v>
      </c>
      <c r="F1605" s="11" t="s">
        <v>122</v>
      </c>
      <c r="G1605" s="9">
        <v>44</v>
      </c>
      <c r="H1605" s="26">
        <v>18900</v>
      </c>
      <c r="I1605" s="9">
        <v>0</v>
      </c>
      <c r="J1605" s="9">
        <f t="shared" si="50"/>
        <v>831600</v>
      </c>
      <c r="K1605" s="9">
        <f t="shared" si="51"/>
        <v>831600</v>
      </c>
      <c r="L1605" s="11" t="s">
        <v>187</v>
      </c>
      <c r="M1605" s="11" t="s">
        <v>91</v>
      </c>
      <c r="N1605">
        <v>9</v>
      </c>
      <c r="O1605">
        <v>2024</v>
      </c>
      <c r="P1605" s="29" t="s">
        <v>731</v>
      </c>
      <c r="Q1605" t="s">
        <v>734</v>
      </c>
      <c r="R1605" t="s">
        <v>737</v>
      </c>
    </row>
    <row r="1606" spans="1:18" x14ac:dyDescent="0.25">
      <c r="A1606" s="6">
        <v>1605</v>
      </c>
      <c r="B1606" s="7">
        <v>45441</v>
      </c>
      <c r="C1606" s="8" t="s">
        <v>108</v>
      </c>
      <c r="D1606" s="8" t="s">
        <v>83</v>
      </c>
      <c r="E1606" s="8" t="s">
        <v>74</v>
      </c>
      <c r="F1606" s="8" t="s">
        <v>140</v>
      </c>
      <c r="G1606" s="6">
        <v>35</v>
      </c>
      <c r="H1606" s="25">
        <v>5000</v>
      </c>
      <c r="I1606" s="6">
        <v>0</v>
      </c>
      <c r="J1606" s="6">
        <f t="shared" si="50"/>
        <v>175000</v>
      </c>
      <c r="K1606" s="6">
        <f t="shared" si="51"/>
        <v>175000</v>
      </c>
      <c r="L1606" s="8" t="s">
        <v>187</v>
      </c>
      <c r="M1606" s="8" t="s">
        <v>77</v>
      </c>
      <c r="N1606">
        <v>5</v>
      </c>
      <c r="O1606">
        <v>2024</v>
      </c>
      <c r="P1606" s="29" t="s">
        <v>732</v>
      </c>
      <c r="Q1606" t="s">
        <v>736</v>
      </c>
      <c r="R1606" t="s">
        <v>739</v>
      </c>
    </row>
    <row r="1607" spans="1:18" x14ac:dyDescent="0.25">
      <c r="A1607" s="9">
        <v>1606</v>
      </c>
      <c r="B1607" s="10">
        <v>45526</v>
      </c>
      <c r="C1607" s="11" t="s">
        <v>97</v>
      </c>
      <c r="D1607" s="11" t="s">
        <v>93</v>
      </c>
      <c r="E1607" s="11" t="s">
        <v>111</v>
      </c>
      <c r="F1607" s="11" t="s">
        <v>166</v>
      </c>
      <c r="G1607" s="9">
        <v>19</v>
      </c>
      <c r="H1607" s="26">
        <v>31500</v>
      </c>
      <c r="I1607" s="9">
        <v>0</v>
      </c>
      <c r="J1607" s="9">
        <f t="shared" si="50"/>
        <v>598500</v>
      </c>
      <c r="K1607" s="9">
        <f t="shared" si="51"/>
        <v>598500</v>
      </c>
      <c r="L1607" s="11" t="s">
        <v>107</v>
      </c>
      <c r="M1607" s="11" t="s">
        <v>77</v>
      </c>
      <c r="N1607">
        <v>8</v>
      </c>
      <c r="O1607">
        <v>2024</v>
      </c>
      <c r="P1607" s="29" t="s">
        <v>710</v>
      </c>
      <c r="Q1607" t="s">
        <v>734</v>
      </c>
      <c r="R1607" t="s">
        <v>737</v>
      </c>
    </row>
    <row r="1608" spans="1:18" x14ac:dyDescent="0.25">
      <c r="A1608" s="6">
        <v>1607</v>
      </c>
      <c r="B1608" s="7">
        <v>45482</v>
      </c>
      <c r="C1608" s="8" t="s">
        <v>88</v>
      </c>
      <c r="D1608" s="8" t="s">
        <v>83</v>
      </c>
      <c r="E1608" s="8" t="s">
        <v>79</v>
      </c>
      <c r="F1608" s="8" t="s">
        <v>122</v>
      </c>
      <c r="G1608" s="6">
        <v>5</v>
      </c>
      <c r="H1608" s="25">
        <v>20600</v>
      </c>
      <c r="I1608" s="6">
        <v>0</v>
      </c>
      <c r="J1608" s="6">
        <f t="shared" si="50"/>
        <v>103000</v>
      </c>
      <c r="K1608" s="6">
        <f t="shared" si="51"/>
        <v>103000</v>
      </c>
      <c r="L1608" s="8" t="s">
        <v>76</v>
      </c>
      <c r="M1608" s="8" t="s">
        <v>91</v>
      </c>
      <c r="N1608">
        <v>7</v>
      </c>
      <c r="O1608">
        <v>2024</v>
      </c>
      <c r="P1608" s="29" t="s">
        <v>712</v>
      </c>
      <c r="Q1608" t="s">
        <v>734</v>
      </c>
      <c r="R1608" t="s">
        <v>739</v>
      </c>
    </row>
    <row r="1609" spans="1:18" x14ac:dyDescent="0.25">
      <c r="A1609" s="9">
        <v>1608</v>
      </c>
      <c r="B1609" s="10">
        <v>45078</v>
      </c>
      <c r="C1609" s="11" t="s">
        <v>114</v>
      </c>
      <c r="D1609" s="11" t="s">
        <v>109</v>
      </c>
      <c r="E1609" s="11" t="s">
        <v>111</v>
      </c>
      <c r="F1609" s="11" t="s">
        <v>192</v>
      </c>
      <c r="G1609" s="9">
        <v>15</v>
      </c>
      <c r="H1609" s="26">
        <v>92700</v>
      </c>
      <c r="I1609" s="9">
        <v>0</v>
      </c>
      <c r="J1609" s="9">
        <f t="shared" si="50"/>
        <v>1390500</v>
      </c>
      <c r="K1609" s="9">
        <f t="shared" si="51"/>
        <v>1390500</v>
      </c>
      <c r="L1609" s="11" t="s">
        <v>76</v>
      </c>
      <c r="M1609" s="11" t="s">
        <v>91</v>
      </c>
      <c r="N1609">
        <v>6</v>
      </c>
      <c r="O1609">
        <v>2023</v>
      </c>
      <c r="P1609" s="29" t="s">
        <v>723</v>
      </c>
      <c r="Q1609" t="s">
        <v>736</v>
      </c>
      <c r="R1609" t="s">
        <v>737</v>
      </c>
    </row>
    <row r="1610" spans="1:18" x14ac:dyDescent="0.25">
      <c r="A1610" s="6">
        <v>1609</v>
      </c>
      <c r="B1610" s="7">
        <v>45657</v>
      </c>
      <c r="C1610" s="8" t="s">
        <v>119</v>
      </c>
      <c r="D1610" s="30" t="s">
        <v>703</v>
      </c>
      <c r="E1610" s="8" t="s">
        <v>79</v>
      </c>
      <c r="F1610" s="8" t="s">
        <v>122</v>
      </c>
      <c r="G1610" s="6">
        <v>48</v>
      </c>
      <c r="H1610" s="25">
        <v>16800</v>
      </c>
      <c r="I1610" s="6">
        <v>5</v>
      </c>
      <c r="J1610" s="6">
        <f t="shared" si="50"/>
        <v>806400</v>
      </c>
      <c r="K1610" s="6">
        <f t="shared" si="51"/>
        <v>766080</v>
      </c>
      <c r="L1610" s="8" t="s">
        <v>123</v>
      </c>
      <c r="M1610" s="8" t="s">
        <v>77</v>
      </c>
      <c r="N1610">
        <v>12</v>
      </c>
      <c r="O1610">
        <v>2024</v>
      </c>
      <c r="P1610" s="29" t="s">
        <v>728</v>
      </c>
      <c r="Q1610" t="s">
        <v>733</v>
      </c>
      <c r="R1610" t="s">
        <v>737</v>
      </c>
    </row>
    <row r="1611" spans="1:18" x14ac:dyDescent="0.25">
      <c r="A1611" s="9">
        <v>1610</v>
      </c>
      <c r="B1611" s="10">
        <v>45435</v>
      </c>
      <c r="C1611" s="11" t="s">
        <v>88</v>
      </c>
      <c r="D1611" s="11" t="s">
        <v>83</v>
      </c>
      <c r="E1611" s="11" t="s">
        <v>79</v>
      </c>
      <c r="F1611" s="11" t="s">
        <v>120</v>
      </c>
      <c r="G1611" s="9">
        <v>7</v>
      </c>
      <c r="H1611" s="26">
        <v>6400</v>
      </c>
      <c r="I1611" s="9">
        <v>0</v>
      </c>
      <c r="J1611" s="9">
        <f t="shared" si="50"/>
        <v>44800</v>
      </c>
      <c r="K1611" s="9">
        <f t="shared" si="51"/>
        <v>44800</v>
      </c>
      <c r="L1611" s="11" t="s">
        <v>76</v>
      </c>
      <c r="M1611" s="11" t="s">
        <v>77</v>
      </c>
      <c r="N1611">
        <v>5</v>
      </c>
      <c r="O1611">
        <v>2024</v>
      </c>
      <c r="P1611" s="29" t="s">
        <v>732</v>
      </c>
      <c r="Q1611" t="s">
        <v>736</v>
      </c>
      <c r="R1611" t="s">
        <v>738</v>
      </c>
    </row>
    <row r="1612" spans="1:18" x14ac:dyDescent="0.25">
      <c r="A1612" s="6">
        <v>1611</v>
      </c>
      <c r="B1612" s="7">
        <v>45373</v>
      </c>
      <c r="C1612" s="8" t="s">
        <v>82</v>
      </c>
      <c r="D1612" s="8" t="s">
        <v>83</v>
      </c>
      <c r="E1612" s="8" t="s">
        <v>79</v>
      </c>
      <c r="F1612" s="8" t="s">
        <v>131</v>
      </c>
      <c r="G1612" s="6">
        <v>43</v>
      </c>
      <c r="H1612" s="25">
        <v>110600</v>
      </c>
      <c r="I1612" s="6">
        <v>10</v>
      </c>
      <c r="J1612" s="6">
        <f t="shared" si="50"/>
        <v>4755800</v>
      </c>
      <c r="K1612" s="6">
        <f t="shared" si="51"/>
        <v>4280220</v>
      </c>
      <c r="L1612" s="8" t="s">
        <v>76</v>
      </c>
      <c r="M1612" s="8" t="s">
        <v>91</v>
      </c>
      <c r="N1612">
        <v>3</v>
      </c>
      <c r="O1612">
        <v>2024</v>
      </c>
      <c r="P1612" s="29" t="s">
        <v>711</v>
      </c>
      <c r="Q1612" t="s">
        <v>735</v>
      </c>
      <c r="R1612" t="s">
        <v>737</v>
      </c>
    </row>
    <row r="1613" spans="1:18" x14ac:dyDescent="0.25">
      <c r="A1613" s="9">
        <v>1612</v>
      </c>
      <c r="B1613" s="10">
        <v>45116</v>
      </c>
      <c r="C1613" s="11" t="s">
        <v>108</v>
      </c>
      <c r="D1613" s="11" t="s">
        <v>73</v>
      </c>
      <c r="E1613" s="11" t="s">
        <v>79</v>
      </c>
      <c r="F1613" s="11" t="s">
        <v>122</v>
      </c>
      <c r="G1613" s="9">
        <v>12</v>
      </c>
      <c r="H1613" s="26">
        <v>16600</v>
      </c>
      <c r="I1613" s="9">
        <v>15</v>
      </c>
      <c r="J1613" s="9">
        <f t="shared" si="50"/>
        <v>199200</v>
      </c>
      <c r="K1613" s="9">
        <f t="shared" si="51"/>
        <v>169320</v>
      </c>
      <c r="L1613" s="11" t="s">
        <v>187</v>
      </c>
      <c r="M1613" s="11" t="s">
        <v>91</v>
      </c>
      <c r="N1613">
        <v>7</v>
      </c>
      <c r="O1613">
        <v>2023</v>
      </c>
      <c r="P1613" s="29" t="s">
        <v>724</v>
      </c>
      <c r="Q1613" t="s">
        <v>734</v>
      </c>
      <c r="R1613" t="s">
        <v>739</v>
      </c>
    </row>
    <row r="1614" spans="1:18" x14ac:dyDescent="0.25">
      <c r="A1614" s="6">
        <v>1613</v>
      </c>
      <c r="B1614" s="7">
        <v>45486</v>
      </c>
      <c r="C1614" s="8" t="s">
        <v>88</v>
      </c>
      <c r="D1614" s="8" t="s">
        <v>93</v>
      </c>
      <c r="E1614" s="8" t="s">
        <v>74</v>
      </c>
      <c r="F1614" s="8" t="s">
        <v>99</v>
      </c>
      <c r="G1614" s="6">
        <v>43</v>
      </c>
      <c r="H1614" s="25">
        <v>3200</v>
      </c>
      <c r="I1614" s="6">
        <v>0</v>
      </c>
      <c r="J1614" s="6">
        <f t="shared" si="50"/>
        <v>137600</v>
      </c>
      <c r="K1614" s="6">
        <f t="shared" si="51"/>
        <v>137600</v>
      </c>
      <c r="L1614" s="8" t="s">
        <v>76</v>
      </c>
      <c r="M1614" s="8" t="s">
        <v>91</v>
      </c>
      <c r="N1614">
        <v>7</v>
      </c>
      <c r="O1614">
        <v>2024</v>
      </c>
      <c r="P1614" s="29" t="s">
        <v>712</v>
      </c>
      <c r="Q1614" t="s">
        <v>734</v>
      </c>
      <c r="R1614" t="s">
        <v>739</v>
      </c>
    </row>
    <row r="1615" spans="1:18" x14ac:dyDescent="0.25">
      <c r="A1615" s="9">
        <v>1614</v>
      </c>
      <c r="B1615" s="10">
        <v>45500</v>
      </c>
      <c r="C1615" s="11" t="s">
        <v>78</v>
      </c>
      <c r="D1615" s="11" t="s">
        <v>109</v>
      </c>
      <c r="E1615" s="11" t="s">
        <v>84</v>
      </c>
      <c r="F1615" s="11" t="s">
        <v>128</v>
      </c>
      <c r="G1615" s="9">
        <v>48</v>
      </c>
      <c r="H1615" s="26">
        <v>4100</v>
      </c>
      <c r="I1615" s="6">
        <v>0</v>
      </c>
      <c r="J1615" s="9">
        <f t="shared" si="50"/>
        <v>196800</v>
      </c>
      <c r="K1615" s="9">
        <f t="shared" si="51"/>
        <v>196800</v>
      </c>
      <c r="L1615" s="11" t="s">
        <v>187</v>
      </c>
      <c r="M1615" s="11" t="s">
        <v>77</v>
      </c>
      <c r="N1615">
        <v>7</v>
      </c>
      <c r="O1615">
        <v>2024</v>
      </c>
      <c r="P1615" s="29" t="s">
        <v>712</v>
      </c>
      <c r="Q1615" t="s">
        <v>734</v>
      </c>
      <c r="R1615" t="s">
        <v>739</v>
      </c>
    </row>
    <row r="1616" spans="1:18" x14ac:dyDescent="0.25">
      <c r="A1616" s="6">
        <v>1615</v>
      </c>
      <c r="B1616" s="7">
        <v>44988</v>
      </c>
      <c r="C1616" s="8" t="s">
        <v>82</v>
      </c>
      <c r="D1616" s="8" t="s">
        <v>73</v>
      </c>
      <c r="E1616" s="8" t="s">
        <v>79</v>
      </c>
      <c r="F1616" s="8" t="s">
        <v>179</v>
      </c>
      <c r="G1616" s="6">
        <v>1</v>
      </c>
      <c r="H1616" s="25">
        <v>2600</v>
      </c>
      <c r="I1616" s="6">
        <v>0</v>
      </c>
      <c r="J1616" s="6">
        <f t="shared" si="50"/>
        <v>2600</v>
      </c>
      <c r="K1616" s="6">
        <f t="shared" si="51"/>
        <v>2600</v>
      </c>
      <c r="L1616" s="8" t="s">
        <v>76</v>
      </c>
      <c r="M1616" s="8" t="s">
        <v>81</v>
      </c>
      <c r="N1616">
        <v>3</v>
      </c>
      <c r="O1616">
        <v>2023</v>
      </c>
      <c r="P1616" s="29" t="s">
        <v>719</v>
      </c>
      <c r="Q1616" t="s">
        <v>735</v>
      </c>
      <c r="R1616" t="s">
        <v>738</v>
      </c>
    </row>
    <row r="1617" spans="1:18" x14ac:dyDescent="0.25">
      <c r="A1617" s="9">
        <v>1616</v>
      </c>
      <c r="B1617" s="10">
        <v>45116</v>
      </c>
      <c r="C1617" s="11" t="s">
        <v>119</v>
      </c>
      <c r="D1617" s="11" t="s">
        <v>109</v>
      </c>
      <c r="E1617" s="11" t="s">
        <v>84</v>
      </c>
      <c r="F1617" s="11" t="s">
        <v>85</v>
      </c>
      <c r="G1617" s="9">
        <v>14</v>
      </c>
      <c r="H1617" s="26">
        <v>5500</v>
      </c>
      <c r="I1617" s="9">
        <v>10</v>
      </c>
      <c r="J1617" s="9">
        <f t="shared" si="50"/>
        <v>77000</v>
      </c>
      <c r="K1617" s="9">
        <f t="shared" si="51"/>
        <v>69300</v>
      </c>
      <c r="L1617" s="11" t="s">
        <v>76</v>
      </c>
      <c r="M1617" s="11" t="s">
        <v>91</v>
      </c>
      <c r="N1617">
        <v>7</v>
      </c>
      <c r="O1617">
        <v>2023</v>
      </c>
      <c r="P1617" s="29" t="s">
        <v>724</v>
      </c>
      <c r="Q1617" t="s">
        <v>734</v>
      </c>
      <c r="R1617" t="s">
        <v>739</v>
      </c>
    </row>
    <row r="1618" spans="1:18" x14ac:dyDescent="0.25">
      <c r="A1618" s="6">
        <v>1617</v>
      </c>
      <c r="B1618" s="7">
        <v>45575</v>
      </c>
      <c r="C1618" s="8" t="s">
        <v>82</v>
      </c>
      <c r="D1618" s="8" t="s">
        <v>73</v>
      </c>
      <c r="E1618" s="8" t="s">
        <v>84</v>
      </c>
      <c r="F1618" s="8" t="s">
        <v>128</v>
      </c>
      <c r="G1618" s="6">
        <v>10</v>
      </c>
      <c r="H1618" s="25">
        <v>4700</v>
      </c>
      <c r="I1618" s="6">
        <v>5</v>
      </c>
      <c r="J1618" s="6">
        <f t="shared" si="50"/>
        <v>47000</v>
      </c>
      <c r="K1618" s="6">
        <f t="shared" si="51"/>
        <v>44650</v>
      </c>
      <c r="L1618" s="8" t="s">
        <v>107</v>
      </c>
      <c r="M1618" s="8" t="s">
        <v>77</v>
      </c>
      <c r="N1618">
        <v>10</v>
      </c>
      <c r="O1618">
        <v>2024</v>
      </c>
      <c r="P1618" s="29" t="s">
        <v>709</v>
      </c>
      <c r="Q1618" t="s">
        <v>733</v>
      </c>
      <c r="R1618" t="s">
        <v>738</v>
      </c>
    </row>
    <row r="1619" spans="1:18" x14ac:dyDescent="0.25">
      <c r="A1619" s="9">
        <v>1618</v>
      </c>
      <c r="B1619" s="10">
        <v>45452</v>
      </c>
      <c r="C1619" s="11" t="s">
        <v>97</v>
      </c>
      <c r="D1619" s="11" t="s">
        <v>93</v>
      </c>
      <c r="E1619" s="11" t="s">
        <v>84</v>
      </c>
      <c r="F1619" s="11" t="s">
        <v>90</v>
      </c>
      <c r="G1619" s="9">
        <v>27</v>
      </c>
      <c r="H1619" s="26">
        <v>1900</v>
      </c>
      <c r="I1619" s="9">
        <v>0</v>
      </c>
      <c r="J1619" s="9">
        <f t="shared" si="50"/>
        <v>51300</v>
      </c>
      <c r="K1619" s="9">
        <f t="shared" si="51"/>
        <v>51300</v>
      </c>
      <c r="L1619" s="11" t="s">
        <v>187</v>
      </c>
      <c r="M1619" s="11" t="s">
        <v>96</v>
      </c>
      <c r="N1619">
        <v>6</v>
      </c>
      <c r="O1619">
        <v>2024</v>
      </c>
      <c r="P1619" s="29" t="s">
        <v>720</v>
      </c>
      <c r="Q1619" t="s">
        <v>736</v>
      </c>
      <c r="R1619" t="s">
        <v>739</v>
      </c>
    </row>
    <row r="1620" spans="1:18" x14ac:dyDescent="0.25">
      <c r="A1620" s="6">
        <v>1619</v>
      </c>
      <c r="B1620" s="7">
        <v>45195</v>
      </c>
      <c r="C1620" s="8" t="s">
        <v>114</v>
      </c>
      <c r="D1620" s="8" t="s">
        <v>73</v>
      </c>
      <c r="E1620" s="8" t="s">
        <v>111</v>
      </c>
      <c r="F1620" s="8" t="s">
        <v>192</v>
      </c>
      <c r="G1620" s="6">
        <v>50</v>
      </c>
      <c r="H1620" s="25">
        <v>106200</v>
      </c>
      <c r="I1620" s="6">
        <v>15</v>
      </c>
      <c r="J1620" s="6">
        <f t="shared" si="50"/>
        <v>5310000</v>
      </c>
      <c r="K1620" s="6">
        <f t="shared" si="51"/>
        <v>4513500</v>
      </c>
      <c r="L1620" s="8" t="s">
        <v>76</v>
      </c>
      <c r="M1620" s="8" t="s">
        <v>81</v>
      </c>
      <c r="N1620">
        <v>9</v>
      </c>
      <c r="O1620">
        <v>2023</v>
      </c>
      <c r="P1620" s="29" t="s">
        <v>715</v>
      </c>
      <c r="Q1620" t="s">
        <v>734</v>
      </c>
      <c r="R1620" t="s">
        <v>737</v>
      </c>
    </row>
    <row r="1621" spans="1:18" x14ac:dyDescent="0.25">
      <c r="A1621" s="9">
        <v>1620</v>
      </c>
      <c r="B1621" s="10">
        <v>45309</v>
      </c>
      <c r="C1621" s="11" t="s">
        <v>114</v>
      </c>
      <c r="D1621" s="11" t="s">
        <v>83</v>
      </c>
      <c r="E1621" s="11" t="s">
        <v>102</v>
      </c>
      <c r="F1621" s="11" t="s">
        <v>181</v>
      </c>
      <c r="G1621" s="9">
        <v>9</v>
      </c>
      <c r="H1621" s="26">
        <v>4900</v>
      </c>
      <c r="I1621" s="9">
        <v>15</v>
      </c>
      <c r="J1621" s="9">
        <f t="shared" si="50"/>
        <v>44100</v>
      </c>
      <c r="K1621" s="9">
        <f t="shared" si="51"/>
        <v>37485</v>
      </c>
      <c r="L1621" s="11" t="s">
        <v>76</v>
      </c>
      <c r="M1621" s="11" t="s">
        <v>91</v>
      </c>
      <c r="N1621">
        <v>1</v>
      </c>
      <c r="O1621">
        <v>2024</v>
      </c>
      <c r="P1621" s="29" t="s">
        <v>727</v>
      </c>
      <c r="Q1621" t="s">
        <v>735</v>
      </c>
      <c r="R1621" t="s">
        <v>738</v>
      </c>
    </row>
    <row r="1622" spans="1:18" x14ac:dyDescent="0.25">
      <c r="A1622" s="6">
        <v>1621</v>
      </c>
      <c r="B1622" s="7">
        <v>45636</v>
      </c>
      <c r="C1622" s="8" t="s">
        <v>108</v>
      </c>
      <c r="D1622" s="8" t="s">
        <v>109</v>
      </c>
      <c r="E1622" s="8" t="s">
        <v>102</v>
      </c>
      <c r="F1622" s="8" t="s">
        <v>110</v>
      </c>
      <c r="G1622" s="6">
        <v>5</v>
      </c>
      <c r="H1622" s="25">
        <v>22500</v>
      </c>
      <c r="I1622" s="6">
        <v>5</v>
      </c>
      <c r="J1622" s="6">
        <f t="shared" si="50"/>
        <v>112500</v>
      </c>
      <c r="K1622" s="6">
        <f t="shared" si="51"/>
        <v>106875</v>
      </c>
      <c r="L1622" s="8" t="s">
        <v>76</v>
      </c>
      <c r="M1622" s="8" t="s">
        <v>77</v>
      </c>
      <c r="N1622">
        <v>12</v>
      </c>
      <c r="O1622">
        <v>2024</v>
      </c>
      <c r="P1622" s="29" t="s">
        <v>728</v>
      </c>
      <c r="Q1622" t="s">
        <v>733</v>
      </c>
      <c r="R1622" t="s">
        <v>739</v>
      </c>
    </row>
    <row r="1623" spans="1:18" x14ac:dyDescent="0.25">
      <c r="A1623" s="9">
        <v>1622</v>
      </c>
      <c r="B1623" s="10">
        <v>45172</v>
      </c>
      <c r="C1623" s="11" t="s">
        <v>82</v>
      </c>
      <c r="D1623" s="11" t="s">
        <v>73</v>
      </c>
      <c r="E1623" s="11" t="s">
        <v>84</v>
      </c>
      <c r="F1623" s="11" t="s">
        <v>206</v>
      </c>
      <c r="G1623" s="12">
        <v>26</v>
      </c>
      <c r="H1623" s="26">
        <v>13900</v>
      </c>
      <c r="I1623" s="9">
        <v>0</v>
      </c>
      <c r="J1623" s="9">
        <f t="shared" si="50"/>
        <v>361400</v>
      </c>
      <c r="K1623" s="9">
        <f t="shared" si="51"/>
        <v>361400</v>
      </c>
      <c r="L1623" s="11" t="s">
        <v>76</v>
      </c>
      <c r="M1623" s="11" t="s">
        <v>96</v>
      </c>
      <c r="N1623">
        <v>9</v>
      </c>
      <c r="O1623">
        <v>2023</v>
      </c>
      <c r="P1623" s="29" t="s">
        <v>715</v>
      </c>
      <c r="Q1623" t="s">
        <v>734</v>
      </c>
      <c r="R1623" t="s">
        <v>737</v>
      </c>
    </row>
    <row r="1624" spans="1:18" x14ac:dyDescent="0.25">
      <c r="A1624" s="9">
        <v>1623</v>
      </c>
      <c r="B1624" s="10">
        <v>45329</v>
      </c>
      <c r="C1624" s="11" t="s">
        <v>124</v>
      </c>
      <c r="D1624" s="11" t="s">
        <v>117</v>
      </c>
      <c r="E1624" s="11" t="s">
        <v>74</v>
      </c>
      <c r="F1624" s="11" t="s">
        <v>99</v>
      </c>
      <c r="G1624" s="9">
        <v>25</v>
      </c>
      <c r="H1624" s="26">
        <v>3600</v>
      </c>
      <c r="I1624" s="9">
        <v>5</v>
      </c>
      <c r="J1624" s="9">
        <f t="shared" si="50"/>
        <v>90000</v>
      </c>
      <c r="K1624" s="9">
        <f t="shared" si="51"/>
        <v>85500</v>
      </c>
      <c r="L1624" s="11" t="s">
        <v>187</v>
      </c>
      <c r="M1624" s="11" t="s">
        <v>81</v>
      </c>
      <c r="N1624">
        <v>2</v>
      </c>
      <c r="O1624">
        <v>2024</v>
      </c>
      <c r="P1624" s="29" t="s">
        <v>729</v>
      </c>
      <c r="Q1624" t="s">
        <v>735</v>
      </c>
      <c r="R1624" t="s">
        <v>739</v>
      </c>
    </row>
    <row r="1625" spans="1:18" x14ac:dyDescent="0.25">
      <c r="A1625" s="6">
        <v>1624</v>
      </c>
      <c r="B1625" s="7">
        <v>45272</v>
      </c>
      <c r="C1625" s="8" t="s">
        <v>97</v>
      </c>
      <c r="D1625" s="8" t="s">
        <v>83</v>
      </c>
      <c r="E1625" s="8" t="s">
        <v>74</v>
      </c>
      <c r="F1625" s="8" t="s">
        <v>118</v>
      </c>
      <c r="G1625" s="6">
        <v>18</v>
      </c>
      <c r="H1625" s="25">
        <v>27000</v>
      </c>
      <c r="I1625" s="6">
        <v>10</v>
      </c>
      <c r="J1625" s="6">
        <f t="shared" si="50"/>
        <v>486000</v>
      </c>
      <c r="K1625" s="6">
        <f t="shared" si="51"/>
        <v>437400</v>
      </c>
      <c r="L1625" s="8" t="s">
        <v>123</v>
      </c>
      <c r="M1625" s="8" t="s">
        <v>96</v>
      </c>
      <c r="N1625">
        <v>12</v>
      </c>
      <c r="O1625">
        <v>2023</v>
      </c>
      <c r="P1625" s="29" t="s">
        <v>725</v>
      </c>
      <c r="Q1625" t="s">
        <v>733</v>
      </c>
      <c r="R1625" t="s">
        <v>737</v>
      </c>
    </row>
    <row r="1626" spans="1:18" x14ac:dyDescent="0.25">
      <c r="A1626" s="9">
        <v>1625</v>
      </c>
      <c r="B1626" s="10">
        <v>45452</v>
      </c>
      <c r="C1626" s="11" t="s">
        <v>106</v>
      </c>
      <c r="D1626" s="11" t="s">
        <v>117</v>
      </c>
      <c r="E1626" s="11" t="s">
        <v>74</v>
      </c>
      <c r="F1626" s="11" t="s">
        <v>75</v>
      </c>
      <c r="G1626" s="9">
        <v>23</v>
      </c>
      <c r="H1626" s="26">
        <v>22900</v>
      </c>
      <c r="I1626" s="9">
        <v>20</v>
      </c>
      <c r="J1626" s="9">
        <f t="shared" si="50"/>
        <v>526700</v>
      </c>
      <c r="K1626" s="9">
        <f t="shared" si="51"/>
        <v>421360</v>
      </c>
      <c r="L1626" s="11" t="s">
        <v>123</v>
      </c>
      <c r="M1626" s="11" t="s">
        <v>81</v>
      </c>
      <c r="N1626">
        <v>6</v>
      </c>
      <c r="O1626">
        <v>2024</v>
      </c>
      <c r="P1626" s="29" t="s">
        <v>720</v>
      </c>
      <c r="Q1626" t="s">
        <v>736</v>
      </c>
      <c r="R1626" t="s">
        <v>737</v>
      </c>
    </row>
    <row r="1627" spans="1:18" x14ac:dyDescent="0.25">
      <c r="A1627" s="6">
        <v>1626</v>
      </c>
      <c r="B1627" s="7">
        <v>45211</v>
      </c>
      <c r="C1627" s="8" t="s">
        <v>82</v>
      </c>
      <c r="D1627" s="8" t="s">
        <v>83</v>
      </c>
      <c r="E1627" s="8" t="s">
        <v>74</v>
      </c>
      <c r="F1627" s="8" t="s">
        <v>190</v>
      </c>
      <c r="G1627" s="6">
        <v>43</v>
      </c>
      <c r="H1627" s="25">
        <v>33600</v>
      </c>
      <c r="I1627" s="6">
        <v>20</v>
      </c>
      <c r="J1627" s="6">
        <f t="shared" si="50"/>
        <v>1444800</v>
      </c>
      <c r="K1627" s="6">
        <f t="shared" si="51"/>
        <v>1155840</v>
      </c>
      <c r="L1627" s="8" t="s">
        <v>187</v>
      </c>
      <c r="M1627" s="8" t="s">
        <v>81</v>
      </c>
      <c r="N1627">
        <v>10</v>
      </c>
      <c r="O1627">
        <v>2023</v>
      </c>
      <c r="P1627" s="29" t="s">
        <v>726</v>
      </c>
      <c r="Q1627" t="s">
        <v>733</v>
      </c>
      <c r="R1627" t="s">
        <v>737</v>
      </c>
    </row>
    <row r="1628" spans="1:18" x14ac:dyDescent="0.25">
      <c r="A1628" s="9">
        <v>1627</v>
      </c>
      <c r="B1628" s="10">
        <v>45424</v>
      </c>
      <c r="C1628" s="11" t="s">
        <v>101</v>
      </c>
      <c r="D1628" s="11" t="s">
        <v>109</v>
      </c>
      <c r="E1628" s="11" t="s">
        <v>74</v>
      </c>
      <c r="F1628" s="11" t="s">
        <v>212</v>
      </c>
      <c r="G1628" s="12">
        <v>30</v>
      </c>
      <c r="H1628" s="26">
        <v>7600</v>
      </c>
      <c r="I1628" s="9">
        <v>0</v>
      </c>
      <c r="J1628" s="9">
        <f t="shared" si="50"/>
        <v>228000</v>
      </c>
      <c r="K1628" s="9">
        <f t="shared" si="51"/>
        <v>228000</v>
      </c>
      <c r="L1628" s="11" t="s">
        <v>76</v>
      </c>
      <c r="M1628" s="11" t="s">
        <v>81</v>
      </c>
      <c r="N1628">
        <v>5</v>
      </c>
      <c r="O1628">
        <v>2024</v>
      </c>
      <c r="P1628" s="29" t="s">
        <v>732</v>
      </c>
      <c r="Q1628" t="s">
        <v>736</v>
      </c>
      <c r="R1628" t="s">
        <v>737</v>
      </c>
    </row>
    <row r="1629" spans="1:18" x14ac:dyDescent="0.25">
      <c r="A1629" s="6">
        <v>1628</v>
      </c>
      <c r="B1629" s="7">
        <v>45225</v>
      </c>
      <c r="C1629" s="8" t="s">
        <v>106</v>
      </c>
      <c r="D1629" s="8" t="s">
        <v>109</v>
      </c>
      <c r="E1629" s="8" t="s">
        <v>102</v>
      </c>
      <c r="F1629" s="8" t="s">
        <v>157</v>
      </c>
      <c r="G1629" s="6">
        <v>42</v>
      </c>
      <c r="H1629" s="25">
        <v>11300</v>
      </c>
      <c r="I1629" s="6">
        <v>0</v>
      </c>
      <c r="J1629" s="6">
        <f t="shared" si="50"/>
        <v>474600</v>
      </c>
      <c r="K1629" s="6">
        <f t="shared" si="51"/>
        <v>474600</v>
      </c>
      <c r="L1629" s="8" t="s">
        <v>187</v>
      </c>
      <c r="M1629" s="8" t="s">
        <v>96</v>
      </c>
      <c r="N1629">
        <v>10</v>
      </c>
      <c r="O1629">
        <v>2023</v>
      </c>
      <c r="P1629" s="29" t="s">
        <v>726</v>
      </c>
      <c r="Q1629" t="s">
        <v>733</v>
      </c>
      <c r="R1629" t="s">
        <v>737</v>
      </c>
    </row>
    <row r="1630" spans="1:18" x14ac:dyDescent="0.25">
      <c r="A1630" s="6">
        <v>1629</v>
      </c>
      <c r="B1630" s="7">
        <v>45445</v>
      </c>
      <c r="C1630" s="8" t="s">
        <v>119</v>
      </c>
      <c r="D1630" s="8" t="s">
        <v>117</v>
      </c>
      <c r="E1630" s="8" t="s">
        <v>102</v>
      </c>
      <c r="F1630" s="8" t="s">
        <v>197</v>
      </c>
      <c r="G1630" s="6">
        <v>10</v>
      </c>
      <c r="H1630" s="25">
        <v>3900</v>
      </c>
      <c r="I1630" s="6">
        <v>0</v>
      </c>
      <c r="J1630" s="6">
        <f t="shared" si="50"/>
        <v>39000</v>
      </c>
      <c r="K1630" s="6">
        <f t="shared" si="51"/>
        <v>39000</v>
      </c>
      <c r="L1630" s="8" t="s">
        <v>76</v>
      </c>
      <c r="M1630" s="8" t="s">
        <v>77</v>
      </c>
      <c r="N1630">
        <v>6</v>
      </c>
      <c r="O1630">
        <v>2024</v>
      </c>
      <c r="P1630" s="29" t="s">
        <v>720</v>
      </c>
      <c r="Q1630" t="s">
        <v>736</v>
      </c>
      <c r="R1630" t="s">
        <v>738</v>
      </c>
    </row>
    <row r="1631" spans="1:18" x14ac:dyDescent="0.25">
      <c r="A1631" s="9">
        <v>1630</v>
      </c>
      <c r="B1631" s="10">
        <v>45143</v>
      </c>
      <c r="C1631" s="11" t="s">
        <v>114</v>
      </c>
      <c r="D1631" s="11" t="s">
        <v>93</v>
      </c>
      <c r="E1631" s="11" t="s">
        <v>111</v>
      </c>
      <c r="F1631" s="11" t="s">
        <v>192</v>
      </c>
      <c r="G1631" s="9">
        <v>17</v>
      </c>
      <c r="H1631" s="26">
        <v>87100</v>
      </c>
      <c r="I1631" s="9">
        <v>10</v>
      </c>
      <c r="J1631" s="9">
        <f t="shared" si="50"/>
        <v>1480700</v>
      </c>
      <c r="K1631" s="9">
        <f t="shared" si="51"/>
        <v>1332630</v>
      </c>
      <c r="L1631" s="11" t="s">
        <v>107</v>
      </c>
      <c r="M1631" s="11" t="s">
        <v>91</v>
      </c>
      <c r="N1631">
        <v>8</v>
      </c>
      <c r="O1631">
        <v>2023</v>
      </c>
      <c r="P1631" s="29" t="s">
        <v>713</v>
      </c>
      <c r="Q1631" t="s">
        <v>734</v>
      </c>
      <c r="R1631" t="s">
        <v>737</v>
      </c>
    </row>
    <row r="1632" spans="1:18" x14ac:dyDescent="0.25">
      <c r="A1632" s="6">
        <v>1631</v>
      </c>
      <c r="B1632" s="7">
        <v>45524</v>
      </c>
      <c r="C1632" s="8" t="s">
        <v>101</v>
      </c>
      <c r="D1632" s="8" t="s">
        <v>93</v>
      </c>
      <c r="E1632" s="8" t="s">
        <v>102</v>
      </c>
      <c r="F1632" s="8" t="s">
        <v>151</v>
      </c>
      <c r="G1632" s="6">
        <v>4</v>
      </c>
      <c r="H1632" s="25">
        <v>7100</v>
      </c>
      <c r="I1632" s="6">
        <v>10</v>
      </c>
      <c r="J1632" s="6">
        <f t="shared" si="50"/>
        <v>28400</v>
      </c>
      <c r="K1632" s="6">
        <f t="shared" si="51"/>
        <v>25560</v>
      </c>
      <c r="L1632" s="8" t="s">
        <v>123</v>
      </c>
      <c r="M1632" s="8" t="s">
        <v>91</v>
      </c>
      <c r="N1632">
        <v>8</v>
      </c>
      <c r="O1632">
        <v>2024</v>
      </c>
      <c r="P1632" s="29" t="s">
        <v>710</v>
      </c>
      <c r="Q1632" t="s">
        <v>734</v>
      </c>
      <c r="R1632" t="s">
        <v>738</v>
      </c>
    </row>
    <row r="1633" spans="1:18" x14ac:dyDescent="0.25">
      <c r="A1633" s="9">
        <v>1632</v>
      </c>
      <c r="B1633" s="10">
        <v>45037</v>
      </c>
      <c r="C1633" s="11" t="s">
        <v>119</v>
      </c>
      <c r="D1633" s="11" t="s">
        <v>83</v>
      </c>
      <c r="E1633" s="11" t="s">
        <v>111</v>
      </c>
      <c r="F1633" s="11" t="s">
        <v>132</v>
      </c>
      <c r="G1633" s="9">
        <v>12</v>
      </c>
      <c r="H1633" s="26">
        <v>7000</v>
      </c>
      <c r="I1633" s="9">
        <v>0</v>
      </c>
      <c r="J1633" s="9">
        <f t="shared" si="50"/>
        <v>84000</v>
      </c>
      <c r="K1633" s="9">
        <f t="shared" si="51"/>
        <v>84000</v>
      </c>
      <c r="L1633" s="11" t="s">
        <v>76</v>
      </c>
      <c r="M1633" s="11" t="s">
        <v>77</v>
      </c>
      <c r="N1633">
        <v>4</v>
      </c>
      <c r="O1633">
        <v>2023</v>
      </c>
      <c r="P1633" s="29" t="s">
        <v>716</v>
      </c>
      <c r="Q1633" t="s">
        <v>736</v>
      </c>
      <c r="R1633" t="s">
        <v>739</v>
      </c>
    </row>
    <row r="1634" spans="1:18" x14ac:dyDescent="0.25">
      <c r="A1634" s="6">
        <v>1633</v>
      </c>
      <c r="B1634" s="7">
        <v>44998</v>
      </c>
      <c r="C1634" s="8" t="s">
        <v>101</v>
      </c>
      <c r="D1634" s="8" t="s">
        <v>73</v>
      </c>
      <c r="E1634" s="8" t="s">
        <v>102</v>
      </c>
      <c r="F1634" s="8" t="s">
        <v>110</v>
      </c>
      <c r="G1634" s="6">
        <v>7</v>
      </c>
      <c r="H1634" s="25">
        <v>20500</v>
      </c>
      <c r="I1634" s="6">
        <v>0</v>
      </c>
      <c r="J1634" s="6">
        <f t="shared" si="50"/>
        <v>143500</v>
      </c>
      <c r="K1634" s="6">
        <f t="shared" si="51"/>
        <v>143500</v>
      </c>
      <c r="L1634" s="8" t="s">
        <v>107</v>
      </c>
      <c r="M1634" s="8" t="s">
        <v>91</v>
      </c>
      <c r="N1634">
        <v>3</v>
      </c>
      <c r="O1634">
        <v>2023</v>
      </c>
      <c r="P1634" s="29" t="s">
        <v>719</v>
      </c>
      <c r="Q1634" t="s">
        <v>735</v>
      </c>
      <c r="R1634" t="s">
        <v>739</v>
      </c>
    </row>
    <row r="1635" spans="1:18" x14ac:dyDescent="0.25">
      <c r="A1635" s="9">
        <v>1634</v>
      </c>
      <c r="B1635" s="10">
        <v>45201</v>
      </c>
      <c r="C1635" s="11" t="s">
        <v>124</v>
      </c>
      <c r="D1635" s="11" t="s">
        <v>73</v>
      </c>
      <c r="E1635" s="11" t="s">
        <v>79</v>
      </c>
      <c r="F1635" s="11" t="s">
        <v>131</v>
      </c>
      <c r="G1635" s="9">
        <v>40</v>
      </c>
      <c r="H1635" s="26">
        <v>118100</v>
      </c>
      <c r="I1635" s="6">
        <v>0</v>
      </c>
      <c r="J1635" s="9">
        <f t="shared" si="50"/>
        <v>4724000</v>
      </c>
      <c r="K1635" s="9">
        <f t="shared" si="51"/>
        <v>4724000</v>
      </c>
      <c r="L1635" s="11" t="s">
        <v>187</v>
      </c>
      <c r="M1635" s="11" t="s">
        <v>96</v>
      </c>
      <c r="N1635">
        <v>10</v>
      </c>
      <c r="O1635">
        <v>2023</v>
      </c>
      <c r="P1635" s="29" t="s">
        <v>726</v>
      </c>
      <c r="Q1635" t="s">
        <v>733</v>
      </c>
      <c r="R1635" t="s">
        <v>737</v>
      </c>
    </row>
    <row r="1636" spans="1:18" x14ac:dyDescent="0.25">
      <c r="A1636" s="6">
        <v>1635</v>
      </c>
      <c r="B1636" s="7">
        <v>45025</v>
      </c>
      <c r="C1636" s="8" t="s">
        <v>106</v>
      </c>
      <c r="D1636" s="8" t="s">
        <v>109</v>
      </c>
      <c r="E1636" s="8" t="s">
        <v>102</v>
      </c>
      <c r="F1636" s="8" t="s">
        <v>110</v>
      </c>
      <c r="G1636" s="6">
        <v>23</v>
      </c>
      <c r="H1636" s="25">
        <v>24900</v>
      </c>
      <c r="I1636" s="6">
        <v>0</v>
      </c>
      <c r="J1636" s="6">
        <f t="shared" si="50"/>
        <v>572700</v>
      </c>
      <c r="K1636" s="6">
        <f t="shared" si="51"/>
        <v>572700</v>
      </c>
      <c r="L1636" s="8" t="s">
        <v>187</v>
      </c>
      <c r="M1636" s="8" t="s">
        <v>81</v>
      </c>
      <c r="N1636">
        <v>4</v>
      </c>
      <c r="O1636">
        <v>2023</v>
      </c>
      <c r="P1636" s="29" t="s">
        <v>716</v>
      </c>
      <c r="Q1636" t="s">
        <v>736</v>
      </c>
      <c r="R1636" t="s">
        <v>737</v>
      </c>
    </row>
    <row r="1637" spans="1:18" x14ac:dyDescent="0.25">
      <c r="A1637" s="9">
        <v>1636</v>
      </c>
      <c r="B1637" s="10">
        <v>45493</v>
      </c>
      <c r="C1637" s="11" t="s">
        <v>124</v>
      </c>
      <c r="D1637" s="11" t="s">
        <v>117</v>
      </c>
      <c r="E1637" s="11" t="s">
        <v>84</v>
      </c>
      <c r="F1637" s="11" t="s">
        <v>128</v>
      </c>
      <c r="G1637" s="9">
        <v>25</v>
      </c>
      <c r="H1637" s="26">
        <v>4600</v>
      </c>
      <c r="I1637" s="9">
        <v>0</v>
      </c>
      <c r="J1637" s="9">
        <f t="shared" si="50"/>
        <v>115000</v>
      </c>
      <c r="K1637" s="9">
        <f t="shared" si="51"/>
        <v>115000</v>
      </c>
      <c r="L1637" s="11" t="s">
        <v>76</v>
      </c>
      <c r="M1637" s="11" t="s">
        <v>77</v>
      </c>
      <c r="N1637">
        <v>7</v>
      </c>
      <c r="O1637">
        <v>2024</v>
      </c>
      <c r="P1637" s="29" t="s">
        <v>712</v>
      </c>
      <c r="Q1637" t="s">
        <v>734</v>
      </c>
      <c r="R1637" t="s">
        <v>739</v>
      </c>
    </row>
    <row r="1638" spans="1:18" x14ac:dyDescent="0.25">
      <c r="A1638" s="6">
        <v>1637</v>
      </c>
      <c r="B1638" s="7">
        <v>45020</v>
      </c>
      <c r="C1638" s="8" t="s">
        <v>124</v>
      </c>
      <c r="D1638" s="8" t="s">
        <v>93</v>
      </c>
      <c r="E1638" s="8" t="s">
        <v>74</v>
      </c>
      <c r="F1638" s="8" t="s">
        <v>99</v>
      </c>
      <c r="G1638" s="6">
        <v>16</v>
      </c>
      <c r="H1638" s="25">
        <v>3300</v>
      </c>
      <c r="I1638" s="6">
        <v>0</v>
      </c>
      <c r="J1638" s="6">
        <f t="shared" si="50"/>
        <v>52800</v>
      </c>
      <c r="K1638" s="6">
        <f t="shared" si="51"/>
        <v>52800</v>
      </c>
      <c r="L1638" s="8" t="s">
        <v>187</v>
      </c>
      <c r="M1638" s="8" t="s">
        <v>81</v>
      </c>
      <c r="N1638">
        <v>4</v>
      </c>
      <c r="O1638">
        <v>2023</v>
      </c>
      <c r="P1638" s="29" t="s">
        <v>716</v>
      </c>
      <c r="Q1638" t="s">
        <v>736</v>
      </c>
      <c r="R1638" t="s">
        <v>739</v>
      </c>
    </row>
    <row r="1639" spans="1:18" x14ac:dyDescent="0.25">
      <c r="A1639" s="9">
        <v>1638</v>
      </c>
      <c r="B1639" s="10">
        <v>45397</v>
      </c>
      <c r="C1639" s="11" t="s">
        <v>124</v>
      </c>
      <c r="D1639" s="11" t="s">
        <v>109</v>
      </c>
      <c r="E1639" s="11" t="s">
        <v>84</v>
      </c>
      <c r="F1639" s="11" t="s">
        <v>90</v>
      </c>
      <c r="G1639" s="9">
        <v>1</v>
      </c>
      <c r="H1639" s="26">
        <v>1700</v>
      </c>
      <c r="I1639" s="9">
        <v>5</v>
      </c>
      <c r="J1639" s="9">
        <f t="shared" si="50"/>
        <v>1700</v>
      </c>
      <c r="K1639" s="9">
        <f t="shared" si="51"/>
        <v>1615</v>
      </c>
      <c r="L1639" s="11" t="s">
        <v>76</v>
      </c>
      <c r="M1639" s="11" t="s">
        <v>96</v>
      </c>
      <c r="N1639">
        <v>4</v>
      </c>
      <c r="O1639">
        <v>2024</v>
      </c>
      <c r="P1639" s="29" t="s">
        <v>722</v>
      </c>
      <c r="Q1639" t="s">
        <v>736</v>
      </c>
      <c r="R1639" t="s">
        <v>738</v>
      </c>
    </row>
    <row r="1640" spans="1:18" x14ac:dyDescent="0.25">
      <c r="A1640" s="6">
        <v>1639</v>
      </c>
      <c r="B1640" s="7">
        <v>45520</v>
      </c>
      <c r="C1640" s="8" t="s">
        <v>124</v>
      </c>
      <c r="D1640" s="8" t="s">
        <v>83</v>
      </c>
      <c r="E1640" s="8" t="s">
        <v>111</v>
      </c>
      <c r="F1640" s="8" t="s">
        <v>156</v>
      </c>
      <c r="G1640" s="6">
        <v>6</v>
      </c>
      <c r="H1640" s="25">
        <v>40200</v>
      </c>
      <c r="I1640" s="6">
        <v>5</v>
      </c>
      <c r="J1640" s="6">
        <f t="shared" si="50"/>
        <v>241200</v>
      </c>
      <c r="K1640" s="6">
        <f t="shared" si="51"/>
        <v>229140</v>
      </c>
      <c r="L1640" s="8" t="s">
        <v>76</v>
      </c>
      <c r="M1640" s="8" t="s">
        <v>91</v>
      </c>
      <c r="N1640">
        <v>8</v>
      </c>
      <c r="O1640">
        <v>2024</v>
      </c>
      <c r="P1640" s="29" t="s">
        <v>710</v>
      </c>
      <c r="Q1640" t="s">
        <v>734</v>
      </c>
      <c r="R1640" t="s">
        <v>737</v>
      </c>
    </row>
    <row r="1641" spans="1:18" x14ac:dyDescent="0.25">
      <c r="A1641" s="9">
        <v>1640</v>
      </c>
      <c r="B1641" s="10">
        <v>45080</v>
      </c>
      <c r="C1641" s="11" t="s">
        <v>114</v>
      </c>
      <c r="D1641" s="11" t="s">
        <v>93</v>
      </c>
      <c r="E1641" s="11" t="s">
        <v>111</v>
      </c>
      <c r="F1641" s="11" t="s">
        <v>192</v>
      </c>
      <c r="G1641" s="9">
        <v>18</v>
      </c>
      <c r="H1641" s="26">
        <v>98400</v>
      </c>
      <c r="I1641" s="9">
        <v>5</v>
      </c>
      <c r="J1641" s="9">
        <f t="shared" si="50"/>
        <v>1771200</v>
      </c>
      <c r="K1641" s="9">
        <f t="shared" si="51"/>
        <v>1682640</v>
      </c>
      <c r="L1641" s="11" t="s">
        <v>76</v>
      </c>
      <c r="M1641" s="11" t="s">
        <v>91</v>
      </c>
      <c r="N1641">
        <v>6</v>
      </c>
      <c r="O1641">
        <v>2023</v>
      </c>
      <c r="P1641" s="29" t="s">
        <v>723</v>
      </c>
      <c r="Q1641" t="s">
        <v>736</v>
      </c>
      <c r="R1641" t="s">
        <v>737</v>
      </c>
    </row>
    <row r="1642" spans="1:18" x14ac:dyDescent="0.25">
      <c r="A1642" s="6">
        <v>1641</v>
      </c>
      <c r="B1642" s="7">
        <v>45463</v>
      </c>
      <c r="C1642" s="8" t="s">
        <v>88</v>
      </c>
      <c r="D1642" s="8" t="s">
        <v>117</v>
      </c>
      <c r="E1642" s="8" t="s">
        <v>79</v>
      </c>
      <c r="F1642" s="8" t="s">
        <v>172</v>
      </c>
      <c r="G1642" s="6">
        <v>25</v>
      </c>
      <c r="H1642" s="25">
        <v>25700</v>
      </c>
      <c r="I1642" s="6">
        <v>0</v>
      </c>
      <c r="J1642" s="6">
        <f t="shared" si="50"/>
        <v>642500</v>
      </c>
      <c r="K1642" s="6">
        <f t="shared" si="51"/>
        <v>642500</v>
      </c>
      <c r="L1642" s="8" t="s">
        <v>187</v>
      </c>
      <c r="M1642" s="8" t="s">
        <v>81</v>
      </c>
      <c r="N1642">
        <v>6</v>
      </c>
      <c r="O1642">
        <v>2024</v>
      </c>
      <c r="P1642" s="29" t="s">
        <v>720</v>
      </c>
      <c r="Q1642" t="s">
        <v>736</v>
      </c>
      <c r="R1642" t="s">
        <v>737</v>
      </c>
    </row>
    <row r="1643" spans="1:18" x14ac:dyDescent="0.25">
      <c r="A1643" s="9">
        <v>1642</v>
      </c>
      <c r="B1643" s="10">
        <v>45074</v>
      </c>
      <c r="C1643" s="11" t="s">
        <v>97</v>
      </c>
      <c r="D1643" s="11" t="s">
        <v>93</v>
      </c>
      <c r="E1643" s="11" t="s">
        <v>111</v>
      </c>
      <c r="F1643" s="11" t="s">
        <v>166</v>
      </c>
      <c r="G1643" s="9">
        <v>14</v>
      </c>
      <c r="H1643" s="26">
        <v>30700</v>
      </c>
      <c r="I1643" s="9">
        <v>5</v>
      </c>
      <c r="J1643" s="9">
        <f t="shared" si="50"/>
        <v>429800</v>
      </c>
      <c r="K1643" s="9">
        <f t="shared" si="51"/>
        <v>408310</v>
      </c>
      <c r="L1643" s="11" t="s">
        <v>76</v>
      </c>
      <c r="M1643" s="11" t="s">
        <v>96</v>
      </c>
      <c r="N1643">
        <v>5</v>
      </c>
      <c r="O1643">
        <v>2023</v>
      </c>
      <c r="P1643" s="29" t="s">
        <v>730</v>
      </c>
      <c r="Q1643" t="s">
        <v>736</v>
      </c>
      <c r="R1643" t="s">
        <v>737</v>
      </c>
    </row>
    <row r="1644" spans="1:18" x14ac:dyDescent="0.25">
      <c r="A1644" s="6">
        <v>1643</v>
      </c>
      <c r="B1644" s="7">
        <v>45148</v>
      </c>
      <c r="C1644" s="8" t="s">
        <v>106</v>
      </c>
      <c r="D1644" s="8" t="s">
        <v>117</v>
      </c>
      <c r="E1644" s="8" t="s">
        <v>84</v>
      </c>
      <c r="F1644" s="8" t="s">
        <v>148</v>
      </c>
      <c r="G1644" s="6">
        <v>31</v>
      </c>
      <c r="H1644" s="25">
        <v>5000</v>
      </c>
      <c r="I1644" s="6">
        <v>15</v>
      </c>
      <c r="J1644" s="6">
        <f t="shared" si="50"/>
        <v>155000</v>
      </c>
      <c r="K1644" s="6">
        <f t="shared" si="51"/>
        <v>131750</v>
      </c>
      <c r="L1644" s="8" t="s">
        <v>123</v>
      </c>
      <c r="M1644" s="8" t="s">
        <v>81</v>
      </c>
      <c r="N1644">
        <v>8</v>
      </c>
      <c r="O1644">
        <v>2023</v>
      </c>
      <c r="P1644" s="29" t="s">
        <v>713</v>
      </c>
      <c r="Q1644" t="s">
        <v>734</v>
      </c>
      <c r="R1644" t="s">
        <v>739</v>
      </c>
    </row>
    <row r="1645" spans="1:18" x14ac:dyDescent="0.25">
      <c r="A1645" s="9">
        <v>1644</v>
      </c>
      <c r="B1645" s="10">
        <v>45641</v>
      </c>
      <c r="C1645" s="11" t="s">
        <v>97</v>
      </c>
      <c r="D1645" s="11" t="s">
        <v>83</v>
      </c>
      <c r="E1645" s="11" t="s">
        <v>79</v>
      </c>
      <c r="F1645" s="11" t="s">
        <v>115</v>
      </c>
      <c r="G1645" s="9">
        <v>24</v>
      </c>
      <c r="H1645" s="26">
        <v>9400</v>
      </c>
      <c r="I1645" s="9">
        <v>5</v>
      </c>
      <c r="J1645" s="9">
        <f t="shared" si="50"/>
        <v>225600</v>
      </c>
      <c r="K1645" s="9">
        <f t="shared" si="51"/>
        <v>214320</v>
      </c>
      <c r="L1645" s="11" t="s">
        <v>76</v>
      </c>
      <c r="M1645" s="11" t="s">
        <v>91</v>
      </c>
      <c r="N1645">
        <v>12</v>
      </c>
      <c r="O1645">
        <v>2024</v>
      </c>
      <c r="P1645" s="29" t="s">
        <v>728</v>
      </c>
      <c r="Q1645" t="s">
        <v>733</v>
      </c>
      <c r="R1645" t="s">
        <v>737</v>
      </c>
    </row>
    <row r="1646" spans="1:18" x14ac:dyDescent="0.25">
      <c r="A1646" s="6">
        <v>1645</v>
      </c>
      <c r="B1646" s="7">
        <v>45295</v>
      </c>
      <c r="C1646" s="8" t="s">
        <v>114</v>
      </c>
      <c r="D1646" s="8" t="s">
        <v>73</v>
      </c>
      <c r="E1646" s="8" t="s">
        <v>111</v>
      </c>
      <c r="F1646" s="8" t="s">
        <v>135</v>
      </c>
      <c r="G1646" s="6">
        <v>18</v>
      </c>
      <c r="H1646" s="25">
        <v>113500</v>
      </c>
      <c r="I1646" s="6">
        <v>5</v>
      </c>
      <c r="J1646" s="6">
        <f t="shared" si="50"/>
        <v>2043000</v>
      </c>
      <c r="K1646" s="6">
        <f t="shared" si="51"/>
        <v>1940850</v>
      </c>
      <c r="L1646" s="8" t="s">
        <v>76</v>
      </c>
      <c r="M1646" s="8" t="s">
        <v>96</v>
      </c>
      <c r="N1646">
        <v>1</v>
      </c>
      <c r="O1646">
        <v>2024</v>
      </c>
      <c r="P1646" s="29" t="s">
        <v>727</v>
      </c>
      <c r="Q1646" t="s">
        <v>735</v>
      </c>
      <c r="R1646" t="s">
        <v>737</v>
      </c>
    </row>
    <row r="1647" spans="1:18" x14ac:dyDescent="0.25">
      <c r="A1647" s="9">
        <v>1646</v>
      </c>
      <c r="B1647" s="10">
        <v>45236</v>
      </c>
      <c r="C1647" s="11" t="s">
        <v>108</v>
      </c>
      <c r="D1647" s="11" t="s">
        <v>109</v>
      </c>
      <c r="E1647" s="11" t="s">
        <v>102</v>
      </c>
      <c r="F1647" s="11" t="s">
        <v>181</v>
      </c>
      <c r="G1647" s="9">
        <v>25</v>
      </c>
      <c r="H1647" s="26">
        <v>5000</v>
      </c>
      <c r="I1647" s="9">
        <v>0</v>
      </c>
      <c r="J1647" s="9">
        <f t="shared" si="50"/>
        <v>125000</v>
      </c>
      <c r="K1647" s="9">
        <f t="shared" si="51"/>
        <v>125000</v>
      </c>
      <c r="L1647" s="11" t="s">
        <v>76</v>
      </c>
      <c r="M1647" s="11" t="s">
        <v>81</v>
      </c>
      <c r="N1647">
        <v>11</v>
      </c>
      <c r="O1647">
        <v>2023</v>
      </c>
      <c r="P1647" s="29" t="s">
        <v>718</v>
      </c>
      <c r="Q1647" t="s">
        <v>733</v>
      </c>
      <c r="R1647" t="s">
        <v>739</v>
      </c>
    </row>
    <row r="1648" spans="1:18" x14ac:dyDescent="0.25">
      <c r="A1648" s="6">
        <v>1647</v>
      </c>
      <c r="B1648" s="7">
        <v>45651</v>
      </c>
      <c r="C1648" s="8" t="s">
        <v>108</v>
      </c>
      <c r="D1648" s="8" t="s">
        <v>73</v>
      </c>
      <c r="E1648" s="8" t="s">
        <v>102</v>
      </c>
      <c r="F1648" s="8" t="s">
        <v>138</v>
      </c>
      <c r="G1648" s="6">
        <v>34</v>
      </c>
      <c r="H1648" s="25">
        <v>6300</v>
      </c>
      <c r="I1648" s="6">
        <v>0</v>
      </c>
      <c r="J1648" s="6">
        <f t="shared" si="50"/>
        <v>214200</v>
      </c>
      <c r="K1648" s="6">
        <f t="shared" si="51"/>
        <v>214200</v>
      </c>
      <c r="L1648" s="8" t="s">
        <v>123</v>
      </c>
      <c r="M1648" s="8" t="s">
        <v>91</v>
      </c>
      <c r="N1648">
        <v>12</v>
      </c>
      <c r="O1648">
        <v>2024</v>
      </c>
      <c r="P1648" s="29" t="s">
        <v>728</v>
      </c>
      <c r="Q1648" t="s">
        <v>733</v>
      </c>
      <c r="R1648" t="s">
        <v>737</v>
      </c>
    </row>
    <row r="1649" spans="1:18" x14ac:dyDescent="0.25">
      <c r="A1649" s="9">
        <v>1648</v>
      </c>
      <c r="B1649" s="10">
        <v>45227</v>
      </c>
      <c r="C1649" s="11" t="s">
        <v>108</v>
      </c>
      <c r="D1649" s="11" t="s">
        <v>83</v>
      </c>
      <c r="E1649" s="11" t="s">
        <v>74</v>
      </c>
      <c r="F1649" s="11" t="s">
        <v>142</v>
      </c>
      <c r="G1649" s="9">
        <v>20</v>
      </c>
      <c r="H1649" s="26">
        <v>11500</v>
      </c>
      <c r="I1649" s="9">
        <v>0</v>
      </c>
      <c r="J1649" s="9">
        <f t="shared" si="50"/>
        <v>230000</v>
      </c>
      <c r="K1649" s="9">
        <f t="shared" si="51"/>
        <v>230000</v>
      </c>
      <c r="L1649" s="11" t="s">
        <v>76</v>
      </c>
      <c r="M1649" s="11" t="s">
        <v>77</v>
      </c>
      <c r="N1649">
        <v>10</v>
      </c>
      <c r="O1649">
        <v>2023</v>
      </c>
      <c r="P1649" s="29" t="s">
        <v>726</v>
      </c>
      <c r="Q1649" t="s">
        <v>733</v>
      </c>
      <c r="R1649" t="s">
        <v>737</v>
      </c>
    </row>
    <row r="1650" spans="1:18" x14ac:dyDescent="0.25">
      <c r="A1650" s="6">
        <v>1649</v>
      </c>
      <c r="B1650" s="7">
        <v>45050</v>
      </c>
      <c r="C1650" s="8" t="s">
        <v>124</v>
      </c>
      <c r="D1650" s="8" t="s">
        <v>73</v>
      </c>
      <c r="E1650" s="8" t="s">
        <v>102</v>
      </c>
      <c r="F1650" s="8" t="s">
        <v>103</v>
      </c>
      <c r="G1650" s="6">
        <v>31</v>
      </c>
      <c r="H1650" s="25">
        <v>9500</v>
      </c>
      <c r="I1650" s="6">
        <v>0</v>
      </c>
      <c r="J1650" s="6">
        <f t="shared" si="50"/>
        <v>294500</v>
      </c>
      <c r="K1650" s="6">
        <f t="shared" si="51"/>
        <v>294500</v>
      </c>
      <c r="L1650" s="8" t="s">
        <v>123</v>
      </c>
      <c r="M1650" s="8" t="s">
        <v>81</v>
      </c>
      <c r="N1650">
        <v>5</v>
      </c>
      <c r="O1650">
        <v>2023</v>
      </c>
      <c r="P1650" s="29" t="s">
        <v>730</v>
      </c>
      <c r="Q1650" t="s">
        <v>736</v>
      </c>
      <c r="R1650" t="s">
        <v>737</v>
      </c>
    </row>
    <row r="1651" spans="1:18" x14ac:dyDescent="0.25">
      <c r="A1651" s="9">
        <v>1650</v>
      </c>
      <c r="B1651" s="10">
        <v>44944</v>
      </c>
      <c r="C1651" s="11" t="s">
        <v>106</v>
      </c>
      <c r="D1651" s="11" t="s">
        <v>93</v>
      </c>
      <c r="E1651" s="11" t="s">
        <v>79</v>
      </c>
      <c r="F1651" s="11" t="s">
        <v>131</v>
      </c>
      <c r="G1651" s="9">
        <v>18</v>
      </c>
      <c r="H1651" s="26">
        <v>131200</v>
      </c>
      <c r="I1651" s="9">
        <v>10</v>
      </c>
      <c r="J1651" s="9">
        <f t="shared" si="50"/>
        <v>2361600</v>
      </c>
      <c r="K1651" s="9">
        <f t="shared" si="51"/>
        <v>2125440</v>
      </c>
      <c r="L1651" s="11" t="s">
        <v>187</v>
      </c>
      <c r="M1651" s="11" t="s">
        <v>81</v>
      </c>
      <c r="N1651">
        <v>1</v>
      </c>
      <c r="O1651">
        <v>2023</v>
      </c>
      <c r="P1651" s="29" t="s">
        <v>721</v>
      </c>
      <c r="Q1651" t="s">
        <v>735</v>
      </c>
      <c r="R1651" t="s">
        <v>737</v>
      </c>
    </row>
    <row r="1652" spans="1:18" x14ac:dyDescent="0.25">
      <c r="A1652" s="6">
        <v>1651</v>
      </c>
      <c r="B1652" s="7">
        <v>45143</v>
      </c>
      <c r="C1652" s="8" t="s">
        <v>119</v>
      </c>
      <c r="D1652" s="8" t="s">
        <v>93</v>
      </c>
      <c r="E1652" s="8" t="s">
        <v>74</v>
      </c>
      <c r="F1652" s="8" t="s">
        <v>142</v>
      </c>
      <c r="G1652" s="6">
        <v>12</v>
      </c>
      <c r="H1652" s="25">
        <v>11300</v>
      </c>
      <c r="I1652" s="6">
        <v>0</v>
      </c>
      <c r="J1652" s="6">
        <f t="shared" si="50"/>
        <v>135600</v>
      </c>
      <c r="K1652" s="6">
        <f t="shared" si="51"/>
        <v>135600</v>
      </c>
      <c r="L1652" s="8" t="s">
        <v>76</v>
      </c>
      <c r="M1652" s="8" t="s">
        <v>77</v>
      </c>
      <c r="N1652">
        <v>8</v>
      </c>
      <c r="O1652">
        <v>2023</v>
      </c>
      <c r="P1652" s="29" t="s">
        <v>713</v>
      </c>
      <c r="Q1652" t="s">
        <v>734</v>
      </c>
      <c r="R1652" t="s">
        <v>739</v>
      </c>
    </row>
    <row r="1653" spans="1:18" x14ac:dyDescent="0.25">
      <c r="A1653" s="9">
        <v>1652</v>
      </c>
      <c r="B1653" s="10">
        <v>45102</v>
      </c>
      <c r="C1653" s="11" t="s">
        <v>101</v>
      </c>
      <c r="D1653" s="11" t="s">
        <v>93</v>
      </c>
      <c r="E1653" s="11" t="s">
        <v>79</v>
      </c>
      <c r="F1653" s="11" t="s">
        <v>136</v>
      </c>
      <c r="G1653" s="9">
        <v>11</v>
      </c>
      <c r="H1653" s="26">
        <v>84900</v>
      </c>
      <c r="I1653" s="9">
        <v>20</v>
      </c>
      <c r="J1653" s="9">
        <f t="shared" si="50"/>
        <v>933900</v>
      </c>
      <c r="K1653" s="9">
        <f t="shared" si="51"/>
        <v>747120</v>
      </c>
      <c r="L1653" s="11" t="s">
        <v>76</v>
      </c>
      <c r="M1653" s="11" t="s">
        <v>81</v>
      </c>
      <c r="N1653">
        <v>6</v>
      </c>
      <c r="O1653">
        <v>2023</v>
      </c>
      <c r="P1653" s="29" t="s">
        <v>723</v>
      </c>
      <c r="Q1653" t="s">
        <v>736</v>
      </c>
      <c r="R1653" t="s">
        <v>737</v>
      </c>
    </row>
    <row r="1654" spans="1:18" x14ac:dyDescent="0.25">
      <c r="A1654" s="6">
        <v>1653</v>
      </c>
      <c r="B1654" s="7">
        <v>45062</v>
      </c>
      <c r="C1654" s="8" t="s">
        <v>106</v>
      </c>
      <c r="D1654" s="8" t="s">
        <v>93</v>
      </c>
      <c r="E1654" s="8" t="s">
        <v>74</v>
      </c>
      <c r="F1654" s="8" t="s">
        <v>190</v>
      </c>
      <c r="G1654" s="6">
        <v>30</v>
      </c>
      <c r="H1654" s="25">
        <v>32500</v>
      </c>
      <c r="I1654" s="6">
        <v>15</v>
      </c>
      <c r="J1654" s="6">
        <f t="shared" si="50"/>
        <v>975000</v>
      </c>
      <c r="K1654" s="6">
        <f t="shared" si="51"/>
        <v>828750</v>
      </c>
      <c r="L1654" s="8" t="s">
        <v>76</v>
      </c>
      <c r="M1654" s="8" t="s">
        <v>77</v>
      </c>
      <c r="N1654">
        <v>5</v>
      </c>
      <c r="O1654">
        <v>2023</v>
      </c>
      <c r="P1654" s="29" t="s">
        <v>730</v>
      </c>
      <c r="Q1654" t="s">
        <v>736</v>
      </c>
      <c r="R1654" t="s">
        <v>737</v>
      </c>
    </row>
    <row r="1655" spans="1:18" x14ac:dyDescent="0.25">
      <c r="A1655" s="9">
        <v>1654</v>
      </c>
      <c r="B1655" s="10">
        <v>45269</v>
      </c>
      <c r="C1655" s="11" t="s">
        <v>108</v>
      </c>
      <c r="D1655" s="11" t="s">
        <v>93</v>
      </c>
      <c r="E1655" s="11" t="s">
        <v>79</v>
      </c>
      <c r="F1655" s="11" t="s">
        <v>131</v>
      </c>
      <c r="G1655" s="9">
        <v>9</v>
      </c>
      <c r="H1655" s="26">
        <v>137500</v>
      </c>
      <c r="I1655" s="9">
        <v>10</v>
      </c>
      <c r="J1655" s="9">
        <f t="shared" si="50"/>
        <v>1237500</v>
      </c>
      <c r="K1655" s="9">
        <f t="shared" si="51"/>
        <v>1113750</v>
      </c>
      <c r="L1655" s="11" t="s">
        <v>76</v>
      </c>
      <c r="M1655" s="11" t="s">
        <v>91</v>
      </c>
      <c r="N1655">
        <v>12</v>
      </c>
      <c r="O1655">
        <v>2023</v>
      </c>
      <c r="P1655" s="29" t="s">
        <v>725</v>
      </c>
      <c r="Q1655" t="s">
        <v>733</v>
      </c>
      <c r="R1655" t="s">
        <v>737</v>
      </c>
    </row>
    <row r="1656" spans="1:18" x14ac:dyDescent="0.25">
      <c r="A1656" s="9">
        <v>1655</v>
      </c>
      <c r="B1656" s="10">
        <v>45428</v>
      </c>
      <c r="C1656" s="11" t="s">
        <v>114</v>
      </c>
      <c r="D1656" s="11" t="s">
        <v>93</v>
      </c>
      <c r="E1656" s="11" t="s">
        <v>102</v>
      </c>
      <c r="F1656" s="11" t="s">
        <v>151</v>
      </c>
      <c r="G1656" s="9">
        <v>30</v>
      </c>
      <c r="H1656" s="26">
        <v>8400</v>
      </c>
      <c r="I1656" s="9">
        <v>20</v>
      </c>
      <c r="J1656" s="9">
        <f t="shared" si="50"/>
        <v>252000</v>
      </c>
      <c r="K1656" s="9">
        <f t="shared" si="51"/>
        <v>201600</v>
      </c>
      <c r="L1656" s="11" t="s">
        <v>123</v>
      </c>
      <c r="M1656" s="11" t="s">
        <v>96</v>
      </c>
      <c r="N1656">
        <v>5</v>
      </c>
      <c r="O1656">
        <v>2024</v>
      </c>
      <c r="P1656" s="29" t="s">
        <v>732</v>
      </c>
      <c r="Q1656" t="s">
        <v>736</v>
      </c>
      <c r="R1656" t="s">
        <v>737</v>
      </c>
    </row>
    <row r="1657" spans="1:18" x14ac:dyDescent="0.25">
      <c r="A1657" s="6">
        <v>1656</v>
      </c>
      <c r="B1657" s="7">
        <v>45635</v>
      </c>
      <c r="C1657" s="8" t="s">
        <v>124</v>
      </c>
      <c r="D1657" s="8" t="s">
        <v>83</v>
      </c>
      <c r="E1657" s="8" t="s">
        <v>74</v>
      </c>
      <c r="F1657" s="8" t="s">
        <v>140</v>
      </c>
      <c r="G1657" s="6">
        <v>32</v>
      </c>
      <c r="H1657" s="25">
        <v>4200</v>
      </c>
      <c r="I1657" s="6">
        <v>0</v>
      </c>
      <c r="J1657" s="6">
        <f t="shared" si="50"/>
        <v>134400</v>
      </c>
      <c r="K1657" s="6">
        <f t="shared" si="51"/>
        <v>134400</v>
      </c>
      <c r="L1657" s="8" t="s">
        <v>76</v>
      </c>
      <c r="M1657" s="8" t="s">
        <v>77</v>
      </c>
      <c r="N1657">
        <v>12</v>
      </c>
      <c r="O1657">
        <v>2024</v>
      </c>
      <c r="P1657" s="29" t="s">
        <v>728</v>
      </c>
      <c r="Q1657" t="s">
        <v>733</v>
      </c>
      <c r="R1657" t="s">
        <v>739</v>
      </c>
    </row>
    <row r="1658" spans="1:18" x14ac:dyDescent="0.25">
      <c r="A1658" s="9">
        <v>1657</v>
      </c>
      <c r="B1658" s="10">
        <v>45002</v>
      </c>
      <c r="C1658" s="11" t="s">
        <v>124</v>
      </c>
      <c r="D1658" s="11" t="s">
        <v>117</v>
      </c>
      <c r="E1658" s="11" t="s">
        <v>74</v>
      </c>
      <c r="F1658" s="11" t="s">
        <v>118</v>
      </c>
      <c r="G1658" s="9">
        <v>27</v>
      </c>
      <c r="H1658" s="26">
        <v>29400</v>
      </c>
      <c r="I1658" s="9">
        <v>0</v>
      </c>
      <c r="J1658" s="9">
        <f t="shared" si="50"/>
        <v>793800</v>
      </c>
      <c r="K1658" s="9">
        <f t="shared" si="51"/>
        <v>793800</v>
      </c>
      <c r="L1658" s="11" t="s">
        <v>76</v>
      </c>
      <c r="M1658" s="11" t="s">
        <v>96</v>
      </c>
      <c r="N1658">
        <v>3</v>
      </c>
      <c r="O1658">
        <v>2023</v>
      </c>
      <c r="P1658" s="29" t="s">
        <v>719</v>
      </c>
      <c r="Q1658" t="s">
        <v>735</v>
      </c>
      <c r="R1658" t="s">
        <v>737</v>
      </c>
    </row>
    <row r="1659" spans="1:18" x14ac:dyDescent="0.25">
      <c r="A1659" s="6">
        <v>1658</v>
      </c>
      <c r="B1659" s="7">
        <v>44951</v>
      </c>
      <c r="C1659" s="8" t="s">
        <v>88</v>
      </c>
      <c r="D1659" s="8" t="s">
        <v>83</v>
      </c>
      <c r="E1659" s="8" t="s">
        <v>84</v>
      </c>
      <c r="F1659" s="8" t="s">
        <v>206</v>
      </c>
      <c r="G1659" s="6">
        <v>50</v>
      </c>
      <c r="H1659" s="25">
        <v>13400</v>
      </c>
      <c r="I1659" s="6">
        <v>5</v>
      </c>
      <c r="J1659" s="6">
        <f t="shared" si="50"/>
        <v>670000</v>
      </c>
      <c r="K1659" s="6">
        <f t="shared" si="51"/>
        <v>636500</v>
      </c>
      <c r="L1659" s="8" t="s">
        <v>76</v>
      </c>
      <c r="M1659" s="8" t="s">
        <v>81</v>
      </c>
      <c r="N1659">
        <v>1</v>
      </c>
      <c r="O1659">
        <v>2023</v>
      </c>
      <c r="P1659" s="29" t="s">
        <v>721</v>
      </c>
      <c r="Q1659" t="s">
        <v>735</v>
      </c>
      <c r="R1659" t="s">
        <v>737</v>
      </c>
    </row>
    <row r="1660" spans="1:18" x14ac:dyDescent="0.25">
      <c r="A1660" s="9">
        <v>1659</v>
      </c>
      <c r="B1660" s="10">
        <v>45531</v>
      </c>
      <c r="C1660" s="11" t="s">
        <v>108</v>
      </c>
      <c r="D1660" s="11" t="s">
        <v>117</v>
      </c>
      <c r="E1660" s="11" t="s">
        <v>111</v>
      </c>
      <c r="F1660" s="11" t="s">
        <v>156</v>
      </c>
      <c r="G1660" s="9">
        <v>15</v>
      </c>
      <c r="H1660" s="26">
        <v>39300</v>
      </c>
      <c r="I1660" s="9">
        <v>5</v>
      </c>
      <c r="J1660" s="9">
        <f t="shared" si="50"/>
        <v>589500</v>
      </c>
      <c r="K1660" s="9">
        <f t="shared" si="51"/>
        <v>560025</v>
      </c>
      <c r="L1660" s="11" t="s">
        <v>107</v>
      </c>
      <c r="M1660" s="11" t="s">
        <v>96</v>
      </c>
      <c r="N1660">
        <v>8</v>
      </c>
      <c r="O1660">
        <v>2024</v>
      </c>
      <c r="P1660" s="29" t="s">
        <v>710</v>
      </c>
      <c r="Q1660" t="s">
        <v>734</v>
      </c>
      <c r="R1660" t="s">
        <v>737</v>
      </c>
    </row>
    <row r="1661" spans="1:18" x14ac:dyDescent="0.25">
      <c r="A1661" s="6">
        <v>1660</v>
      </c>
      <c r="B1661" s="7">
        <v>45335</v>
      </c>
      <c r="C1661" s="8" t="s">
        <v>119</v>
      </c>
      <c r="D1661" s="8" t="s">
        <v>83</v>
      </c>
      <c r="E1661" s="8" t="s">
        <v>74</v>
      </c>
      <c r="F1661" s="8" t="s">
        <v>75</v>
      </c>
      <c r="G1661" s="6">
        <v>27</v>
      </c>
      <c r="H1661" s="25">
        <v>22300</v>
      </c>
      <c r="I1661" s="6">
        <v>0</v>
      </c>
      <c r="J1661" s="6">
        <f t="shared" si="50"/>
        <v>602100</v>
      </c>
      <c r="K1661" s="6">
        <f t="shared" si="51"/>
        <v>602100</v>
      </c>
      <c r="L1661" s="8" t="s">
        <v>123</v>
      </c>
      <c r="M1661" s="8" t="s">
        <v>81</v>
      </c>
      <c r="N1661">
        <v>2</v>
      </c>
      <c r="O1661">
        <v>2024</v>
      </c>
      <c r="P1661" s="29" t="s">
        <v>729</v>
      </c>
      <c r="Q1661" t="s">
        <v>735</v>
      </c>
      <c r="R1661" t="s">
        <v>737</v>
      </c>
    </row>
    <row r="1662" spans="1:18" x14ac:dyDescent="0.25">
      <c r="A1662" s="9">
        <v>1661</v>
      </c>
      <c r="B1662" s="10">
        <v>45582</v>
      </c>
      <c r="C1662" s="11" t="s">
        <v>97</v>
      </c>
      <c r="D1662" s="11" t="s">
        <v>117</v>
      </c>
      <c r="E1662" s="11" t="s">
        <v>74</v>
      </c>
      <c r="F1662" s="11" t="s">
        <v>94</v>
      </c>
      <c r="G1662" s="9">
        <v>25</v>
      </c>
      <c r="H1662" s="26">
        <v>34600</v>
      </c>
      <c r="I1662" s="9">
        <v>0</v>
      </c>
      <c r="J1662" s="9">
        <f t="shared" si="50"/>
        <v>865000</v>
      </c>
      <c r="K1662" s="9">
        <f t="shared" si="51"/>
        <v>865000</v>
      </c>
      <c r="L1662" s="11" t="s">
        <v>107</v>
      </c>
      <c r="M1662" s="11" t="s">
        <v>91</v>
      </c>
      <c r="N1662">
        <v>10</v>
      </c>
      <c r="O1662">
        <v>2024</v>
      </c>
      <c r="P1662" s="29" t="s">
        <v>709</v>
      </c>
      <c r="Q1662" t="s">
        <v>733</v>
      </c>
      <c r="R1662" t="s">
        <v>737</v>
      </c>
    </row>
    <row r="1663" spans="1:18" x14ac:dyDescent="0.25">
      <c r="A1663" s="6">
        <v>1662</v>
      </c>
      <c r="B1663" s="7">
        <v>45391</v>
      </c>
      <c r="C1663" s="8" t="s">
        <v>101</v>
      </c>
      <c r="D1663" s="8" t="s">
        <v>117</v>
      </c>
      <c r="E1663" s="8" t="s">
        <v>102</v>
      </c>
      <c r="F1663" s="8" t="s">
        <v>197</v>
      </c>
      <c r="G1663" s="12">
        <v>31</v>
      </c>
      <c r="H1663" s="25">
        <v>3500</v>
      </c>
      <c r="I1663" s="6">
        <v>0</v>
      </c>
      <c r="J1663" s="6">
        <f t="shared" si="50"/>
        <v>108500</v>
      </c>
      <c r="K1663" s="6">
        <f t="shared" si="51"/>
        <v>108500</v>
      </c>
      <c r="L1663" s="8" t="s">
        <v>76</v>
      </c>
      <c r="M1663" s="8" t="s">
        <v>96</v>
      </c>
      <c r="N1663">
        <v>4</v>
      </c>
      <c r="O1663">
        <v>2024</v>
      </c>
      <c r="P1663" s="29" t="s">
        <v>722</v>
      </c>
      <c r="Q1663" t="s">
        <v>736</v>
      </c>
      <c r="R1663" t="s">
        <v>739</v>
      </c>
    </row>
    <row r="1664" spans="1:18" x14ac:dyDescent="0.25">
      <c r="A1664" s="9">
        <v>1663</v>
      </c>
      <c r="B1664" s="10">
        <v>45244</v>
      </c>
      <c r="C1664" s="11" t="s">
        <v>82</v>
      </c>
      <c r="D1664" s="11" t="s">
        <v>109</v>
      </c>
      <c r="E1664" s="11" t="s">
        <v>79</v>
      </c>
      <c r="F1664" s="11" t="s">
        <v>131</v>
      </c>
      <c r="G1664" s="9">
        <v>46</v>
      </c>
      <c r="H1664" s="26">
        <v>112400</v>
      </c>
      <c r="I1664" s="9">
        <v>0</v>
      </c>
      <c r="J1664" s="9">
        <f t="shared" si="50"/>
        <v>5170400</v>
      </c>
      <c r="K1664" s="9">
        <f t="shared" si="51"/>
        <v>5170400</v>
      </c>
      <c r="L1664" s="11" t="s">
        <v>76</v>
      </c>
      <c r="M1664" s="11" t="s">
        <v>77</v>
      </c>
      <c r="N1664">
        <v>11</v>
      </c>
      <c r="O1664">
        <v>2023</v>
      </c>
      <c r="P1664" s="29" t="s">
        <v>718</v>
      </c>
      <c r="Q1664" t="s">
        <v>733</v>
      </c>
      <c r="R1664" t="s">
        <v>737</v>
      </c>
    </row>
    <row r="1665" spans="1:18" x14ac:dyDescent="0.25">
      <c r="A1665" s="6">
        <v>1664</v>
      </c>
      <c r="B1665" s="7">
        <v>45418</v>
      </c>
      <c r="C1665" s="8" t="s">
        <v>106</v>
      </c>
      <c r="D1665" s="8" t="s">
        <v>93</v>
      </c>
      <c r="E1665" s="8" t="s">
        <v>74</v>
      </c>
      <c r="F1665" s="8" t="s">
        <v>94</v>
      </c>
      <c r="G1665" s="6">
        <v>22</v>
      </c>
      <c r="H1665" s="25">
        <v>35400</v>
      </c>
      <c r="I1665" s="6">
        <v>0</v>
      </c>
      <c r="J1665" s="6">
        <f t="shared" si="50"/>
        <v>778800</v>
      </c>
      <c r="K1665" s="6">
        <f t="shared" si="51"/>
        <v>778800</v>
      </c>
      <c r="L1665" s="8" t="s">
        <v>187</v>
      </c>
      <c r="M1665" s="8" t="s">
        <v>91</v>
      </c>
      <c r="N1665">
        <v>5</v>
      </c>
      <c r="O1665">
        <v>2024</v>
      </c>
      <c r="P1665" s="29" t="s">
        <v>732</v>
      </c>
      <c r="Q1665" t="s">
        <v>736</v>
      </c>
      <c r="R1665" t="s">
        <v>737</v>
      </c>
    </row>
    <row r="1666" spans="1:18" x14ac:dyDescent="0.25">
      <c r="A1666" s="9">
        <v>1665</v>
      </c>
      <c r="B1666" s="10">
        <v>45563</v>
      </c>
      <c r="C1666" s="11" t="s">
        <v>88</v>
      </c>
      <c r="D1666" s="11" t="s">
        <v>117</v>
      </c>
      <c r="E1666" s="11" t="s">
        <v>74</v>
      </c>
      <c r="F1666" s="11" t="s">
        <v>94</v>
      </c>
      <c r="G1666" s="9">
        <v>38</v>
      </c>
      <c r="H1666" s="26">
        <v>38500</v>
      </c>
      <c r="I1666" s="9">
        <v>20</v>
      </c>
      <c r="J1666" s="9">
        <f t="shared" ref="J1666:J1729" si="52">G1666*H1666</f>
        <v>1463000</v>
      </c>
      <c r="K1666" s="9">
        <f t="shared" ref="K1666:K1729" si="53">J1666*(1-I1666/100)</f>
        <v>1170400</v>
      </c>
      <c r="L1666" s="11" t="s">
        <v>76</v>
      </c>
      <c r="M1666" s="11" t="s">
        <v>91</v>
      </c>
      <c r="N1666">
        <v>9</v>
      </c>
      <c r="O1666">
        <v>2024</v>
      </c>
      <c r="P1666" s="29" t="s">
        <v>731</v>
      </c>
      <c r="Q1666" t="s">
        <v>734</v>
      </c>
      <c r="R1666" t="s">
        <v>737</v>
      </c>
    </row>
    <row r="1667" spans="1:18" x14ac:dyDescent="0.25">
      <c r="A1667" s="6">
        <v>1666</v>
      </c>
      <c r="B1667" s="7">
        <v>45426</v>
      </c>
      <c r="C1667" s="8" t="s">
        <v>114</v>
      </c>
      <c r="D1667" s="8" t="s">
        <v>93</v>
      </c>
      <c r="E1667" s="8" t="s">
        <v>79</v>
      </c>
      <c r="F1667" s="8" t="s">
        <v>131</v>
      </c>
      <c r="G1667" s="6">
        <v>10</v>
      </c>
      <c r="H1667" s="25">
        <v>138000</v>
      </c>
      <c r="I1667" s="6">
        <v>0</v>
      </c>
      <c r="J1667" s="6">
        <f t="shared" si="52"/>
        <v>1380000</v>
      </c>
      <c r="K1667" s="6">
        <f t="shared" si="53"/>
        <v>1380000</v>
      </c>
      <c r="L1667" s="8" t="s">
        <v>123</v>
      </c>
      <c r="M1667" s="8" t="s">
        <v>91</v>
      </c>
      <c r="N1667">
        <v>5</v>
      </c>
      <c r="O1667">
        <v>2024</v>
      </c>
      <c r="P1667" s="29" t="s">
        <v>732</v>
      </c>
      <c r="Q1667" t="s">
        <v>736</v>
      </c>
      <c r="R1667" t="s">
        <v>737</v>
      </c>
    </row>
    <row r="1668" spans="1:18" x14ac:dyDescent="0.25">
      <c r="A1668" s="6">
        <v>1667</v>
      </c>
      <c r="B1668" s="7">
        <v>45484</v>
      </c>
      <c r="C1668" s="8" t="s">
        <v>119</v>
      </c>
      <c r="D1668" s="8" t="s">
        <v>117</v>
      </c>
      <c r="E1668" s="8" t="s">
        <v>84</v>
      </c>
      <c r="F1668" s="8" t="s">
        <v>128</v>
      </c>
      <c r="G1668" s="6">
        <v>13</v>
      </c>
      <c r="H1668" s="25">
        <v>4600</v>
      </c>
      <c r="I1668" s="6">
        <v>0</v>
      </c>
      <c r="J1668" s="6">
        <f t="shared" si="52"/>
        <v>59800</v>
      </c>
      <c r="K1668" s="6">
        <f t="shared" si="53"/>
        <v>59800</v>
      </c>
      <c r="L1668" s="8" t="s">
        <v>76</v>
      </c>
      <c r="M1668" s="8" t="s">
        <v>91</v>
      </c>
      <c r="N1668">
        <v>7</v>
      </c>
      <c r="O1668">
        <v>2024</v>
      </c>
      <c r="P1668" s="29" t="s">
        <v>712</v>
      </c>
      <c r="Q1668" t="s">
        <v>734</v>
      </c>
      <c r="R1668" t="s">
        <v>739</v>
      </c>
    </row>
    <row r="1669" spans="1:18" x14ac:dyDescent="0.25">
      <c r="A1669" s="9">
        <v>1668</v>
      </c>
      <c r="B1669" s="10">
        <v>45506</v>
      </c>
      <c r="C1669" s="11" t="s">
        <v>106</v>
      </c>
      <c r="D1669" s="11" t="s">
        <v>73</v>
      </c>
      <c r="E1669" s="11" t="s">
        <v>79</v>
      </c>
      <c r="F1669" s="11" t="s">
        <v>179</v>
      </c>
      <c r="G1669" s="9">
        <v>9</v>
      </c>
      <c r="H1669" s="26">
        <v>2300</v>
      </c>
      <c r="I1669" s="9">
        <v>5</v>
      </c>
      <c r="J1669" s="9">
        <f t="shared" si="52"/>
        <v>20700</v>
      </c>
      <c r="K1669" s="9">
        <f t="shared" si="53"/>
        <v>19665</v>
      </c>
      <c r="L1669" s="11" t="s">
        <v>76</v>
      </c>
      <c r="M1669" s="11" t="s">
        <v>81</v>
      </c>
      <c r="N1669">
        <v>8</v>
      </c>
      <c r="O1669">
        <v>2024</v>
      </c>
      <c r="P1669" s="29" t="s">
        <v>710</v>
      </c>
      <c r="Q1669" t="s">
        <v>734</v>
      </c>
      <c r="R1669" t="s">
        <v>738</v>
      </c>
    </row>
    <row r="1670" spans="1:18" x14ac:dyDescent="0.25">
      <c r="A1670" s="6">
        <v>1669</v>
      </c>
      <c r="B1670" s="7">
        <v>45052</v>
      </c>
      <c r="C1670" s="8" t="s">
        <v>114</v>
      </c>
      <c r="D1670" s="8" t="s">
        <v>93</v>
      </c>
      <c r="E1670" s="8" t="s">
        <v>102</v>
      </c>
      <c r="F1670" s="8" t="s">
        <v>110</v>
      </c>
      <c r="G1670" s="6">
        <v>14</v>
      </c>
      <c r="H1670" s="25">
        <v>25200</v>
      </c>
      <c r="I1670" s="6">
        <v>0</v>
      </c>
      <c r="J1670" s="6">
        <f t="shared" si="52"/>
        <v>352800</v>
      </c>
      <c r="K1670" s="6">
        <f t="shared" si="53"/>
        <v>352800</v>
      </c>
      <c r="L1670" s="8" t="s">
        <v>76</v>
      </c>
      <c r="M1670" s="8" t="s">
        <v>77</v>
      </c>
      <c r="N1670">
        <v>5</v>
      </c>
      <c r="O1670">
        <v>2023</v>
      </c>
      <c r="P1670" s="29" t="s">
        <v>730</v>
      </c>
      <c r="Q1670" t="s">
        <v>736</v>
      </c>
      <c r="R1670" t="s">
        <v>737</v>
      </c>
    </row>
    <row r="1671" spans="1:18" x14ac:dyDescent="0.25">
      <c r="A1671" s="9">
        <v>1670</v>
      </c>
      <c r="B1671" s="10">
        <v>45140</v>
      </c>
      <c r="C1671" s="11" t="s">
        <v>101</v>
      </c>
      <c r="D1671" s="11" t="s">
        <v>83</v>
      </c>
      <c r="E1671" s="11" t="s">
        <v>79</v>
      </c>
      <c r="F1671" s="11" t="s">
        <v>80</v>
      </c>
      <c r="G1671" s="9">
        <v>11</v>
      </c>
      <c r="H1671" s="26">
        <v>8600</v>
      </c>
      <c r="I1671" s="9">
        <v>0</v>
      </c>
      <c r="J1671" s="9">
        <f t="shared" si="52"/>
        <v>94600</v>
      </c>
      <c r="K1671" s="9">
        <f t="shared" si="53"/>
        <v>94600</v>
      </c>
      <c r="L1671" s="11" t="s">
        <v>107</v>
      </c>
      <c r="M1671" s="11" t="s">
        <v>91</v>
      </c>
      <c r="N1671">
        <v>8</v>
      </c>
      <c r="O1671">
        <v>2023</v>
      </c>
      <c r="P1671" s="29" t="s">
        <v>713</v>
      </c>
      <c r="Q1671" t="s">
        <v>734</v>
      </c>
      <c r="R1671" t="s">
        <v>739</v>
      </c>
    </row>
    <row r="1672" spans="1:18" x14ac:dyDescent="0.25">
      <c r="A1672" s="6">
        <v>1671</v>
      </c>
      <c r="B1672" s="7">
        <v>45008</v>
      </c>
      <c r="C1672" s="8" t="s">
        <v>119</v>
      </c>
      <c r="D1672" s="8" t="s">
        <v>117</v>
      </c>
      <c r="E1672" s="8" t="s">
        <v>102</v>
      </c>
      <c r="F1672" s="8" t="s">
        <v>157</v>
      </c>
      <c r="G1672" s="6">
        <v>17</v>
      </c>
      <c r="H1672" s="25">
        <v>13400</v>
      </c>
      <c r="I1672" s="6">
        <v>15</v>
      </c>
      <c r="J1672" s="6">
        <f t="shared" si="52"/>
        <v>227800</v>
      </c>
      <c r="K1672" s="6">
        <f t="shared" si="53"/>
        <v>193630</v>
      </c>
      <c r="L1672" s="8" t="s">
        <v>76</v>
      </c>
      <c r="M1672" s="31" t="s">
        <v>695</v>
      </c>
      <c r="N1672">
        <v>3</v>
      </c>
      <c r="O1672">
        <v>2023</v>
      </c>
      <c r="P1672" s="29" t="s">
        <v>719</v>
      </c>
      <c r="Q1672" t="s">
        <v>735</v>
      </c>
      <c r="R1672" t="s">
        <v>739</v>
      </c>
    </row>
    <row r="1673" spans="1:18" x14ac:dyDescent="0.25">
      <c r="A1673" s="9">
        <v>1672</v>
      </c>
      <c r="B1673" s="10">
        <v>45607</v>
      </c>
      <c r="C1673" s="11" t="s">
        <v>88</v>
      </c>
      <c r="D1673" s="11" t="s">
        <v>93</v>
      </c>
      <c r="E1673" s="11" t="s">
        <v>84</v>
      </c>
      <c r="F1673" s="11" t="s">
        <v>134</v>
      </c>
      <c r="G1673" s="9">
        <v>50</v>
      </c>
      <c r="H1673" s="26">
        <v>10600</v>
      </c>
      <c r="I1673" s="9">
        <v>20</v>
      </c>
      <c r="J1673" s="9">
        <f t="shared" si="52"/>
        <v>530000</v>
      </c>
      <c r="K1673" s="9">
        <f t="shared" si="53"/>
        <v>424000</v>
      </c>
      <c r="L1673" s="11" t="s">
        <v>107</v>
      </c>
      <c r="M1673" s="11" t="s">
        <v>81</v>
      </c>
      <c r="N1673">
        <v>11</v>
      </c>
      <c r="O1673">
        <v>2024</v>
      </c>
      <c r="P1673" s="29" t="s">
        <v>714</v>
      </c>
      <c r="Q1673" t="s">
        <v>733</v>
      </c>
      <c r="R1673" t="s">
        <v>737</v>
      </c>
    </row>
    <row r="1674" spans="1:18" x14ac:dyDescent="0.25">
      <c r="A1674" s="6">
        <v>1673</v>
      </c>
      <c r="B1674" s="7">
        <v>44949</v>
      </c>
      <c r="C1674" s="8" t="s">
        <v>114</v>
      </c>
      <c r="D1674" s="8" t="s">
        <v>83</v>
      </c>
      <c r="E1674" s="8" t="s">
        <v>74</v>
      </c>
      <c r="F1674" s="8" t="s">
        <v>212</v>
      </c>
      <c r="G1674" s="6">
        <v>20</v>
      </c>
      <c r="H1674" s="25">
        <v>9100</v>
      </c>
      <c r="I1674" s="6">
        <v>0</v>
      </c>
      <c r="J1674" s="6">
        <f t="shared" si="52"/>
        <v>182000</v>
      </c>
      <c r="K1674" s="6">
        <f t="shared" si="53"/>
        <v>182000</v>
      </c>
      <c r="L1674" s="8" t="s">
        <v>76</v>
      </c>
      <c r="M1674" s="8" t="s">
        <v>91</v>
      </c>
      <c r="N1674">
        <v>1</v>
      </c>
      <c r="O1674">
        <v>2023</v>
      </c>
      <c r="P1674" s="29" t="s">
        <v>721</v>
      </c>
      <c r="Q1674" t="s">
        <v>735</v>
      </c>
      <c r="R1674" t="s">
        <v>739</v>
      </c>
    </row>
    <row r="1675" spans="1:18" x14ac:dyDescent="0.25">
      <c r="A1675" s="9">
        <v>1674</v>
      </c>
      <c r="B1675" s="10">
        <v>45532</v>
      </c>
      <c r="C1675" s="11" t="s">
        <v>101</v>
      </c>
      <c r="D1675" s="11" t="s">
        <v>117</v>
      </c>
      <c r="E1675" s="11" t="s">
        <v>79</v>
      </c>
      <c r="F1675" s="11" t="s">
        <v>122</v>
      </c>
      <c r="G1675" s="9">
        <v>15</v>
      </c>
      <c r="H1675" s="26">
        <v>18700</v>
      </c>
      <c r="I1675" s="9">
        <v>5</v>
      </c>
      <c r="J1675" s="9">
        <f t="shared" si="52"/>
        <v>280500</v>
      </c>
      <c r="K1675" s="9">
        <f t="shared" si="53"/>
        <v>266475</v>
      </c>
      <c r="L1675" s="11" t="s">
        <v>107</v>
      </c>
      <c r="M1675" s="11" t="s">
        <v>81</v>
      </c>
      <c r="N1675">
        <v>8</v>
      </c>
      <c r="O1675">
        <v>2024</v>
      </c>
      <c r="P1675" s="29" t="s">
        <v>710</v>
      </c>
      <c r="Q1675" t="s">
        <v>734</v>
      </c>
      <c r="R1675" t="s">
        <v>737</v>
      </c>
    </row>
    <row r="1676" spans="1:18" x14ac:dyDescent="0.25">
      <c r="A1676" s="6">
        <v>1675</v>
      </c>
      <c r="B1676" s="7">
        <v>45083</v>
      </c>
      <c r="C1676" s="8" t="s">
        <v>97</v>
      </c>
      <c r="D1676" s="8" t="s">
        <v>93</v>
      </c>
      <c r="E1676" s="8" t="s">
        <v>102</v>
      </c>
      <c r="F1676" s="8" t="s">
        <v>157</v>
      </c>
      <c r="G1676" s="6">
        <v>26</v>
      </c>
      <c r="H1676" s="25">
        <v>12000</v>
      </c>
      <c r="I1676" s="6">
        <v>0</v>
      </c>
      <c r="J1676" s="6">
        <f t="shared" si="52"/>
        <v>312000</v>
      </c>
      <c r="K1676" s="6">
        <f t="shared" si="53"/>
        <v>312000</v>
      </c>
      <c r="L1676" s="8" t="s">
        <v>76</v>
      </c>
      <c r="M1676" s="8" t="s">
        <v>96</v>
      </c>
      <c r="N1676">
        <v>6</v>
      </c>
      <c r="O1676">
        <v>2023</v>
      </c>
      <c r="P1676" s="29" t="s">
        <v>723</v>
      </c>
      <c r="Q1676" t="s">
        <v>736</v>
      </c>
      <c r="R1676" t="s">
        <v>737</v>
      </c>
    </row>
    <row r="1677" spans="1:18" x14ac:dyDescent="0.25">
      <c r="A1677" s="9">
        <v>1676</v>
      </c>
      <c r="B1677" s="10">
        <v>45010</v>
      </c>
      <c r="C1677" s="11" t="s">
        <v>106</v>
      </c>
      <c r="D1677" s="11" t="s">
        <v>109</v>
      </c>
      <c r="E1677" s="11" t="s">
        <v>102</v>
      </c>
      <c r="F1677" s="11" t="s">
        <v>197</v>
      </c>
      <c r="G1677" s="9">
        <v>43</v>
      </c>
      <c r="H1677" s="26">
        <v>4300</v>
      </c>
      <c r="I1677" s="6">
        <v>0</v>
      </c>
      <c r="J1677" s="9">
        <f t="shared" si="52"/>
        <v>184900</v>
      </c>
      <c r="K1677" s="9">
        <f t="shared" si="53"/>
        <v>184900</v>
      </c>
      <c r="L1677" s="11" t="s">
        <v>76</v>
      </c>
      <c r="M1677" s="11" t="s">
        <v>96</v>
      </c>
      <c r="N1677">
        <v>3</v>
      </c>
      <c r="O1677">
        <v>2023</v>
      </c>
      <c r="P1677" s="29" t="s">
        <v>719</v>
      </c>
      <c r="Q1677" t="s">
        <v>735</v>
      </c>
      <c r="R1677" t="s">
        <v>739</v>
      </c>
    </row>
    <row r="1678" spans="1:18" x14ac:dyDescent="0.25">
      <c r="A1678" s="6">
        <v>1677</v>
      </c>
      <c r="B1678" s="7">
        <v>45373</v>
      </c>
      <c r="C1678" s="8" t="s">
        <v>114</v>
      </c>
      <c r="D1678" s="8" t="s">
        <v>83</v>
      </c>
      <c r="E1678" s="8" t="s">
        <v>84</v>
      </c>
      <c r="F1678" s="8" t="s">
        <v>148</v>
      </c>
      <c r="G1678" s="6">
        <v>2</v>
      </c>
      <c r="H1678" s="25">
        <v>4900</v>
      </c>
      <c r="I1678" s="6">
        <v>0</v>
      </c>
      <c r="J1678" s="6">
        <f t="shared" si="52"/>
        <v>9800</v>
      </c>
      <c r="K1678" s="6">
        <f t="shared" si="53"/>
        <v>9800</v>
      </c>
      <c r="L1678" s="8" t="s">
        <v>76</v>
      </c>
      <c r="M1678" s="8" t="s">
        <v>96</v>
      </c>
      <c r="N1678">
        <v>3</v>
      </c>
      <c r="O1678">
        <v>2024</v>
      </c>
      <c r="P1678" s="29" t="s">
        <v>711</v>
      </c>
      <c r="Q1678" t="s">
        <v>735</v>
      </c>
      <c r="R1678" t="s">
        <v>738</v>
      </c>
    </row>
    <row r="1679" spans="1:18" x14ac:dyDescent="0.25">
      <c r="A1679" s="9">
        <v>1678</v>
      </c>
      <c r="B1679" s="10">
        <v>45271</v>
      </c>
      <c r="C1679" s="11" t="s">
        <v>106</v>
      </c>
      <c r="D1679" s="11" t="s">
        <v>83</v>
      </c>
      <c r="E1679" s="11" t="s">
        <v>111</v>
      </c>
      <c r="F1679" s="11" t="s">
        <v>165</v>
      </c>
      <c r="G1679" s="9">
        <v>26</v>
      </c>
      <c r="H1679" s="26">
        <v>18800</v>
      </c>
      <c r="I1679" s="9">
        <v>0</v>
      </c>
      <c r="J1679" s="9">
        <f t="shared" si="52"/>
        <v>488800</v>
      </c>
      <c r="K1679" s="9">
        <f t="shared" si="53"/>
        <v>488800</v>
      </c>
      <c r="L1679" s="11" t="s">
        <v>76</v>
      </c>
      <c r="M1679" s="11" t="s">
        <v>81</v>
      </c>
      <c r="N1679">
        <v>12</v>
      </c>
      <c r="O1679">
        <v>2023</v>
      </c>
      <c r="P1679" s="29" t="s">
        <v>725</v>
      </c>
      <c r="Q1679" t="s">
        <v>733</v>
      </c>
      <c r="R1679" t="s">
        <v>737</v>
      </c>
    </row>
    <row r="1680" spans="1:18" x14ac:dyDescent="0.25">
      <c r="A1680" s="6">
        <v>1679</v>
      </c>
      <c r="B1680" s="7">
        <v>45116</v>
      </c>
      <c r="C1680" s="8" t="s">
        <v>124</v>
      </c>
      <c r="D1680" s="8" t="s">
        <v>109</v>
      </c>
      <c r="E1680" s="8" t="s">
        <v>74</v>
      </c>
      <c r="F1680" s="8" t="s">
        <v>142</v>
      </c>
      <c r="G1680" s="6">
        <v>38</v>
      </c>
      <c r="H1680" s="25">
        <v>12600</v>
      </c>
      <c r="I1680" s="6">
        <v>0</v>
      </c>
      <c r="J1680" s="6">
        <f t="shared" si="52"/>
        <v>478800</v>
      </c>
      <c r="K1680" s="6">
        <f t="shared" si="53"/>
        <v>478800</v>
      </c>
      <c r="L1680" s="8" t="s">
        <v>76</v>
      </c>
      <c r="M1680" s="8" t="s">
        <v>77</v>
      </c>
      <c r="N1680">
        <v>7</v>
      </c>
      <c r="O1680">
        <v>2023</v>
      </c>
      <c r="P1680" s="29" t="s">
        <v>724</v>
      </c>
      <c r="Q1680" t="s">
        <v>734</v>
      </c>
      <c r="R1680" t="s">
        <v>737</v>
      </c>
    </row>
    <row r="1681" spans="1:18" x14ac:dyDescent="0.25">
      <c r="A1681" s="9">
        <v>1680</v>
      </c>
      <c r="B1681" s="10">
        <v>45011</v>
      </c>
      <c r="C1681" s="11" t="s">
        <v>97</v>
      </c>
      <c r="D1681" s="11" t="s">
        <v>73</v>
      </c>
      <c r="E1681" s="11" t="s">
        <v>84</v>
      </c>
      <c r="F1681" s="11" t="s">
        <v>148</v>
      </c>
      <c r="G1681" s="9">
        <v>6</v>
      </c>
      <c r="H1681" s="26">
        <v>4900</v>
      </c>
      <c r="I1681" s="9">
        <v>0</v>
      </c>
      <c r="J1681" s="9">
        <f t="shared" si="52"/>
        <v>29400</v>
      </c>
      <c r="K1681" s="9">
        <f t="shared" si="53"/>
        <v>29400</v>
      </c>
      <c r="L1681" s="11" t="s">
        <v>123</v>
      </c>
      <c r="M1681" s="11" t="s">
        <v>81</v>
      </c>
      <c r="N1681">
        <v>3</v>
      </c>
      <c r="O1681">
        <v>2023</v>
      </c>
      <c r="P1681" s="29" t="s">
        <v>719</v>
      </c>
      <c r="Q1681" t="s">
        <v>735</v>
      </c>
      <c r="R1681" t="s">
        <v>738</v>
      </c>
    </row>
    <row r="1682" spans="1:18" x14ac:dyDescent="0.25">
      <c r="A1682" s="6">
        <v>1681</v>
      </c>
      <c r="B1682" s="7">
        <v>44986</v>
      </c>
      <c r="C1682" s="8" t="s">
        <v>119</v>
      </c>
      <c r="D1682" s="8" t="s">
        <v>109</v>
      </c>
      <c r="E1682" s="8" t="s">
        <v>79</v>
      </c>
      <c r="F1682" s="8" t="s">
        <v>122</v>
      </c>
      <c r="G1682" s="6">
        <v>24</v>
      </c>
      <c r="H1682" s="25">
        <v>17500</v>
      </c>
      <c r="I1682" s="6">
        <v>15</v>
      </c>
      <c r="J1682" s="6">
        <f t="shared" si="52"/>
        <v>420000</v>
      </c>
      <c r="K1682" s="6">
        <f t="shared" si="53"/>
        <v>357000</v>
      </c>
      <c r="L1682" s="8" t="s">
        <v>187</v>
      </c>
      <c r="M1682" s="8" t="s">
        <v>96</v>
      </c>
      <c r="N1682">
        <v>3</v>
      </c>
      <c r="O1682">
        <v>2023</v>
      </c>
      <c r="P1682" s="29" t="s">
        <v>719</v>
      </c>
      <c r="Q1682" t="s">
        <v>735</v>
      </c>
      <c r="R1682" t="s">
        <v>737</v>
      </c>
    </row>
    <row r="1683" spans="1:18" x14ac:dyDescent="0.25">
      <c r="A1683" s="9">
        <v>1682</v>
      </c>
      <c r="B1683" s="10">
        <v>45512</v>
      </c>
      <c r="C1683" s="11" t="s">
        <v>97</v>
      </c>
      <c r="D1683" s="11" t="s">
        <v>73</v>
      </c>
      <c r="E1683" s="11" t="s">
        <v>84</v>
      </c>
      <c r="F1683" s="11" t="s">
        <v>134</v>
      </c>
      <c r="G1683" s="9">
        <v>3</v>
      </c>
      <c r="H1683" s="26">
        <v>9400</v>
      </c>
      <c r="I1683" s="9">
        <v>0</v>
      </c>
      <c r="J1683" s="9">
        <f t="shared" si="52"/>
        <v>28200</v>
      </c>
      <c r="K1683" s="9">
        <f t="shared" si="53"/>
        <v>28200</v>
      </c>
      <c r="L1683" s="11" t="s">
        <v>123</v>
      </c>
      <c r="M1683" s="11" t="s">
        <v>77</v>
      </c>
      <c r="N1683">
        <v>8</v>
      </c>
      <c r="O1683">
        <v>2024</v>
      </c>
      <c r="P1683" s="29" t="s">
        <v>710</v>
      </c>
      <c r="Q1683" t="s">
        <v>734</v>
      </c>
      <c r="R1683" t="s">
        <v>738</v>
      </c>
    </row>
    <row r="1684" spans="1:18" x14ac:dyDescent="0.25">
      <c r="A1684" s="6">
        <v>1683</v>
      </c>
      <c r="B1684" s="7">
        <v>45556</v>
      </c>
      <c r="C1684" s="8" t="s">
        <v>78</v>
      </c>
      <c r="D1684" s="8" t="s">
        <v>109</v>
      </c>
      <c r="E1684" s="8" t="s">
        <v>84</v>
      </c>
      <c r="F1684" s="8" t="s">
        <v>148</v>
      </c>
      <c r="G1684" s="6">
        <v>32</v>
      </c>
      <c r="H1684" s="25">
        <v>5300</v>
      </c>
      <c r="I1684" s="6">
        <v>10</v>
      </c>
      <c r="J1684" s="6">
        <f t="shared" si="52"/>
        <v>169600</v>
      </c>
      <c r="K1684" s="6">
        <f t="shared" si="53"/>
        <v>152640</v>
      </c>
      <c r="L1684" s="8" t="s">
        <v>76</v>
      </c>
      <c r="M1684" s="8" t="s">
        <v>96</v>
      </c>
      <c r="N1684">
        <v>9</v>
      </c>
      <c r="O1684">
        <v>2024</v>
      </c>
      <c r="P1684" s="29" t="s">
        <v>731</v>
      </c>
      <c r="Q1684" t="s">
        <v>734</v>
      </c>
      <c r="R1684" t="s">
        <v>739</v>
      </c>
    </row>
    <row r="1685" spans="1:18" x14ac:dyDescent="0.25">
      <c r="A1685" s="9">
        <v>1684</v>
      </c>
      <c r="B1685" s="10">
        <v>45465</v>
      </c>
      <c r="C1685" s="11" t="s">
        <v>97</v>
      </c>
      <c r="D1685" s="11" t="s">
        <v>93</v>
      </c>
      <c r="E1685" s="11" t="s">
        <v>74</v>
      </c>
      <c r="F1685" s="11" t="s">
        <v>142</v>
      </c>
      <c r="G1685" s="9">
        <v>39</v>
      </c>
      <c r="H1685" s="26">
        <v>11000</v>
      </c>
      <c r="I1685" s="9">
        <v>15</v>
      </c>
      <c r="J1685" s="9">
        <f t="shared" si="52"/>
        <v>429000</v>
      </c>
      <c r="K1685" s="9">
        <f t="shared" si="53"/>
        <v>364650</v>
      </c>
      <c r="L1685" s="11" t="s">
        <v>107</v>
      </c>
      <c r="M1685" s="11" t="s">
        <v>81</v>
      </c>
      <c r="N1685">
        <v>6</v>
      </c>
      <c r="O1685">
        <v>2024</v>
      </c>
      <c r="P1685" s="29" t="s">
        <v>720</v>
      </c>
      <c r="Q1685" t="s">
        <v>736</v>
      </c>
      <c r="R1685" t="s">
        <v>737</v>
      </c>
    </row>
    <row r="1686" spans="1:18" x14ac:dyDescent="0.25">
      <c r="A1686" s="6">
        <v>1685</v>
      </c>
      <c r="B1686" s="7">
        <v>45643</v>
      </c>
      <c r="C1686" s="8" t="s">
        <v>82</v>
      </c>
      <c r="D1686" s="8" t="s">
        <v>73</v>
      </c>
      <c r="E1686" s="8" t="s">
        <v>111</v>
      </c>
      <c r="F1686" s="8" t="s">
        <v>156</v>
      </c>
      <c r="G1686" s="6">
        <v>3</v>
      </c>
      <c r="H1686" s="25">
        <v>45000</v>
      </c>
      <c r="I1686" s="6">
        <v>15</v>
      </c>
      <c r="J1686" s="6">
        <f t="shared" si="52"/>
        <v>135000</v>
      </c>
      <c r="K1686" s="6">
        <f t="shared" si="53"/>
        <v>114750</v>
      </c>
      <c r="L1686" s="8" t="s">
        <v>76</v>
      </c>
      <c r="M1686" s="8" t="s">
        <v>96</v>
      </c>
      <c r="N1686">
        <v>12</v>
      </c>
      <c r="O1686">
        <v>2024</v>
      </c>
      <c r="P1686" s="29" t="s">
        <v>728</v>
      </c>
      <c r="Q1686" t="s">
        <v>733</v>
      </c>
      <c r="R1686" t="s">
        <v>739</v>
      </c>
    </row>
    <row r="1687" spans="1:18" x14ac:dyDescent="0.25">
      <c r="A1687" s="9">
        <v>1686</v>
      </c>
      <c r="B1687" s="10">
        <v>45093</v>
      </c>
      <c r="C1687" s="11" t="s">
        <v>119</v>
      </c>
      <c r="D1687" s="11" t="s">
        <v>83</v>
      </c>
      <c r="E1687" s="11" t="s">
        <v>74</v>
      </c>
      <c r="F1687" s="11" t="s">
        <v>190</v>
      </c>
      <c r="G1687" s="9">
        <v>46</v>
      </c>
      <c r="H1687" s="26">
        <v>31100</v>
      </c>
      <c r="I1687" s="9">
        <v>20</v>
      </c>
      <c r="J1687" s="9">
        <f t="shared" si="52"/>
        <v>1430600</v>
      </c>
      <c r="K1687" s="9">
        <f t="shared" si="53"/>
        <v>1144480</v>
      </c>
      <c r="L1687" s="11" t="s">
        <v>187</v>
      </c>
      <c r="M1687" s="11" t="s">
        <v>91</v>
      </c>
      <c r="N1687">
        <v>6</v>
      </c>
      <c r="O1687">
        <v>2023</v>
      </c>
      <c r="P1687" s="29" t="s">
        <v>723</v>
      </c>
      <c r="Q1687" t="s">
        <v>736</v>
      </c>
      <c r="R1687" t="s">
        <v>737</v>
      </c>
    </row>
    <row r="1688" spans="1:18" x14ac:dyDescent="0.25">
      <c r="A1688" s="6">
        <v>1687</v>
      </c>
      <c r="B1688" s="7">
        <v>45167</v>
      </c>
      <c r="C1688" s="8" t="s">
        <v>101</v>
      </c>
      <c r="D1688" s="8" t="s">
        <v>117</v>
      </c>
      <c r="E1688" s="8" t="s">
        <v>84</v>
      </c>
      <c r="F1688" s="8" t="s">
        <v>90</v>
      </c>
      <c r="G1688" s="6">
        <v>46</v>
      </c>
      <c r="H1688" s="25">
        <v>1800</v>
      </c>
      <c r="I1688" s="6">
        <v>0</v>
      </c>
      <c r="J1688" s="6">
        <f t="shared" si="52"/>
        <v>82800</v>
      </c>
      <c r="K1688" s="6">
        <f t="shared" si="53"/>
        <v>82800</v>
      </c>
      <c r="L1688" s="8" t="s">
        <v>76</v>
      </c>
      <c r="M1688" s="8" t="s">
        <v>77</v>
      </c>
      <c r="N1688">
        <v>8</v>
      </c>
      <c r="O1688">
        <v>2023</v>
      </c>
      <c r="P1688" s="29" t="s">
        <v>713</v>
      </c>
      <c r="Q1688" t="s">
        <v>734</v>
      </c>
      <c r="R1688" t="s">
        <v>739</v>
      </c>
    </row>
    <row r="1689" spans="1:18" x14ac:dyDescent="0.25">
      <c r="A1689" s="9">
        <v>1688</v>
      </c>
      <c r="B1689" s="10">
        <v>45528</v>
      </c>
      <c r="C1689" s="11" t="s">
        <v>97</v>
      </c>
      <c r="D1689" s="11" t="s">
        <v>109</v>
      </c>
      <c r="E1689" s="11" t="s">
        <v>79</v>
      </c>
      <c r="F1689" s="11" t="s">
        <v>172</v>
      </c>
      <c r="G1689" s="9">
        <v>47</v>
      </c>
      <c r="H1689" s="26">
        <v>23300</v>
      </c>
      <c r="I1689" s="9">
        <v>15</v>
      </c>
      <c r="J1689" s="9">
        <f t="shared" si="52"/>
        <v>1095100</v>
      </c>
      <c r="K1689" s="9">
        <f t="shared" si="53"/>
        <v>930835</v>
      </c>
      <c r="L1689" s="11" t="s">
        <v>76</v>
      </c>
      <c r="M1689" s="11" t="s">
        <v>96</v>
      </c>
      <c r="N1689">
        <v>8</v>
      </c>
      <c r="O1689">
        <v>2024</v>
      </c>
      <c r="P1689" s="29" t="s">
        <v>710</v>
      </c>
      <c r="Q1689" t="s">
        <v>734</v>
      </c>
      <c r="R1689" t="s">
        <v>737</v>
      </c>
    </row>
    <row r="1690" spans="1:18" x14ac:dyDescent="0.25">
      <c r="A1690" s="6">
        <v>1689</v>
      </c>
      <c r="B1690" s="7">
        <v>45254</v>
      </c>
      <c r="C1690" s="8" t="s">
        <v>124</v>
      </c>
      <c r="D1690" s="8" t="s">
        <v>109</v>
      </c>
      <c r="E1690" s="8" t="s">
        <v>111</v>
      </c>
      <c r="F1690" s="8" t="s">
        <v>165</v>
      </c>
      <c r="G1690" s="6">
        <v>42</v>
      </c>
      <c r="H1690" s="25">
        <v>18000</v>
      </c>
      <c r="I1690" s="6">
        <v>15</v>
      </c>
      <c r="J1690" s="6">
        <f t="shared" si="52"/>
        <v>756000</v>
      </c>
      <c r="K1690" s="6">
        <f t="shared" si="53"/>
        <v>642600</v>
      </c>
      <c r="L1690" s="8" t="s">
        <v>187</v>
      </c>
      <c r="M1690" s="8" t="s">
        <v>96</v>
      </c>
      <c r="N1690">
        <v>11</v>
      </c>
      <c r="O1690">
        <v>2023</v>
      </c>
      <c r="P1690" s="29" t="s">
        <v>718</v>
      </c>
      <c r="Q1690" t="s">
        <v>733</v>
      </c>
      <c r="R1690" t="s">
        <v>737</v>
      </c>
    </row>
    <row r="1691" spans="1:18" x14ac:dyDescent="0.25">
      <c r="A1691" s="9">
        <v>1690</v>
      </c>
      <c r="B1691" s="10">
        <v>44993</v>
      </c>
      <c r="C1691" s="11" t="s">
        <v>119</v>
      </c>
      <c r="D1691" s="11" t="s">
        <v>73</v>
      </c>
      <c r="E1691" s="11" t="s">
        <v>74</v>
      </c>
      <c r="F1691" s="11" t="s">
        <v>142</v>
      </c>
      <c r="G1691" s="9">
        <v>23</v>
      </c>
      <c r="H1691" s="26">
        <v>12000</v>
      </c>
      <c r="I1691" s="9">
        <v>20</v>
      </c>
      <c r="J1691" s="9">
        <f t="shared" si="52"/>
        <v>276000</v>
      </c>
      <c r="K1691" s="9">
        <f t="shared" si="53"/>
        <v>220800</v>
      </c>
      <c r="L1691" s="11" t="s">
        <v>76</v>
      </c>
      <c r="M1691" s="11" t="s">
        <v>77</v>
      </c>
      <c r="N1691">
        <v>3</v>
      </c>
      <c r="O1691">
        <v>2023</v>
      </c>
      <c r="P1691" s="29" t="s">
        <v>719</v>
      </c>
      <c r="Q1691" t="s">
        <v>735</v>
      </c>
      <c r="R1691" t="s">
        <v>737</v>
      </c>
    </row>
    <row r="1692" spans="1:18" x14ac:dyDescent="0.25">
      <c r="A1692" s="6">
        <v>1691</v>
      </c>
      <c r="B1692" s="7">
        <v>45185</v>
      </c>
      <c r="C1692" s="8" t="s">
        <v>114</v>
      </c>
      <c r="D1692" s="8" t="s">
        <v>109</v>
      </c>
      <c r="E1692" s="8" t="s">
        <v>111</v>
      </c>
      <c r="F1692" s="8" t="s">
        <v>159</v>
      </c>
      <c r="G1692" s="6">
        <v>26</v>
      </c>
      <c r="H1692" s="25">
        <v>12800</v>
      </c>
      <c r="I1692" s="6">
        <v>5</v>
      </c>
      <c r="J1692" s="6">
        <f t="shared" si="52"/>
        <v>332800</v>
      </c>
      <c r="K1692" s="6">
        <f t="shared" si="53"/>
        <v>316160</v>
      </c>
      <c r="L1692" s="8" t="s">
        <v>187</v>
      </c>
      <c r="M1692" s="8" t="s">
        <v>96</v>
      </c>
      <c r="N1692">
        <v>9</v>
      </c>
      <c r="O1692">
        <v>2023</v>
      </c>
      <c r="P1692" s="29" t="s">
        <v>715</v>
      </c>
      <c r="Q1692" t="s">
        <v>734</v>
      </c>
      <c r="R1692" t="s">
        <v>737</v>
      </c>
    </row>
    <row r="1693" spans="1:18" x14ac:dyDescent="0.25">
      <c r="A1693" s="9">
        <v>1692</v>
      </c>
      <c r="B1693" s="10">
        <v>45063</v>
      </c>
      <c r="C1693" s="11" t="s">
        <v>88</v>
      </c>
      <c r="D1693" s="11" t="s">
        <v>83</v>
      </c>
      <c r="E1693" s="11" t="s">
        <v>74</v>
      </c>
      <c r="F1693" s="11" t="s">
        <v>142</v>
      </c>
      <c r="G1693" s="9">
        <v>11</v>
      </c>
      <c r="H1693" s="26">
        <v>10800</v>
      </c>
      <c r="I1693" s="9">
        <v>0</v>
      </c>
      <c r="J1693" s="9">
        <f t="shared" si="52"/>
        <v>118800</v>
      </c>
      <c r="K1693" s="9">
        <f t="shared" si="53"/>
        <v>118800</v>
      </c>
      <c r="L1693" s="11" t="s">
        <v>123</v>
      </c>
      <c r="M1693" s="11" t="s">
        <v>91</v>
      </c>
      <c r="N1693">
        <v>5</v>
      </c>
      <c r="O1693">
        <v>2023</v>
      </c>
      <c r="P1693" s="29" t="s">
        <v>730</v>
      </c>
      <c r="Q1693" t="s">
        <v>736</v>
      </c>
      <c r="R1693" t="s">
        <v>739</v>
      </c>
    </row>
    <row r="1694" spans="1:18" x14ac:dyDescent="0.25">
      <c r="A1694" s="6">
        <v>1693</v>
      </c>
      <c r="B1694" s="7">
        <v>45425</v>
      </c>
      <c r="C1694" s="8" t="s">
        <v>88</v>
      </c>
      <c r="D1694" s="8" t="s">
        <v>109</v>
      </c>
      <c r="E1694" s="8" t="s">
        <v>79</v>
      </c>
      <c r="F1694" s="8" t="s">
        <v>122</v>
      </c>
      <c r="G1694" s="6">
        <v>39</v>
      </c>
      <c r="H1694" s="25">
        <v>17300</v>
      </c>
      <c r="I1694" s="6">
        <v>0</v>
      </c>
      <c r="J1694" s="6">
        <f t="shared" si="52"/>
        <v>674700</v>
      </c>
      <c r="K1694" s="6">
        <f t="shared" si="53"/>
        <v>674700</v>
      </c>
      <c r="L1694" s="8" t="s">
        <v>76</v>
      </c>
      <c r="M1694" s="8" t="s">
        <v>96</v>
      </c>
      <c r="N1694">
        <v>5</v>
      </c>
      <c r="O1694">
        <v>2024</v>
      </c>
      <c r="P1694" s="29" t="s">
        <v>732</v>
      </c>
      <c r="Q1694" t="s">
        <v>736</v>
      </c>
      <c r="R1694" t="s">
        <v>737</v>
      </c>
    </row>
    <row r="1695" spans="1:18" x14ac:dyDescent="0.25">
      <c r="A1695" s="9">
        <v>1694</v>
      </c>
      <c r="B1695" s="10">
        <v>45023</v>
      </c>
      <c r="C1695" s="11" t="s">
        <v>114</v>
      </c>
      <c r="D1695" s="11" t="s">
        <v>73</v>
      </c>
      <c r="E1695" s="11" t="s">
        <v>79</v>
      </c>
      <c r="F1695" s="11" t="s">
        <v>120</v>
      </c>
      <c r="G1695" s="9">
        <v>40</v>
      </c>
      <c r="H1695" s="26">
        <v>6500</v>
      </c>
      <c r="I1695" s="9">
        <v>0</v>
      </c>
      <c r="J1695" s="9">
        <f t="shared" si="52"/>
        <v>260000</v>
      </c>
      <c r="K1695" s="9">
        <f t="shared" si="53"/>
        <v>260000</v>
      </c>
      <c r="L1695" s="11" t="s">
        <v>76</v>
      </c>
      <c r="M1695" s="11" t="s">
        <v>77</v>
      </c>
      <c r="N1695">
        <v>4</v>
      </c>
      <c r="O1695">
        <v>2023</v>
      </c>
      <c r="P1695" s="29" t="s">
        <v>716</v>
      </c>
      <c r="Q1695" t="s">
        <v>736</v>
      </c>
      <c r="R1695" t="s">
        <v>737</v>
      </c>
    </row>
    <row r="1696" spans="1:18" x14ac:dyDescent="0.25">
      <c r="A1696" s="6">
        <v>1695</v>
      </c>
      <c r="B1696" s="7">
        <v>45540</v>
      </c>
      <c r="C1696" s="8" t="s">
        <v>82</v>
      </c>
      <c r="D1696" s="8" t="s">
        <v>109</v>
      </c>
      <c r="E1696" s="8" t="s">
        <v>84</v>
      </c>
      <c r="F1696" s="8" t="s">
        <v>128</v>
      </c>
      <c r="G1696" s="6">
        <v>43</v>
      </c>
      <c r="H1696" s="25">
        <v>4100</v>
      </c>
      <c r="I1696" s="6">
        <v>10</v>
      </c>
      <c r="J1696" s="6">
        <f t="shared" si="52"/>
        <v>176300</v>
      </c>
      <c r="K1696" s="6">
        <f t="shared" si="53"/>
        <v>158670</v>
      </c>
      <c r="L1696" s="8" t="s">
        <v>107</v>
      </c>
      <c r="M1696" s="8" t="s">
        <v>96</v>
      </c>
      <c r="N1696">
        <v>9</v>
      </c>
      <c r="O1696">
        <v>2024</v>
      </c>
      <c r="P1696" s="29" t="s">
        <v>731</v>
      </c>
      <c r="Q1696" t="s">
        <v>734</v>
      </c>
      <c r="R1696" t="s">
        <v>739</v>
      </c>
    </row>
    <row r="1697" spans="1:18" x14ac:dyDescent="0.25">
      <c r="A1697" s="9">
        <v>1696</v>
      </c>
      <c r="B1697" s="10">
        <v>45414</v>
      </c>
      <c r="C1697" s="11" t="s">
        <v>82</v>
      </c>
      <c r="D1697" s="11" t="s">
        <v>93</v>
      </c>
      <c r="E1697" s="11" t="s">
        <v>102</v>
      </c>
      <c r="F1697" s="11" t="s">
        <v>181</v>
      </c>
      <c r="G1697" s="9">
        <v>47</v>
      </c>
      <c r="H1697" s="26">
        <v>4500</v>
      </c>
      <c r="I1697" s="6">
        <v>0</v>
      </c>
      <c r="J1697" s="9">
        <f t="shared" si="52"/>
        <v>211500</v>
      </c>
      <c r="K1697" s="9">
        <f t="shared" si="53"/>
        <v>211500</v>
      </c>
      <c r="L1697" s="11" t="s">
        <v>187</v>
      </c>
      <c r="M1697" s="11" t="s">
        <v>91</v>
      </c>
      <c r="N1697">
        <v>5</v>
      </c>
      <c r="O1697">
        <v>2024</v>
      </c>
      <c r="P1697" s="29" t="s">
        <v>732</v>
      </c>
      <c r="Q1697" t="s">
        <v>736</v>
      </c>
      <c r="R1697" t="s">
        <v>737</v>
      </c>
    </row>
    <row r="1698" spans="1:18" x14ac:dyDescent="0.25">
      <c r="A1698" s="6">
        <v>1697</v>
      </c>
      <c r="B1698" s="7">
        <v>45532</v>
      </c>
      <c r="C1698" s="8" t="s">
        <v>82</v>
      </c>
      <c r="D1698" s="8" t="s">
        <v>117</v>
      </c>
      <c r="E1698" s="8" t="s">
        <v>102</v>
      </c>
      <c r="F1698" s="8" t="s">
        <v>197</v>
      </c>
      <c r="G1698" s="6">
        <v>22</v>
      </c>
      <c r="H1698" s="25">
        <v>3500</v>
      </c>
      <c r="I1698" s="6">
        <v>5</v>
      </c>
      <c r="J1698" s="6">
        <f t="shared" si="52"/>
        <v>77000</v>
      </c>
      <c r="K1698" s="6">
        <f t="shared" si="53"/>
        <v>73150</v>
      </c>
      <c r="L1698" s="8" t="s">
        <v>76</v>
      </c>
      <c r="M1698" s="8" t="s">
        <v>77</v>
      </c>
      <c r="N1698">
        <v>8</v>
      </c>
      <c r="O1698">
        <v>2024</v>
      </c>
      <c r="P1698" s="29" t="s">
        <v>710</v>
      </c>
      <c r="Q1698" t="s">
        <v>734</v>
      </c>
      <c r="R1698" t="s">
        <v>739</v>
      </c>
    </row>
    <row r="1699" spans="1:18" x14ac:dyDescent="0.25">
      <c r="A1699" s="9">
        <v>1698</v>
      </c>
      <c r="B1699" s="10">
        <v>45354</v>
      </c>
      <c r="C1699" s="11" t="s">
        <v>119</v>
      </c>
      <c r="D1699" s="11" t="s">
        <v>93</v>
      </c>
      <c r="E1699" s="11" t="s">
        <v>102</v>
      </c>
      <c r="F1699" s="11" t="s">
        <v>181</v>
      </c>
      <c r="G1699" s="9">
        <v>38</v>
      </c>
      <c r="H1699" s="26">
        <v>5100</v>
      </c>
      <c r="I1699" s="9">
        <v>0</v>
      </c>
      <c r="J1699" s="9">
        <f t="shared" si="52"/>
        <v>193800</v>
      </c>
      <c r="K1699" s="9">
        <f t="shared" si="53"/>
        <v>193800</v>
      </c>
      <c r="L1699" s="11" t="s">
        <v>76</v>
      </c>
      <c r="M1699" s="11" t="s">
        <v>96</v>
      </c>
      <c r="N1699">
        <v>3</v>
      </c>
      <c r="O1699">
        <v>2024</v>
      </c>
      <c r="P1699" s="29" t="s">
        <v>711</v>
      </c>
      <c r="Q1699" t="s">
        <v>735</v>
      </c>
      <c r="R1699" t="s">
        <v>739</v>
      </c>
    </row>
    <row r="1700" spans="1:18" x14ac:dyDescent="0.25">
      <c r="A1700" s="6">
        <v>1699</v>
      </c>
      <c r="B1700" s="7">
        <v>45594</v>
      </c>
      <c r="C1700" s="8" t="s">
        <v>78</v>
      </c>
      <c r="D1700" s="8" t="s">
        <v>109</v>
      </c>
      <c r="E1700" s="8" t="s">
        <v>102</v>
      </c>
      <c r="F1700" s="8" t="s">
        <v>110</v>
      </c>
      <c r="G1700" s="6">
        <v>1</v>
      </c>
      <c r="H1700" s="25">
        <v>22000</v>
      </c>
      <c r="I1700" s="6">
        <v>0</v>
      </c>
      <c r="J1700" s="6">
        <f t="shared" si="52"/>
        <v>22000</v>
      </c>
      <c r="K1700" s="6">
        <f t="shared" si="53"/>
        <v>22000</v>
      </c>
      <c r="L1700" s="8" t="s">
        <v>76</v>
      </c>
      <c r="M1700" s="8" t="s">
        <v>77</v>
      </c>
      <c r="N1700">
        <v>10</v>
      </c>
      <c r="O1700">
        <v>2024</v>
      </c>
      <c r="P1700" s="29" t="s">
        <v>709</v>
      </c>
      <c r="Q1700" t="s">
        <v>733</v>
      </c>
      <c r="R1700" t="s">
        <v>738</v>
      </c>
    </row>
    <row r="1701" spans="1:18" x14ac:dyDescent="0.25">
      <c r="A1701" s="9">
        <v>1700</v>
      </c>
      <c r="B1701" s="10">
        <v>45387</v>
      </c>
      <c r="C1701" s="11" t="s">
        <v>106</v>
      </c>
      <c r="D1701" s="11" t="s">
        <v>83</v>
      </c>
      <c r="E1701" s="11" t="s">
        <v>79</v>
      </c>
      <c r="F1701" s="11" t="s">
        <v>115</v>
      </c>
      <c r="G1701" s="9">
        <v>5</v>
      </c>
      <c r="H1701" s="26">
        <v>8200</v>
      </c>
      <c r="I1701" s="9">
        <v>10</v>
      </c>
      <c r="J1701" s="9">
        <f t="shared" si="52"/>
        <v>41000</v>
      </c>
      <c r="K1701" s="9">
        <f t="shared" si="53"/>
        <v>36900</v>
      </c>
      <c r="L1701" s="11" t="s">
        <v>187</v>
      </c>
      <c r="M1701" s="11" t="s">
        <v>96</v>
      </c>
      <c r="N1701">
        <v>4</v>
      </c>
      <c r="O1701">
        <v>2024</v>
      </c>
      <c r="P1701" s="29" t="s">
        <v>722</v>
      </c>
      <c r="Q1701" t="s">
        <v>736</v>
      </c>
      <c r="R1701" t="s">
        <v>738</v>
      </c>
    </row>
    <row r="1702" spans="1:18" x14ac:dyDescent="0.25">
      <c r="A1702" s="6">
        <v>1701</v>
      </c>
      <c r="B1702" s="7">
        <v>45486</v>
      </c>
      <c r="C1702" s="8" t="s">
        <v>114</v>
      </c>
      <c r="D1702" s="8" t="s">
        <v>73</v>
      </c>
      <c r="E1702" s="8" t="s">
        <v>102</v>
      </c>
      <c r="F1702" s="8" t="s">
        <v>110</v>
      </c>
      <c r="G1702" s="6">
        <v>43</v>
      </c>
      <c r="H1702" s="25">
        <v>24000</v>
      </c>
      <c r="I1702" s="6">
        <v>10</v>
      </c>
      <c r="J1702" s="6">
        <f t="shared" si="52"/>
        <v>1032000</v>
      </c>
      <c r="K1702" s="6">
        <f t="shared" si="53"/>
        <v>928800</v>
      </c>
      <c r="L1702" s="8" t="s">
        <v>76</v>
      </c>
      <c r="M1702" s="8" t="s">
        <v>81</v>
      </c>
      <c r="N1702">
        <v>7</v>
      </c>
      <c r="O1702">
        <v>2024</v>
      </c>
      <c r="P1702" s="29" t="s">
        <v>712</v>
      </c>
      <c r="Q1702" t="s">
        <v>734</v>
      </c>
      <c r="R1702" t="s">
        <v>737</v>
      </c>
    </row>
    <row r="1703" spans="1:18" x14ac:dyDescent="0.25">
      <c r="A1703" s="9">
        <v>1702</v>
      </c>
      <c r="B1703" s="10">
        <v>45515</v>
      </c>
      <c r="C1703" s="11" t="s">
        <v>82</v>
      </c>
      <c r="D1703" s="11" t="s">
        <v>117</v>
      </c>
      <c r="E1703" s="11" t="s">
        <v>79</v>
      </c>
      <c r="F1703" s="11" t="s">
        <v>80</v>
      </c>
      <c r="G1703" s="9">
        <v>25</v>
      </c>
      <c r="H1703" s="26">
        <v>9600</v>
      </c>
      <c r="I1703" s="9">
        <v>0</v>
      </c>
      <c r="J1703" s="9">
        <f t="shared" si="52"/>
        <v>240000</v>
      </c>
      <c r="K1703" s="9">
        <f t="shared" si="53"/>
        <v>240000</v>
      </c>
      <c r="L1703" s="11" t="s">
        <v>76</v>
      </c>
      <c r="M1703" s="11" t="s">
        <v>96</v>
      </c>
      <c r="N1703">
        <v>8</v>
      </c>
      <c r="O1703">
        <v>2024</v>
      </c>
      <c r="P1703" s="29" t="s">
        <v>710</v>
      </c>
      <c r="Q1703" t="s">
        <v>734</v>
      </c>
      <c r="R1703" t="s">
        <v>737</v>
      </c>
    </row>
    <row r="1704" spans="1:18" x14ac:dyDescent="0.25">
      <c r="A1704" s="6">
        <v>1703</v>
      </c>
      <c r="B1704" s="7">
        <v>45633</v>
      </c>
      <c r="C1704" s="8" t="s">
        <v>106</v>
      </c>
      <c r="D1704" s="8" t="s">
        <v>73</v>
      </c>
      <c r="E1704" s="8" t="s">
        <v>111</v>
      </c>
      <c r="F1704" s="8" t="s">
        <v>112</v>
      </c>
      <c r="G1704" s="6">
        <v>16</v>
      </c>
      <c r="H1704" s="25">
        <v>63800</v>
      </c>
      <c r="I1704" s="6">
        <v>0</v>
      </c>
      <c r="J1704" s="6">
        <f t="shared" si="52"/>
        <v>1020800</v>
      </c>
      <c r="K1704" s="6">
        <f t="shared" si="53"/>
        <v>1020800</v>
      </c>
      <c r="L1704" s="8" t="s">
        <v>123</v>
      </c>
      <c r="M1704" s="8" t="s">
        <v>77</v>
      </c>
      <c r="N1704">
        <v>12</v>
      </c>
      <c r="O1704">
        <v>2024</v>
      </c>
      <c r="P1704" s="29" t="s">
        <v>728</v>
      </c>
      <c r="Q1704" t="s">
        <v>733</v>
      </c>
      <c r="R1704" t="s">
        <v>737</v>
      </c>
    </row>
    <row r="1705" spans="1:18" x14ac:dyDescent="0.25">
      <c r="A1705" s="9">
        <v>1704</v>
      </c>
      <c r="B1705" s="10">
        <v>45059</v>
      </c>
      <c r="C1705" s="11" t="s">
        <v>101</v>
      </c>
      <c r="D1705" s="11" t="s">
        <v>109</v>
      </c>
      <c r="E1705" s="11" t="s">
        <v>74</v>
      </c>
      <c r="F1705" s="11" t="s">
        <v>190</v>
      </c>
      <c r="G1705" s="9">
        <v>28</v>
      </c>
      <c r="H1705" s="26">
        <v>32100</v>
      </c>
      <c r="I1705" s="9">
        <v>0</v>
      </c>
      <c r="J1705" s="9">
        <f t="shared" si="52"/>
        <v>898800</v>
      </c>
      <c r="K1705" s="9">
        <f t="shared" si="53"/>
        <v>898800</v>
      </c>
      <c r="L1705" s="11" t="s">
        <v>76</v>
      </c>
      <c r="M1705" s="11" t="s">
        <v>81</v>
      </c>
      <c r="N1705">
        <v>5</v>
      </c>
      <c r="O1705">
        <v>2023</v>
      </c>
      <c r="P1705" s="29" t="s">
        <v>730</v>
      </c>
      <c r="Q1705" t="s">
        <v>736</v>
      </c>
      <c r="R1705" t="s">
        <v>737</v>
      </c>
    </row>
    <row r="1706" spans="1:18" x14ac:dyDescent="0.25">
      <c r="A1706" s="6">
        <v>1705</v>
      </c>
      <c r="B1706" s="7">
        <v>45203</v>
      </c>
      <c r="C1706" s="8" t="s">
        <v>101</v>
      </c>
      <c r="D1706" s="8" t="s">
        <v>117</v>
      </c>
      <c r="E1706" s="8" t="s">
        <v>102</v>
      </c>
      <c r="F1706" s="8" t="s">
        <v>137</v>
      </c>
      <c r="G1706" s="6">
        <v>10</v>
      </c>
      <c r="H1706" s="25">
        <v>2000</v>
      </c>
      <c r="I1706" s="6">
        <v>0</v>
      </c>
      <c r="J1706" s="6">
        <f t="shared" si="52"/>
        <v>20000</v>
      </c>
      <c r="K1706" s="6">
        <f t="shared" si="53"/>
        <v>20000</v>
      </c>
      <c r="L1706" s="8" t="s">
        <v>107</v>
      </c>
      <c r="M1706" s="8" t="s">
        <v>77</v>
      </c>
      <c r="N1706">
        <v>10</v>
      </c>
      <c r="O1706">
        <v>2023</v>
      </c>
      <c r="P1706" s="29" t="s">
        <v>726</v>
      </c>
      <c r="Q1706" t="s">
        <v>733</v>
      </c>
      <c r="R1706" t="s">
        <v>738</v>
      </c>
    </row>
    <row r="1707" spans="1:18" x14ac:dyDescent="0.25">
      <c r="A1707" s="9">
        <v>1706</v>
      </c>
      <c r="B1707" s="10">
        <v>45172</v>
      </c>
      <c r="C1707" s="11" t="s">
        <v>101</v>
      </c>
      <c r="D1707" s="11" t="s">
        <v>109</v>
      </c>
      <c r="E1707" s="11" t="s">
        <v>79</v>
      </c>
      <c r="F1707" s="11" t="s">
        <v>172</v>
      </c>
      <c r="G1707" s="9">
        <v>33</v>
      </c>
      <c r="H1707" s="26">
        <v>24600</v>
      </c>
      <c r="I1707" s="9">
        <v>10</v>
      </c>
      <c r="J1707" s="9">
        <f t="shared" si="52"/>
        <v>811800</v>
      </c>
      <c r="K1707" s="9">
        <f t="shared" si="53"/>
        <v>730620</v>
      </c>
      <c r="L1707" s="11" t="s">
        <v>187</v>
      </c>
      <c r="M1707" s="11" t="s">
        <v>91</v>
      </c>
      <c r="N1707">
        <v>9</v>
      </c>
      <c r="O1707">
        <v>2023</v>
      </c>
      <c r="P1707" s="29" t="s">
        <v>715</v>
      </c>
      <c r="Q1707" t="s">
        <v>734</v>
      </c>
      <c r="R1707" t="s">
        <v>737</v>
      </c>
    </row>
    <row r="1708" spans="1:18" x14ac:dyDescent="0.25">
      <c r="A1708" s="6">
        <v>1707</v>
      </c>
      <c r="B1708" s="7">
        <v>45082</v>
      </c>
      <c r="C1708" s="8" t="s">
        <v>119</v>
      </c>
      <c r="D1708" s="8" t="s">
        <v>93</v>
      </c>
      <c r="E1708" s="8" t="s">
        <v>74</v>
      </c>
      <c r="F1708" s="8" t="s">
        <v>118</v>
      </c>
      <c r="G1708" s="6">
        <v>6</v>
      </c>
      <c r="H1708" s="25">
        <v>27700</v>
      </c>
      <c r="I1708" s="6">
        <v>20</v>
      </c>
      <c r="J1708" s="6">
        <f t="shared" si="52"/>
        <v>166200</v>
      </c>
      <c r="K1708" s="6">
        <f t="shared" si="53"/>
        <v>132960</v>
      </c>
      <c r="L1708" s="8" t="s">
        <v>76</v>
      </c>
      <c r="M1708" s="8" t="s">
        <v>91</v>
      </c>
      <c r="N1708">
        <v>6</v>
      </c>
      <c r="O1708">
        <v>2023</v>
      </c>
      <c r="P1708" s="29" t="s">
        <v>723</v>
      </c>
      <c r="Q1708" t="s">
        <v>736</v>
      </c>
      <c r="R1708" t="s">
        <v>739</v>
      </c>
    </row>
    <row r="1709" spans="1:18" x14ac:dyDescent="0.25">
      <c r="A1709" s="9">
        <v>1708</v>
      </c>
      <c r="B1709" s="10">
        <v>45120</v>
      </c>
      <c r="C1709" s="11" t="s">
        <v>82</v>
      </c>
      <c r="D1709" s="11" t="s">
        <v>117</v>
      </c>
      <c r="E1709" s="11" t="s">
        <v>79</v>
      </c>
      <c r="F1709" s="11" t="s">
        <v>131</v>
      </c>
      <c r="G1709" s="9">
        <v>11</v>
      </c>
      <c r="H1709" s="26">
        <v>137800</v>
      </c>
      <c r="I1709" s="6">
        <v>0</v>
      </c>
      <c r="J1709" s="9">
        <f t="shared" si="52"/>
        <v>1515800</v>
      </c>
      <c r="K1709" s="9">
        <f t="shared" si="53"/>
        <v>1515800</v>
      </c>
      <c r="L1709" s="11" t="s">
        <v>76</v>
      </c>
      <c r="M1709" s="11" t="s">
        <v>81</v>
      </c>
      <c r="N1709">
        <v>7</v>
      </c>
      <c r="O1709">
        <v>2023</v>
      </c>
      <c r="P1709" s="29" t="s">
        <v>724</v>
      </c>
      <c r="Q1709" t="s">
        <v>734</v>
      </c>
      <c r="R1709" t="s">
        <v>737</v>
      </c>
    </row>
    <row r="1710" spans="1:18" x14ac:dyDescent="0.25">
      <c r="A1710" s="6">
        <v>1709</v>
      </c>
      <c r="B1710" s="7">
        <v>45633</v>
      </c>
      <c r="C1710" s="8" t="s">
        <v>82</v>
      </c>
      <c r="D1710" s="8" t="s">
        <v>109</v>
      </c>
      <c r="E1710" s="8" t="s">
        <v>111</v>
      </c>
      <c r="F1710" s="8" t="s">
        <v>132</v>
      </c>
      <c r="G1710" s="6">
        <v>25</v>
      </c>
      <c r="H1710" s="25">
        <v>6800</v>
      </c>
      <c r="I1710" s="6">
        <v>0</v>
      </c>
      <c r="J1710" s="6">
        <f t="shared" si="52"/>
        <v>170000</v>
      </c>
      <c r="K1710" s="6">
        <f t="shared" si="53"/>
        <v>170000</v>
      </c>
      <c r="L1710" s="8" t="s">
        <v>187</v>
      </c>
      <c r="M1710" s="8" t="s">
        <v>91</v>
      </c>
      <c r="N1710">
        <v>12</v>
      </c>
      <c r="O1710">
        <v>2024</v>
      </c>
      <c r="P1710" s="29" t="s">
        <v>728</v>
      </c>
      <c r="Q1710" t="s">
        <v>733</v>
      </c>
      <c r="R1710" t="s">
        <v>739</v>
      </c>
    </row>
    <row r="1711" spans="1:18" x14ac:dyDescent="0.25">
      <c r="A1711" s="9">
        <v>1710</v>
      </c>
      <c r="B1711" s="10">
        <v>45510</v>
      </c>
      <c r="C1711" s="11" t="s">
        <v>114</v>
      </c>
      <c r="D1711" s="11" t="s">
        <v>109</v>
      </c>
      <c r="E1711" s="11" t="s">
        <v>84</v>
      </c>
      <c r="F1711" s="11" t="s">
        <v>90</v>
      </c>
      <c r="G1711" s="9">
        <v>31</v>
      </c>
      <c r="H1711" s="26">
        <v>1900</v>
      </c>
      <c r="I1711" s="9">
        <v>15</v>
      </c>
      <c r="J1711" s="9">
        <f t="shared" si="52"/>
        <v>58900</v>
      </c>
      <c r="K1711" s="9">
        <f t="shared" si="53"/>
        <v>50065</v>
      </c>
      <c r="L1711" s="11" t="s">
        <v>187</v>
      </c>
      <c r="M1711" s="11" t="s">
        <v>77</v>
      </c>
      <c r="N1711">
        <v>8</v>
      </c>
      <c r="O1711">
        <v>2024</v>
      </c>
      <c r="P1711" s="29" t="s">
        <v>710</v>
      </c>
      <c r="Q1711" t="s">
        <v>734</v>
      </c>
      <c r="R1711" t="s">
        <v>739</v>
      </c>
    </row>
    <row r="1712" spans="1:18" x14ac:dyDescent="0.25">
      <c r="A1712" s="6">
        <v>1711</v>
      </c>
      <c r="B1712" s="7">
        <v>45159</v>
      </c>
      <c r="C1712" s="8" t="s">
        <v>119</v>
      </c>
      <c r="D1712" s="30" t="s">
        <v>703</v>
      </c>
      <c r="E1712" s="8" t="s">
        <v>111</v>
      </c>
      <c r="F1712" s="8" t="s">
        <v>165</v>
      </c>
      <c r="G1712" s="6">
        <v>24</v>
      </c>
      <c r="H1712" s="25">
        <v>17600</v>
      </c>
      <c r="I1712" s="6">
        <v>0</v>
      </c>
      <c r="J1712" s="6">
        <f t="shared" si="52"/>
        <v>422400</v>
      </c>
      <c r="K1712" s="6">
        <f t="shared" si="53"/>
        <v>422400</v>
      </c>
      <c r="L1712" s="8" t="s">
        <v>76</v>
      </c>
      <c r="M1712" s="8" t="s">
        <v>77</v>
      </c>
      <c r="N1712">
        <v>8</v>
      </c>
      <c r="O1712">
        <v>2023</v>
      </c>
      <c r="P1712" s="29" t="s">
        <v>713</v>
      </c>
      <c r="Q1712" t="s">
        <v>734</v>
      </c>
      <c r="R1712" t="s">
        <v>737</v>
      </c>
    </row>
    <row r="1713" spans="1:18" x14ac:dyDescent="0.25">
      <c r="A1713" s="9">
        <v>1712</v>
      </c>
      <c r="B1713" s="10">
        <v>45508</v>
      </c>
      <c r="C1713" s="11" t="s">
        <v>106</v>
      </c>
      <c r="D1713" s="11" t="s">
        <v>73</v>
      </c>
      <c r="E1713" s="11" t="s">
        <v>102</v>
      </c>
      <c r="F1713" s="11" t="s">
        <v>157</v>
      </c>
      <c r="G1713" s="9">
        <v>43</v>
      </c>
      <c r="H1713" s="26">
        <v>10900</v>
      </c>
      <c r="I1713" s="9">
        <v>5</v>
      </c>
      <c r="J1713" s="9">
        <f t="shared" si="52"/>
        <v>468700</v>
      </c>
      <c r="K1713" s="9">
        <f t="shared" si="53"/>
        <v>445265</v>
      </c>
      <c r="L1713" s="11" t="s">
        <v>123</v>
      </c>
      <c r="M1713" s="11" t="s">
        <v>96</v>
      </c>
      <c r="N1713">
        <v>8</v>
      </c>
      <c r="O1713">
        <v>2024</v>
      </c>
      <c r="P1713" s="29" t="s">
        <v>710</v>
      </c>
      <c r="Q1713" t="s">
        <v>734</v>
      </c>
      <c r="R1713" t="s">
        <v>737</v>
      </c>
    </row>
    <row r="1714" spans="1:18" x14ac:dyDescent="0.25">
      <c r="A1714" s="6">
        <v>1713</v>
      </c>
      <c r="B1714" s="7">
        <v>45139</v>
      </c>
      <c r="C1714" s="8" t="s">
        <v>88</v>
      </c>
      <c r="D1714" s="8" t="s">
        <v>83</v>
      </c>
      <c r="E1714" s="8" t="s">
        <v>79</v>
      </c>
      <c r="F1714" s="8" t="s">
        <v>122</v>
      </c>
      <c r="G1714" s="6">
        <v>39</v>
      </c>
      <c r="H1714" s="25">
        <v>20000</v>
      </c>
      <c r="I1714" s="6">
        <v>10</v>
      </c>
      <c r="J1714" s="6">
        <f t="shared" si="52"/>
        <v>780000</v>
      </c>
      <c r="K1714" s="6">
        <f t="shared" si="53"/>
        <v>702000</v>
      </c>
      <c r="L1714" s="8" t="s">
        <v>76</v>
      </c>
      <c r="M1714" s="8" t="s">
        <v>77</v>
      </c>
      <c r="N1714">
        <v>8</v>
      </c>
      <c r="O1714">
        <v>2023</v>
      </c>
      <c r="P1714" s="29" t="s">
        <v>713</v>
      </c>
      <c r="Q1714" t="s">
        <v>734</v>
      </c>
      <c r="R1714" t="s">
        <v>737</v>
      </c>
    </row>
    <row r="1715" spans="1:18" x14ac:dyDescent="0.25">
      <c r="A1715" s="9">
        <v>1714</v>
      </c>
      <c r="B1715" s="10">
        <v>45066</v>
      </c>
      <c r="C1715" s="11" t="s">
        <v>119</v>
      </c>
      <c r="D1715" s="11" t="s">
        <v>83</v>
      </c>
      <c r="E1715" s="11" t="s">
        <v>102</v>
      </c>
      <c r="F1715" s="11" t="s">
        <v>157</v>
      </c>
      <c r="G1715" s="9">
        <v>3</v>
      </c>
      <c r="H1715" s="26">
        <v>11200</v>
      </c>
      <c r="I1715" s="9">
        <v>0</v>
      </c>
      <c r="J1715" s="9">
        <f t="shared" si="52"/>
        <v>33600</v>
      </c>
      <c r="K1715" s="9">
        <f t="shared" si="53"/>
        <v>33600</v>
      </c>
      <c r="L1715" s="11" t="s">
        <v>187</v>
      </c>
      <c r="M1715" s="11" t="s">
        <v>96</v>
      </c>
      <c r="N1715">
        <v>5</v>
      </c>
      <c r="O1715">
        <v>2023</v>
      </c>
      <c r="P1715" s="29" t="s">
        <v>730</v>
      </c>
      <c r="Q1715" t="s">
        <v>736</v>
      </c>
      <c r="R1715" t="s">
        <v>738</v>
      </c>
    </row>
    <row r="1716" spans="1:18" x14ac:dyDescent="0.25">
      <c r="A1716" s="6">
        <v>1715</v>
      </c>
      <c r="B1716" s="7">
        <v>45246</v>
      </c>
      <c r="C1716" s="8" t="s">
        <v>82</v>
      </c>
      <c r="D1716" s="8" t="s">
        <v>83</v>
      </c>
      <c r="E1716" s="8" t="s">
        <v>74</v>
      </c>
      <c r="F1716" s="8" t="s">
        <v>94</v>
      </c>
      <c r="G1716" s="6">
        <v>4</v>
      </c>
      <c r="H1716" s="25">
        <v>39000</v>
      </c>
      <c r="I1716" s="6">
        <v>15</v>
      </c>
      <c r="J1716" s="6">
        <f t="shared" si="52"/>
        <v>156000</v>
      </c>
      <c r="K1716" s="6">
        <f t="shared" si="53"/>
        <v>132600</v>
      </c>
      <c r="L1716" s="8" t="s">
        <v>123</v>
      </c>
      <c r="M1716" s="8" t="s">
        <v>81</v>
      </c>
      <c r="N1716">
        <v>11</v>
      </c>
      <c r="O1716">
        <v>2023</v>
      </c>
      <c r="P1716" s="29" t="s">
        <v>718</v>
      </c>
      <c r="Q1716" t="s">
        <v>733</v>
      </c>
      <c r="R1716" t="s">
        <v>739</v>
      </c>
    </row>
    <row r="1717" spans="1:18" x14ac:dyDescent="0.25">
      <c r="A1717" s="9">
        <v>1716</v>
      </c>
      <c r="B1717" s="10">
        <v>45191</v>
      </c>
      <c r="C1717" s="11" t="s">
        <v>114</v>
      </c>
      <c r="D1717" s="11" t="s">
        <v>109</v>
      </c>
      <c r="E1717" s="11" t="s">
        <v>74</v>
      </c>
      <c r="F1717" s="11" t="s">
        <v>212</v>
      </c>
      <c r="G1717" s="9">
        <v>5</v>
      </c>
      <c r="H1717" s="26">
        <v>8900</v>
      </c>
      <c r="I1717" s="9">
        <v>0</v>
      </c>
      <c r="J1717" s="9">
        <f t="shared" si="52"/>
        <v>44500</v>
      </c>
      <c r="K1717" s="9">
        <f t="shared" si="53"/>
        <v>44500</v>
      </c>
      <c r="L1717" s="11" t="s">
        <v>123</v>
      </c>
      <c r="M1717" s="11" t="s">
        <v>96</v>
      </c>
      <c r="N1717">
        <v>9</v>
      </c>
      <c r="O1717">
        <v>2023</v>
      </c>
      <c r="P1717" s="29" t="s">
        <v>715</v>
      </c>
      <c r="Q1717" t="s">
        <v>734</v>
      </c>
      <c r="R1717" t="s">
        <v>738</v>
      </c>
    </row>
    <row r="1718" spans="1:18" x14ac:dyDescent="0.25">
      <c r="A1718" s="6">
        <v>1717</v>
      </c>
      <c r="B1718" s="7">
        <v>45437</v>
      </c>
      <c r="C1718" s="8" t="s">
        <v>101</v>
      </c>
      <c r="D1718" s="8" t="s">
        <v>117</v>
      </c>
      <c r="E1718" s="8" t="s">
        <v>111</v>
      </c>
      <c r="F1718" s="8" t="s">
        <v>192</v>
      </c>
      <c r="G1718" s="6">
        <v>19</v>
      </c>
      <c r="H1718" s="25">
        <v>86100</v>
      </c>
      <c r="I1718" s="6">
        <v>0</v>
      </c>
      <c r="J1718" s="6">
        <f t="shared" si="52"/>
        <v>1635900</v>
      </c>
      <c r="K1718" s="6">
        <f t="shared" si="53"/>
        <v>1635900</v>
      </c>
      <c r="L1718" s="8" t="s">
        <v>76</v>
      </c>
      <c r="M1718" s="8" t="s">
        <v>77</v>
      </c>
      <c r="N1718">
        <v>5</v>
      </c>
      <c r="O1718">
        <v>2024</v>
      </c>
      <c r="P1718" s="29" t="s">
        <v>732</v>
      </c>
      <c r="Q1718" t="s">
        <v>736</v>
      </c>
      <c r="R1718" t="s">
        <v>737</v>
      </c>
    </row>
    <row r="1719" spans="1:18" x14ac:dyDescent="0.25">
      <c r="A1719" s="9">
        <v>1718</v>
      </c>
      <c r="B1719" s="10">
        <v>45067</v>
      </c>
      <c r="C1719" s="11" t="s">
        <v>82</v>
      </c>
      <c r="D1719" s="11" t="s">
        <v>93</v>
      </c>
      <c r="E1719" s="11" t="s">
        <v>102</v>
      </c>
      <c r="F1719" s="11" t="s">
        <v>137</v>
      </c>
      <c r="G1719" s="9">
        <v>7</v>
      </c>
      <c r="H1719" s="26">
        <v>2200</v>
      </c>
      <c r="I1719" s="9">
        <v>0</v>
      </c>
      <c r="J1719" s="9">
        <f t="shared" si="52"/>
        <v>15400</v>
      </c>
      <c r="K1719" s="9">
        <f t="shared" si="53"/>
        <v>15400</v>
      </c>
      <c r="L1719" s="11" t="s">
        <v>123</v>
      </c>
      <c r="M1719" s="11" t="s">
        <v>96</v>
      </c>
      <c r="N1719">
        <v>5</v>
      </c>
      <c r="O1719">
        <v>2023</v>
      </c>
      <c r="P1719" s="29" t="s">
        <v>730</v>
      </c>
      <c r="Q1719" t="s">
        <v>736</v>
      </c>
      <c r="R1719" t="s">
        <v>738</v>
      </c>
    </row>
    <row r="1720" spans="1:18" x14ac:dyDescent="0.25">
      <c r="A1720" s="6">
        <v>1719</v>
      </c>
      <c r="B1720" s="7">
        <v>45112</v>
      </c>
      <c r="C1720" s="8" t="s">
        <v>108</v>
      </c>
      <c r="D1720" s="8" t="s">
        <v>93</v>
      </c>
      <c r="E1720" s="8" t="s">
        <v>84</v>
      </c>
      <c r="F1720" s="8" t="s">
        <v>150</v>
      </c>
      <c r="G1720" s="6">
        <v>18</v>
      </c>
      <c r="H1720" s="25">
        <v>5300</v>
      </c>
      <c r="I1720" s="6">
        <v>20</v>
      </c>
      <c r="J1720" s="6">
        <f t="shared" si="52"/>
        <v>95400</v>
      </c>
      <c r="K1720" s="6">
        <f t="shared" si="53"/>
        <v>76320</v>
      </c>
      <c r="L1720" s="8" t="s">
        <v>76</v>
      </c>
      <c r="M1720" s="8" t="s">
        <v>77</v>
      </c>
      <c r="N1720">
        <v>7</v>
      </c>
      <c r="O1720">
        <v>2023</v>
      </c>
      <c r="P1720" s="29" t="s">
        <v>724</v>
      </c>
      <c r="Q1720" t="s">
        <v>734</v>
      </c>
      <c r="R1720" t="s">
        <v>739</v>
      </c>
    </row>
    <row r="1721" spans="1:18" x14ac:dyDescent="0.25">
      <c r="A1721" s="9">
        <v>1720</v>
      </c>
      <c r="B1721" s="10">
        <v>45656</v>
      </c>
      <c r="C1721" s="11" t="s">
        <v>82</v>
      </c>
      <c r="D1721" s="11" t="s">
        <v>93</v>
      </c>
      <c r="E1721" s="11" t="s">
        <v>102</v>
      </c>
      <c r="F1721" s="11" t="s">
        <v>110</v>
      </c>
      <c r="G1721" s="9">
        <v>43</v>
      </c>
      <c r="H1721" s="26">
        <v>24800</v>
      </c>
      <c r="I1721" s="9">
        <v>20</v>
      </c>
      <c r="J1721" s="9">
        <f t="shared" si="52"/>
        <v>1066400</v>
      </c>
      <c r="K1721" s="9">
        <f t="shared" si="53"/>
        <v>853120</v>
      </c>
      <c r="L1721" s="11" t="s">
        <v>76</v>
      </c>
      <c r="M1721" s="11" t="s">
        <v>91</v>
      </c>
      <c r="N1721">
        <v>12</v>
      </c>
      <c r="O1721">
        <v>2024</v>
      </c>
      <c r="P1721" s="29" t="s">
        <v>728</v>
      </c>
      <c r="Q1721" t="s">
        <v>733</v>
      </c>
      <c r="R1721" t="s">
        <v>737</v>
      </c>
    </row>
    <row r="1722" spans="1:18" x14ac:dyDescent="0.25">
      <c r="A1722" s="6">
        <v>1721</v>
      </c>
      <c r="B1722" s="7">
        <v>45232</v>
      </c>
      <c r="C1722" s="8" t="s">
        <v>101</v>
      </c>
      <c r="D1722" s="8" t="s">
        <v>83</v>
      </c>
      <c r="E1722" s="8" t="s">
        <v>79</v>
      </c>
      <c r="F1722" s="8" t="s">
        <v>120</v>
      </c>
      <c r="G1722" s="6">
        <v>4</v>
      </c>
      <c r="H1722" s="25">
        <v>5800</v>
      </c>
      <c r="I1722" s="6">
        <v>10</v>
      </c>
      <c r="J1722" s="6">
        <f t="shared" si="52"/>
        <v>23200</v>
      </c>
      <c r="K1722" s="6">
        <f t="shared" si="53"/>
        <v>20880</v>
      </c>
      <c r="L1722" s="8" t="s">
        <v>76</v>
      </c>
      <c r="M1722" s="8" t="s">
        <v>77</v>
      </c>
      <c r="N1722">
        <v>11</v>
      </c>
      <c r="O1722">
        <v>2023</v>
      </c>
      <c r="P1722" s="29" t="s">
        <v>718</v>
      </c>
      <c r="Q1722" t="s">
        <v>733</v>
      </c>
      <c r="R1722" t="s">
        <v>738</v>
      </c>
    </row>
    <row r="1723" spans="1:18" x14ac:dyDescent="0.25">
      <c r="A1723" s="9">
        <v>1722</v>
      </c>
      <c r="B1723" s="10">
        <v>45047</v>
      </c>
      <c r="C1723" s="11" t="s">
        <v>97</v>
      </c>
      <c r="D1723" s="11" t="s">
        <v>83</v>
      </c>
      <c r="E1723" s="11" t="s">
        <v>79</v>
      </c>
      <c r="F1723" s="11" t="s">
        <v>172</v>
      </c>
      <c r="G1723" s="9">
        <v>26</v>
      </c>
      <c r="H1723" s="26">
        <v>27600</v>
      </c>
      <c r="I1723" s="9">
        <v>0</v>
      </c>
      <c r="J1723" s="9">
        <f t="shared" si="52"/>
        <v>717600</v>
      </c>
      <c r="K1723" s="9">
        <f t="shared" si="53"/>
        <v>717600</v>
      </c>
      <c r="L1723" s="11" t="s">
        <v>76</v>
      </c>
      <c r="M1723" s="11" t="s">
        <v>96</v>
      </c>
      <c r="N1723">
        <v>5</v>
      </c>
      <c r="O1723">
        <v>2023</v>
      </c>
      <c r="P1723" s="29" t="s">
        <v>730</v>
      </c>
      <c r="Q1723" t="s">
        <v>736</v>
      </c>
      <c r="R1723" t="s">
        <v>737</v>
      </c>
    </row>
    <row r="1724" spans="1:18" x14ac:dyDescent="0.25">
      <c r="A1724" s="6">
        <v>1723</v>
      </c>
      <c r="B1724" s="7">
        <v>45532</v>
      </c>
      <c r="C1724" s="8" t="s">
        <v>82</v>
      </c>
      <c r="D1724" s="8" t="s">
        <v>109</v>
      </c>
      <c r="E1724" s="8" t="s">
        <v>79</v>
      </c>
      <c r="F1724" s="8" t="s">
        <v>120</v>
      </c>
      <c r="G1724" s="6">
        <v>42</v>
      </c>
      <c r="H1724" s="25">
        <v>5700</v>
      </c>
      <c r="I1724" s="6">
        <v>0</v>
      </c>
      <c r="J1724" s="6">
        <f t="shared" si="52"/>
        <v>239400</v>
      </c>
      <c r="K1724" s="6">
        <f t="shared" si="53"/>
        <v>239400</v>
      </c>
      <c r="L1724" s="8" t="s">
        <v>107</v>
      </c>
      <c r="M1724" s="8" t="s">
        <v>77</v>
      </c>
      <c r="N1724">
        <v>8</v>
      </c>
      <c r="O1724">
        <v>2024</v>
      </c>
      <c r="P1724" s="29" t="s">
        <v>710</v>
      </c>
      <c r="Q1724" t="s">
        <v>734</v>
      </c>
      <c r="R1724" t="s">
        <v>737</v>
      </c>
    </row>
    <row r="1725" spans="1:18" x14ac:dyDescent="0.25">
      <c r="A1725" s="9">
        <v>1724</v>
      </c>
      <c r="B1725" s="10">
        <v>44944</v>
      </c>
      <c r="C1725" s="11" t="s">
        <v>119</v>
      </c>
      <c r="D1725" s="11" t="s">
        <v>109</v>
      </c>
      <c r="E1725" s="11" t="s">
        <v>84</v>
      </c>
      <c r="F1725" s="11" t="s">
        <v>128</v>
      </c>
      <c r="G1725" s="9">
        <v>44</v>
      </c>
      <c r="H1725" s="26">
        <v>4600</v>
      </c>
      <c r="I1725" s="9">
        <v>0</v>
      </c>
      <c r="J1725" s="9">
        <f t="shared" si="52"/>
        <v>202400</v>
      </c>
      <c r="K1725" s="9">
        <f t="shared" si="53"/>
        <v>202400</v>
      </c>
      <c r="L1725" s="11" t="s">
        <v>76</v>
      </c>
      <c r="M1725" s="11" t="s">
        <v>91</v>
      </c>
      <c r="N1725">
        <v>1</v>
      </c>
      <c r="O1725">
        <v>2023</v>
      </c>
      <c r="P1725" s="29" t="s">
        <v>721</v>
      </c>
      <c r="Q1725" t="s">
        <v>735</v>
      </c>
      <c r="R1725" t="s">
        <v>737</v>
      </c>
    </row>
    <row r="1726" spans="1:18" x14ac:dyDescent="0.25">
      <c r="A1726" s="6">
        <v>1725</v>
      </c>
      <c r="B1726" s="7">
        <v>45624</v>
      </c>
      <c r="C1726" s="8" t="s">
        <v>82</v>
      </c>
      <c r="D1726" s="8" t="s">
        <v>117</v>
      </c>
      <c r="E1726" s="8" t="s">
        <v>102</v>
      </c>
      <c r="F1726" s="8" t="s">
        <v>181</v>
      </c>
      <c r="G1726" s="6">
        <v>16</v>
      </c>
      <c r="H1726" s="25">
        <v>4600</v>
      </c>
      <c r="I1726" s="6">
        <v>10</v>
      </c>
      <c r="J1726" s="6">
        <f t="shared" si="52"/>
        <v>73600</v>
      </c>
      <c r="K1726" s="6">
        <f t="shared" si="53"/>
        <v>66240</v>
      </c>
      <c r="L1726" s="8" t="s">
        <v>76</v>
      </c>
      <c r="M1726" s="8" t="s">
        <v>81</v>
      </c>
      <c r="N1726">
        <v>11</v>
      </c>
      <c r="O1726">
        <v>2024</v>
      </c>
      <c r="P1726" s="29" t="s">
        <v>714</v>
      </c>
      <c r="Q1726" t="s">
        <v>733</v>
      </c>
      <c r="R1726" t="s">
        <v>739</v>
      </c>
    </row>
    <row r="1727" spans="1:18" x14ac:dyDescent="0.25">
      <c r="A1727" s="9">
        <v>1726</v>
      </c>
      <c r="B1727" s="10">
        <v>45609</v>
      </c>
      <c r="C1727" s="11" t="s">
        <v>114</v>
      </c>
      <c r="D1727" s="11" t="s">
        <v>109</v>
      </c>
      <c r="E1727" s="11" t="s">
        <v>102</v>
      </c>
      <c r="F1727" s="11" t="s">
        <v>110</v>
      </c>
      <c r="G1727" s="9">
        <v>26</v>
      </c>
      <c r="H1727" s="26">
        <v>21700</v>
      </c>
      <c r="I1727" s="9">
        <v>10</v>
      </c>
      <c r="J1727" s="9">
        <f t="shared" si="52"/>
        <v>564200</v>
      </c>
      <c r="K1727" s="9">
        <f t="shared" si="53"/>
        <v>507780</v>
      </c>
      <c r="L1727" s="11" t="s">
        <v>123</v>
      </c>
      <c r="M1727" s="11" t="s">
        <v>91</v>
      </c>
      <c r="N1727">
        <v>11</v>
      </c>
      <c r="O1727">
        <v>2024</v>
      </c>
      <c r="P1727" s="29" t="s">
        <v>714</v>
      </c>
      <c r="Q1727" t="s">
        <v>733</v>
      </c>
      <c r="R1727" t="s">
        <v>737</v>
      </c>
    </row>
    <row r="1728" spans="1:18" x14ac:dyDescent="0.25">
      <c r="A1728" s="6">
        <v>1727</v>
      </c>
      <c r="B1728" s="7">
        <v>45221</v>
      </c>
      <c r="C1728" s="8" t="s">
        <v>101</v>
      </c>
      <c r="D1728" s="8" t="s">
        <v>109</v>
      </c>
      <c r="E1728" s="8" t="s">
        <v>102</v>
      </c>
      <c r="F1728" s="8" t="s">
        <v>137</v>
      </c>
      <c r="G1728" s="6">
        <v>17</v>
      </c>
      <c r="H1728" s="25">
        <v>2400</v>
      </c>
      <c r="I1728" s="6">
        <v>0</v>
      </c>
      <c r="J1728" s="6">
        <f t="shared" si="52"/>
        <v>40800</v>
      </c>
      <c r="K1728" s="6">
        <f t="shared" si="53"/>
        <v>40800</v>
      </c>
      <c r="L1728" s="8" t="s">
        <v>76</v>
      </c>
      <c r="M1728" s="8" t="s">
        <v>91</v>
      </c>
      <c r="N1728">
        <v>10</v>
      </c>
      <c r="O1728">
        <v>2023</v>
      </c>
      <c r="P1728" s="29" t="s">
        <v>726</v>
      </c>
      <c r="Q1728" t="s">
        <v>733</v>
      </c>
      <c r="R1728" t="s">
        <v>738</v>
      </c>
    </row>
    <row r="1729" spans="1:18" x14ac:dyDescent="0.25">
      <c r="A1729" s="9">
        <v>1728</v>
      </c>
      <c r="B1729" s="10">
        <v>45044</v>
      </c>
      <c r="C1729" s="11" t="s">
        <v>114</v>
      </c>
      <c r="D1729" s="11" t="s">
        <v>93</v>
      </c>
      <c r="E1729" s="11" t="s">
        <v>84</v>
      </c>
      <c r="F1729" s="11" t="s">
        <v>134</v>
      </c>
      <c r="G1729" s="9">
        <v>37</v>
      </c>
      <c r="H1729" s="26">
        <v>10300</v>
      </c>
      <c r="I1729" s="9">
        <v>15</v>
      </c>
      <c r="J1729" s="9">
        <f t="shared" si="52"/>
        <v>381100</v>
      </c>
      <c r="K1729" s="9">
        <f t="shared" si="53"/>
        <v>323935</v>
      </c>
      <c r="L1729" s="11" t="s">
        <v>76</v>
      </c>
      <c r="M1729" s="11" t="s">
        <v>77</v>
      </c>
      <c r="N1729">
        <v>4</v>
      </c>
      <c r="O1729">
        <v>2023</v>
      </c>
      <c r="P1729" s="29" t="s">
        <v>716</v>
      </c>
      <c r="Q1729" t="s">
        <v>736</v>
      </c>
      <c r="R1729" t="s">
        <v>737</v>
      </c>
    </row>
    <row r="1730" spans="1:18" x14ac:dyDescent="0.25">
      <c r="A1730" s="6">
        <v>1729</v>
      </c>
      <c r="B1730" s="7">
        <v>45269</v>
      </c>
      <c r="C1730" s="8" t="s">
        <v>108</v>
      </c>
      <c r="D1730" s="30" t="s">
        <v>703</v>
      </c>
      <c r="E1730" s="8" t="s">
        <v>84</v>
      </c>
      <c r="F1730" s="8" t="s">
        <v>90</v>
      </c>
      <c r="G1730" s="6">
        <v>47</v>
      </c>
      <c r="H1730" s="25">
        <v>2000</v>
      </c>
      <c r="I1730" s="6">
        <v>0</v>
      </c>
      <c r="J1730" s="6">
        <f t="shared" ref="J1730:J1793" si="54">G1730*H1730</f>
        <v>94000</v>
      </c>
      <c r="K1730" s="6">
        <f t="shared" ref="K1730:K1793" si="55">J1730*(1-I1730/100)</f>
        <v>94000</v>
      </c>
      <c r="L1730" s="8" t="s">
        <v>76</v>
      </c>
      <c r="M1730" s="8" t="s">
        <v>91</v>
      </c>
      <c r="N1730">
        <v>12</v>
      </c>
      <c r="O1730">
        <v>2023</v>
      </c>
      <c r="P1730" s="29" t="s">
        <v>725</v>
      </c>
      <c r="Q1730" t="s">
        <v>733</v>
      </c>
      <c r="R1730" t="s">
        <v>739</v>
      </c>
    </row>
    <row r="1731" spans="1:18" x14ac:dyDescent="0.25">
      <c r="A1731" s="9">
        <v>1730</v>
      </c>
      <c r="B1731" s="10">
        <v>45268</v>
      </c>
      <c r="C1731" s="11" t="s">
        <v>101</v>
      </c>
      <c r="D1731" s="11" t="s">
        <v>73</v>
      </c>
      <c r="E1731" s="11" t="s">
        <v>102</v>
      </c>
      <c r="F1731" s="11" t="s">
        <v>138</v>
      </c>
      <c r="G1731" s="9">
        <v>46</v>
      </c>
      <c r="H1731" s="26">
        <v>6900</v>
      </c>
      <c r="I1731" s="9">
        <v>5</v>
      </c>
      <c r="J1731" s="9">
        <f t="shared" si="54"/>
        <v>317400</v>
      </c>
      <c r="K1731" s="9">
        <f t="shared" si="55"/>
        <v>301530</v>
      </c>
      <c r="L1731" s="11" t="s">
        <v>76</v>
      </c>
      <c r="M1731" s="31" t="s">
        <v>695</v>
      </c>
      <c r="N1731">
        <v>12</v>
      </c>
      <c r="O1731">
        <v>2023</v>
      </c>
      <c r="P1731" s="29" t="s">
        <v>725</v>
      </c>
      <c r="Q1731" t="s">
        <v>733</v>
      </c>
      <c r="R1731" t="s">
        <v>737</v>
      </c>
    </row>
    <row r="1732" spans="1:18" x14ac:dyDescent="0.25">
      <c r="A1732" s="6">
        <v>1731</v>
      </c>
      <c r="B1732" s="7">
        <v>45036</v>
      </c>
      <c r="C1732" s="8" t="s">
        <v>88</v>
      </c>
      <c r="D1732" s="30" t="s">
        <v>703</v>
      </c>
      <c r="E1732" s="8" t="s">
        <v>111</v>
      </c>
      <c r="F1732" s="8" t="s">
        <v>166</v>
      </c>
      <c r="G1732" s="6">
        <v>42</v>
      </c>
      <c r="H1732" s="25">
        <v>26200</v>
      </c>
      <c r="I1732" s="6">
        <v>0</v>
      </c>
      <c r="J1732" s="6">
        <f t="shared" si="54"/>
        <v>1100400</v>
      </c>
      <c r="K1732" s="6">
        <f t="shared" si="55"/>
        <v>1100400</v>
      </c>
      <c r="L1732" s="8" t="s">
        <v>187</v>
      </c>
      <c r="M1732" s="8" t="s">
        <v>96</v>
      </c>
      <c r="N1732">
        <v>4</v>
      </c>
      <c r="O1732">
        <v>2023</v>
      </c>
      <c r="P1732" s="29" t="s">
        <v>716</v>
      </c>
      <c r="Q1732" t="s">
        <v>736</v>
      </c>
      <c r="R1732" t="s">
        <v>737</v>
      </c>
    </row>
    <row r="1733" spans="1:18" x14ac:dyDescent="0.25">
      <c r="A1733" s="9">
        <v>1732</v>
      </c>
      <c r="B1733" s="10">
        <v>45347</v>
      </c>
      <c r="C1733" s="11" t="s">
        <v>114</v>
      </c>
      <c r="D1733" s="11" t="s">
        <v>93</v>
      </c>
      <c r="E1733" s="11" t="s">
        <v>74</v>
      </c>
      <c r="F1733" s="11" t="s">
        <v>99</v>
      </c>
      <c r="G1733" s="9">
        <v>41</v>
      </c>
      <c r="H1733" s="26">
        <v>3700</v>
      </c>
      <c r="I1733" s="9">
        <v>0</v>
      </c>
      <c r="J1733" s="9">
        <f t="shared" si="54"/>
        <v>151700</v>
      </c>
      <c r="K1733" s="9">
        <f t="shared" si="55"/>
        <v>151700</v>
      </c>
      <c r="L1733" s="11" t="s">
        <v>76</v>
      </c>
      <c r="M1733" s="11" t="s">
        <v>91</v>
      </c>
      <c r="N1733">
        <v>2</v>
      </c>
      <c r="O1733">
        <v>2024</v>
      </c>
      <c r="P1733" s="29" t="s">
        <v>729</v>
      </c>
      <c r="Q1733" t="s">
        <v>735</v>
      </c>
      <c r="R1733" t="s">
        <v>739</v>
      </c>
    </row>
    <row r="1734" spans="1:18" x14ac:dyDescent="0.25">
      <c r="A1734" s="6">
        <v>1733</v>
      </c>
      <c r="B1734" s="7">
        <v>45267</v>
      </c>
      <c r="C1734" s="8" t="s">
        <v>106</v>
      </c>
      <c r="D1734" s="8" t="s">
        <v>83</v>
      </c>
      <c r="E1734" s="8" t="s">
        <v>111</v>
      </c>
      <c r="F1734" s="8" t="s">
        <v>135</v>
      </c>
      <c r="G1734" s="6">
        <v>17</v>
      </c>
      <c r="H1734" s="25">
        <v>116100</v>
      </c>
      <c r="I1734" s="6">
        <v>0</v>
      </c>
      <c r="J1734" s="6">
        <f t="shared" si="54"/>
        <v>1973700</v>
      </c>
      <c r="K1734" s="6">
        <f t="shared" si="55"/>
        <v>1973700</v>
      </c>
      <c r="L1734" s="8" t="s">
        <v>76</v>
      </c>
      <c r="M1734" s="31" t="s">
        <v>695</v>
      </c>
      <c r="N1734">
        <v>12</v>
      </c>
      <c r="O1734">
        <v>2023</v>
      </c>
      <c r="P1734" s="29" t="s">
        <v>725</v>
      </c>
      <c r="Q1734" t="s">
        <v>733</v>
      </c>
      <c r="R1734" t="s">
        <v>737</v>
      </c>
    </row>
    <row r="1735" spans="1:18" x14ac:dyDescent="0.25">
      <c r="A1735" s="9">
        <v>1734</v>
      </c>
      <c r="B1735" s="10">
        <v>45019</v>
      </c>
      <c r="C1735" s="11" t="s">
        <v>78</v>
      </c>
      <c r="D1735" s="11" t="s">
        <v>83</v>
      </c>
      <c r="E1735" s="11" t="s">
        <v>102</v>
      </c>
      <c r="F1735" s="11" t="s">
        <v>110</v>
      </c>
      <c r="G1735" s="9">
        <v>8</v>
      </c>
      <c r="H1735" s="26">
        <v>20900</v>
      </c>
      <c r="I1735" s="9">
        <v>0</v>
      </c>
      <c r="J1735" s="9">
        <f t="shared" si="54"/>
        <v>167200</v>
      </c>
      <c r="K1735" s="9">
        <f t="shared" si="55"/>
        <v>167200</v>
      </c>
      <c r="L1735" s="11" t="s">
        <v>107</v>
      </c>
      <c r="M1735" s="11" t="s">
        <v>81</v>
      </c>
      <c r="N1735">
        <v>4</v>
      </c>
      <c r="O1735">
        <v>2023</v>
      </c>
      <c r="P1735" s="29" t="s">
        <v>716</v>
      </c>
      <c r="Q1735" t="s">
        <v>736</v>
      </c>
      <c r="R1735" t="s">
        <v>739</v>
      </c>
    </row>
    <row r="1736" spans="1:18" x14ac:dyDescent="0.25">
      <c r="A1736" s="6">
        <v>1735</v>
      </c>
      <c r="B1736" s="7">
        <v>45213</v>
      </c>
      <c r="C1736" s="8" t="s">
        <v>108</v>
      </c>
      <c r="D1736" s="8" t="s">
        <v>83</v>
      </c>
      <c r="E1736" s="8" t="s">
        <v>79</v>
      </c>
      <c r="F1736" s="8" t="s">
        <v>172</v>
      </c>
      <c r="G1736" s="6">
        <v>34</v>
      </c>
      <c r="H1736" s="25">
        <v>27400</v>
      </c>
      <c r="I1736" s="6">
        <v>0</v>
      </c>
      <c r="J1736" s="6">
        <f t="shared" si="54"/>
        <v>931600</v>
      </c>
      <c r="K1736" s="6">
        <f t="shared" si="55"/>
        <v>931600</v>
      </c>
      <c r="L1736" s="8" t="s">
        <v>76</v>
      </c>
      <c r="M1736" s="8" t="s">
        <v>91</v>
      </c>
      <c r="N1736">
        <v>10</v>
      </c>
      <c r="O1736">
        <v>2023</v>
      </c>
      <c r="P1736" s="29" t="s">
        <v>726</v>
      </c>
      <c r="Q1736" t="s">
        <v>733</v>
      </c>
      <c r="R1736" t="s">
        <v>737</v>
      </c>
    </row>
    <row r="1737" spans="1:18" x14ac:dyDescent="0.25">
      <c r="A1737" s="9">
        <v>1736</v>
      </c>
      <c r="B1737" s="10">
        <v>45118</v>
      </c>
      <c r="C1737" s="11" t="s">
        <v>106</v>
      </c>
      <c r="D1737" s="11" t="s">
        <v>83</v>
      </c>
      <c r="E1737" s="11" t="s">
        <v>84</v>
      </c>
      <c r="F1737" s="11" t="s">
        <v>134</v>
      </c>
      <c r="G1737" s="9">
        <v>25</v>
      </c>
      <c r="H1737" s="26">
        <v>10700</v>
      </c>
      <c r="I1737" s="9">
        <v>0</v>
      </c>
      <c r="J1737" s="9">
        <f t="shared" si="54"/>
        <v>267500</v>
      </c>
      <c r="K1737" s="9">
        <f t="shared" si="55"/>
        <v>267500</v>
      </c>
      <c r="L1737" s="11" t="s">
        <v>76</v>
      </c>
      <c r="M1737" s="11" t="s">
        <v>91</v>
      </c>
      <c r="N1737">
        <v>7</v>
      </c>
      <c r="O1737">
        <v>2023</v>
      </c>
      <c r="P1737" s="29" t="s">
        <v>724</v>
      </c>
      <c r="Q1737" t="s">
        <v>734</v>
      </c>
      <c r="R1737" t="s">
        <v>737</v>
      </c>
    </row>
    <row r="1738" spans="1:18" x14ac:dyDescent="0.25">
      <c r="A1738" s="6">
        <v>1737</v>
      </c>
      <c r="B1738" s="7">
        <v>45375</v>
      </c>
      <c r="C1738" s="8" t="s">
        <v>108</v>
      </c>
      <c r="D1738" s="8" t="s">
        <v>73</v>
      </c>
      <c r="E1738" s="8" t="s">
        <v>84</v>
      </c>
      <c r="F1738" s="8" t="s">
        <v>85</v>
      </c>
      <c r="G1738" s="6">
        <v>36</v>
      </c>
      <c r="H1738" s="25">
        <v>5400</v>
      </c>
      <c r="I1738" s="6">
        <v>0</v>
      </c>
      <c r="J1738" s="6">
        <f t="shared" si="54"/>
        <v>194400</v>
      </c>
      <c r="K1738" s="6">
        <f t="shared" si="55"/>
        <v>194400</v>
      </c>
      <c r="L1738" s="8" t="s">
        <v>76</v>
      </c>
      <c r="M1738" s="8" t="s">
        <v>81</v>
      </c>
      <c r="N1738">
        <v>3</v>
      </c>
      <c r="O1738">
        <v>2024</v>
      </c>
      <c r="P1738" s="29" t="s">
        <v>711</v>
      </c>
      <c r="Q1738" t="s">
        <v>735</v>
      </c>
      <c r="R1738" t="s">
        <v>739</v>
      </c>
    </row>
    <row r="1739" spans="1:18" x14ac:dyDescent="0.25">
      <c r="A1739" s="9">
        <v>1738</v>
      </c>
      <c r="B1739" s="10">
        <v>44967</v>
      </c>
      <c r="C1739" s="11" t="s">
        <v>88</v>
      </c>
      <c r="D1739" s="11" t="s">
        <v>93</v>
      </c>
      <c r="E1739" s="11" t="s">
        <v>74</v>
      </c>
      <c r="F1739" s="11" t="s">
        <v>118</v>
      </c>
      <c r="G1739" s="9">
        <v>43</v>
      </c>
      <c r="H1739" s="26">
        <v>27100</v>
      </c>
      <c r="I1739" s="9">
        <v>15</v>
      </c>
      <c r="J1739" s="9">
        <f t="shared" si="54"/>
        <v>1165300</v>
      </c>
      <c r="K1739" s="9">
        <f t="shared" si="55"/>
        <v>990505</v>
      </c>
      <c r="L1739" s="11" t="s">
        <v>76</v>
      </c>
      <c r="M1739" s="11" t="s">
        <v>96</v>
      </c>
      <c r="N1739">
        <v>2</v>
      </c>
      <c r="O1739">
        <v>2023</v>
      </c>
      <c r="P1739" s="29" t="s">
        <v>717</v>
      </c>
      <c r="Q1739" t="s">
        <v>735</v>
      </c>
      <c r="R1739" t="s">
        <v>737</v>
      </c>
    </row>
    <row r="1740" spans="1:18" x14ac:dyDescent="0.25">
      <c r="A1740" s="6">
        <v>1739</v>
      </c>
      <c r="B1740" s="7">
        <v>45340</v>
      </c>
      <c r="C1740" s="8" t="s">
        <v>78</v>
      </c>
      <c r="D1740" s="8" t="s">
        <v>73</v>
      </c>
      <c r="E1740" s="8" t="s">
        <v>102</v>
      </c>
      <c r="F1740" s="8" t="s">
        <v>137</v>
      </c>
      <c r="G1740" s="6">
        <v>19</v>
      </c>
      <c r="H1740" s="25">
        <v>2100</v>
      </c>
      <c r="I1740" s="6">
        <v>20</v>
      </c>
      <c r="J1740" s="6">
        <f t="shared" si="54"/>
        <v>39900</v>
      </c>
      <c r="K1740" s="6">
        <f t="shared" si="55"/>
        <v>31920</v>
      </c>
      <c r="L1740" s="8" t="s">
        <v>76</v>
      </c>
      <c r="M1740" s="8" t="s">
        <v>81</v>
      </c>
      <c r="N1740">
        <v>2</v>
      </c>
      <c r="O1740">
        <v>2024</v>
      </c>
      <c r="P1740" s="29" t="s">
        <v>729</v>
      </c>
      <c r="Q1740" t="s">
        <v>735</v>
      </c>
      <c r="R1740" t="s">
        <v>738</v>
      </c>
    </row>
    <row r="1741" spans="1:18" x14ac:dyDescent="0.25">
      <c r="A1741" s="9">
        <v>1740</v>
      </c>
      <c r="B1741" s="10">
        <v>45611</v>
      </c>
      <c r="C1741" s="11" t="s">
        <v>82</v>
      </c>
      <c r="D1741" s="11" t="s">
        <v>93</v>
      </c>
      <c r="E1741" s="11" t="s">
        <v>102</v>
      </c>
      <c r="F1741" s="11" t="s">
        <v>103</v>
      </c>
      <c r="G1741" s="9">
        <v>34</v>
      </c>
      <c r="H1741" s="26">
        <v>10400</v>
      </c>
      <c r="I1741" s="9">
        <v>0</v>
      </c>
      <c r="J1741" s="9">
        <f t="shared" si="54"/>
        <v>353600</v>
      </c>
      <c r="K1741" s="9">
        <f t="shared" si="55"/>
        <v>353600</v>
      </c>
      <c r="L1741" s="11" t="s">
        <v>76</v>
      </c>
      <c r="M1741" s="11" t="s">
        <v>77</v>
      </c>
      <c r="N1741">
        <v>11</v>
      </c>
      <c r="O1741">
        <v>2024</v>
      </c>
      <c r="P1741" s="29" t="s">
        <v>714</v>
      </c>
      <c r="Q1741" t="s">
        <v>733</v>
      </c>
      <c r="R1741" t="s">
        <v>737</v>
      </c>
    </row>
    <row r="1742" spans="1:18" x14ac:dyDescent="0.25">
      <c r="A1742" s="6">
        <v>1741</v>
      </c>
      <c r="B1742" s="7">
        <v>45485</v>
      </c>
      <c r="C1742" s="8" t="s">
        <v>82</v>
      </c>
      <c r="D1742" s="8" t="s">
        <v>83</v>
      </c>
      <c r="E1742" s="8" t="s">
        <v>102</v>
      </c>
      <c r="F1742" s="8" t="s">
        <v>157</v>
      </c>
      <c r="G1742" s="6">
        <v>13</v>
      </c>
      <c r="H1742" s="25">
        <v>10800</v>
      </c>
      <c r="I1742" s="6">
        <v>15</v>
      </c>
      <c r="J1742" s="6">
        <f t="shared" si="54"/>
        <v>140400</v>
      </c>
      <c r="K1742" s="6">
        <f t="shared" si="55"/>
        <v>119340</v>
      </c>
      <c r="L1742" s="8" t="s">
        <v>76</v>
      </c>
      <c r="M1742" s="8" t="s">
        <v>96</v>
      </c>
      <c r="N1742">
        <v>7</v>
      </c>
      <c r="O1742">
        <v>2024</v>
      </c>
      <c r="P1742" s="29" t="s">
        <v>712</v>
      </c>
      <c r="Q1742" t="s">
        <v>734</v>
      </c>
      <c r="R1742" t="s">
        <v>739</v>
      </c>
    </row>
    <row r="1743" spans="1:18" x14ac:dyDescent="0.25">
      <c r="A1743" s="9">
        <v>1742</v>
      </c>
      <c r="B1743" s="10">
        <v>45599</v>
      </c>
      <c r="C1743" s="11" t="s">
        <v>101</v>
      </c>
      <c r="D1743" s="11" t="s">
        <v>117</v>
      </c>
      <c r="E1743" s="11" t="s">
        <v>102</v>
      </c>
      <c r="F1743" s="11" t="s">
        <v>181</v>
      </c>
      <c r="G1743" s="9">
        <v>43</v>
      </c>
      <c r="H1743" s="26">
        <v>4800</v>
      </c>
      <c r="I1743" s="9">
        <v>0</v>
      </c>
      <c r="J1743" s="9">
        <f t="shared" si="54"/>
        <v>206400</v>
      </c>
      <c r="K1743" s="9">
        <f t="shared" si="55"/>
        <v>206400</v>
      </c>
      <c r="L1743" s="11" t="s">
        <v>187</v>
      </c>
      <c r="M1743" s="11" t="s">
        <v>96</v>
      </c>
      <c r="N1743">
        <v>11</v>
      </c>
      <c r="O1743">
        <v>2024</v>
      </c>
      <c r="P1743" s="29" t="s">
        <v>714</v>
      </c>
      <c r="Q1743" t="s">
        <v>733</v>
      </c>
      <c r="R1743" t="s">
        <v>737</v>
      </c>
    </row>
    <row r="1744" spans="1:18" x14ac:dyDescent="0.25">
      <c r="A1744" s="6">
        <v>1743</v>
      </c>
      <c r="B1744" s="7">
        <v>45316</v>
      </c>
      <c r="C1744" s="8" t="s">
        <v>119</v>
      </c>
      <c r="D1744" s="8" t="s">
        <v>93</v>
      </c>
      <c r="E1744" s="8" t="s">
        <v>84</v>
      </c>
      <c r="F1744" s="8" t="s">
        <v>90</v>
      </c>
      <c r="G1744" s="6">
        <v>22</v>
      </c>
      <c r="H1744" s="25">
        <v>1800</v>
      </c>
      <c r="I1744" s="6">
        <v>10</v>
      </c>
      <c r="J1744" s="6">
        <f t="shared" si="54"/>
        <v>39600</v>
      </c>
      <c r="K1744" s="6">
        <f t="shared" si="55"/>
        <v>35640</v>
      </c>
      <c r="L1744" s="8" t="s">
        <v>76</v>
      </c>
      <c r="M1744" s="8" t="s">
        <v>81</v>
      </c>
      <c r="N1744">
        <v>1</v>
      </c>
      <c r="O1744">
        <v>2024</v>
      </c>
      <c r="P1744" s="29" t="s">
        <v>727</v>
      </c>
      <c r="Q1744" t="s">
        <v>735</v>
      </c>
      <c r="R1744" t="s">
        <v>738</v>
      </c>
    </row>
    <row r="1745" spans="1:18" x14ac:dyDescent="0.25">
      <c r="A1745" s="9">
        <v>1744</v>
      </c>
      <c r="B1745" s="10">
        <v>45150</v>
      </c>
      <c r="C1745" s="11" t="s">
        <v>119</v>
      </c>
      <c r="D1745" s="11" t="s">
        <v>109</v>
      </c>
      <c r="E1745" s="11" t="s">
        <v>111</v>
      </c>
      <c r="F1745" s="11" t="s">
        <v>192</v>
      </c>
      <c r="G1745" s="9">
        <v>7</v>
      </c>
      <c r="H1745" s="26">
        <v>101900</v>
      </c>
      <c r="I1745" s="9">
        <v>0</v>
      </c>
      <c r="J1745" s="9">
        <f t="shared" si="54"/>
        <v>713300</v>
      </c>
      <c r="K1745" s="9">
        <f t="shared" si="55"/>
        <v>713300</v>
      </c>
      <c r="L1745" s="11" t="s">
        <v>76</v>
      </c>
      <c r="M1745" s="11" t="s">
        <v>81</v>
      </c>
      <c r="N1745">
        <v>8</v>
      </c>
      <c r="O1745">
        <v>2023</v>
      </c>
      <c r="P1745" s="29" t="s">
        <v>713</v>
      </c>
      <c r="Q1745" t="s">
        <v>734</v>
      </c>
      <c r="R1745" t="s">
        <v>737</v>
      </c>
    </row>
    <row r="1746" spans="1:18" x14ac:dyDescent="0.25">
      <c r="A1746" s="6">
        <v>1745</v>
      </c>
      <c r="B1746" s="7">
        <v>45347</v>
      </c>
      <c r="C1746" s="8" t="s">
        <v>78</v>
      </c>
      <c r="D1746" s="8" t="s">
        <v>109</v>
      </c>
      <c r="E1746" s="8" t="s">
        <v>111</v>
      </c>
      <c r="F1746" s="8" t="s">
        <v>165</v>
      </c>
      <c r="G1746" s="6">
        <v>48</v>
      </c>
      <c r="H1746" s="25">
        <v>18600</v>
      </c>
      <c r="I1746" s="6">
        <v>15</v>
      </c>
      <c r="J1746" s="6">
        <f t="shared" si="54"/>
        <v>892800</v>
      </c>
      <c r="K1746" s="6">
        <f t="shared" si="55"/>
        <v>758880</v>
      </c>
      <c r="L1746" s="8" t="s">
        <v>76</v>
      </c>
      <c r="M1746" s="8" t="s">
        <v>91</v>
      </c>
      <c r="N1746">
        <v>2</v>
      </c>
      <c r="O1746">
        <v>2024</v>
      </c>
      <c r="P1746" s="29" t="s">
        <v>729</v>
      </c>
      <c r="Q1746" t="s">
        <v>735</v>
      </c>
      <c r="R1746" t="s">
        <v>737</v>
      </c>
    </row>
    <row r="1747" spans="1:18" x14ac:dyDescent="0.25">
      <c r="A1747" s="9">
        <v>1746</v>
      </c>
      <c r="B1747" s="10">
        <v>45065</v>
      </c>
      <c r="C1747" s="11" t="s">
        <v>106</v>
      </c>
      <c r="D1747" s="11" t="s">
        <v>109</v>
      </c>
      <c r="E1747" s="11" t="s">
        <v>84</v>
      </c>
      <c r="F1747" s="11" t="s">
        <v>200</v>
      </c>
      <c r="G1747" s="9">
        <v>17</v>
      </c>
      <c r="H1747" s="26">
        <v>3000</v>
      </c>
      <c r="I1747" s="9">
        <v>0</v>
      </c>
      <c r="J1747" s="9">
        <f t="shared" si="54"/>
        <v>51000</v>
      </c>
      <c r="K1747" s="9">
        <f t="shared" si="55"/>
        <v>51000</v>
      </c>
      <c r="L1747" s="11" t="s">
        <v>76</v>
      </c>
      <c r="M1747" s="11" t="s">
        <v>91</v>
      </c>
      <c r="N1747">
        <v>5</v>
      </c>
      <c r="O1747">
        <v>2023</v>
      </c>
      <c r="P1747" s="29" t="s">
        <v>730</v>
      </c>
      <c r="Q1747" t="s">
        <v>736</v>
      </c>
      <c r="R1747" t="s">
        <v>739</v>
      </c>
    </row>
    <row r="1748" spans="1:18" x14ac:dyDescent="0.25">
      <c r="A1748" s="6">
        <v>1747</v>
      </c>
      <c r="B1748" s="7">
        <v>45214</v>
      </c>
      <c r="C1748" s="8" t="s">
        <v>124</v>
      </c>
      <c r="D1748" s="8" t="s">
        <v>83</v>
      </c>
      <c r="E1748" s="8" t="s">
        <v>84</v>
      </c>
      <c r="F1748" s="8" t="s">
        <v>150</v>
      </c>
      <c r="G1748" s="6">
        <v>16</v>
      </c>
      <c r="H1748" s="25">
        <v>5400</v>
      </c>
      <c r="I1748" s="6">
        <v>20</v>
      </c>
      <c r="J1748" s="6">
        <f t="shared" si="54"/>
        <v>86400</v>
      </c>
      <c r="K1748" s="6">
        <f t="shared" si="55"/>
        <v>69120</v>
      </c>
      <c r="L1748" s="8" t="s">
        <v>76</v>
      </c>
      <c r="M1748" s="8" t="s">
        <v>77</v>
      </c>
      <c r="N1748">
        <v>10</v>
      </c>
      <c r="O1748">
        <v>2023</v>
      </c>
      <c r="P1748" s="29" t="s">
        <v>726</v>
      </c>
      <c r="Q1748" t="s">
        <v>733</v>
      </c>
      <c r="R1748" t="s">
        <v>739</v>
      </c>
    </row>
    <row r="1749" spans="1:18" x14ac:dyDescent="0.25">
      <c r="A1749" s="9">
        <v>1748</v>
      </c>
      <c r="B1749" s="10">
        <v>45183</v>
      </c>
      <c r="C1749" s="11" t="s">
        <v>124</v>
      </c>
      <c r="D1749" s="11" t="s">
        <v>93</v>
      </c>
      <c r="E1749" s="11" t="s">
        <v>84</v>
      </c>
      <c r="F1749" s="11" t="s">
        <v>206</v>
      </c>
      <c r="G1749" s="9">
        <v>18</v>
      </c>
      <c r="H1749" s="26">
        <v>14300</v>
      </c>
      <c r="I1749" s="9">
        <v>20</v>
      </c>
      <c r="J1749" s="9">
        <f t="shared" si="54"/>
        <v>257400</v>
      </c>
      <c r="K1749" s="9">
        <f t="shared" si="55"/>
        <v>205920</v>
      </c>
      <c r="L1749" s="11" t="s">
        <v>76</v>
      </c>
      <c r="M1749" s="31" t="s">
        <v>695</v>
      </c>
      <c r="N1749">
        <v>9</v>
      </c>
      <c r="O1749">
        <v>2023</v>
      </c>
      <c r="P1749" s="29" t="s">
        <v>715</v>
      </c>
      <c r="Q1749" t="s">
        <v>734</v>
      </c>
      <c r="R1749" t="s">
        <v>737</v>
      </c>
    </row>
    <row r="1750" spans="1:18" x14ac:dyDescent="0.25">
      <c r="A1750" s="6">
        <v>1749</v>
      </c>
      <c r="B1750" s="7">
        <v>45428</v>
      </c>
      <c r="C1750" s="8" t="s">
        <v>106</v>
      </c>
      <c r="D1750" s="8" t="s">
        <v>83</v>
      </c>
      <c r="E1750" s="8" t="s">
        <v>74</v>
      </c>
      <c r="F1750" s="8" t="s">
        <v>118</v>
      </c>
      <c r="G1750" s="6">
        <v>38</v>
      </c>
      <c r="H1750" s="25">
        <v>25800</v>
      </c>
      <c r="I1750" s="6">
        <v>0</v>
      </c>
      <c r="J1750" s="6">
        <f t="shared" si="54"/>
        <v>980400</v>
      </c>
      <c r="K1750" s="6">
        <f t="shared" si="55"/>
        <v>980400</v>
      </c>
      <c r="L1750" s="8" t="s">
        <v>76</v>
      </c>
      <c r="M1750" s="8" t="s">
        <v>96</v>
      </c>
      <c r="N1750">
        <v>5</v>
      </c>
      <c r="O1750">
        <v>2024</v>
      </c>
      <c r="P1750" s="29" t="s">
        <v>732</v>
      </c>
      <c r="Q1750" t="s">
        <v>736</v>
      </c>
      <c r="R1750" t="s">
        <v>737</v>
      </c>
    </row>
    <row r="1751" spans="1:18" x14ac:dyDescent="0.25">
      <c r="A1751" s="9">
        <v>1750</v>
      </c>
      <c r="B1751" s="10">
        <v>45364</v>
      </c>
      <c r="C1751" s="11" t="s">
        <v>88</v>
      </c>
      <c r="D1751" s="11" t="s">
        <v>117</v>
      </c>
      <c r="E1751" s="11" t="s">
        <v>111</v>
      </c>
      <c r="F1751" s="11" t="s">
        <v>166</v>
      </c>
      <c r="G1751" s="9">
        <v>7</v>
      </c>
      <c r="H1751" s="26">
        <v>25400</v>
      </c>
      <c r="I1751" s="9">
        <v>15</v>
      </c>
      <c r="J1751" s="9">
        <f t="shared" si="54"/>
        <v>177800</v>
      </c>
      <c r="K1751" s="9">
        <f t="shared" si="55"/>
        <v>151130</v>
      </c>
      <c r="L1751" s="11" t="s">
        <v>123</v>
      </c>
      <c r="M1751" s="11" t="s">
        <v>77</v>
      </c>
      <c r="N1751">
        <v>3</v>
      </c>
      <c r="O1751">
        <v>2024</v>
      </c>
      <c r="P1751" s="29" t="s">
        <v>711</v>
      </c>
      <c r="Q1751" t="s">
        <v>735</v>
      </c>
      <c r="R1751" t="s">
        <v>739</v>
      </c>
    </row>
    <row r="1752" spans="1:18" x14ac:dyDescent="0.25">
      <c r="A1752" s="6">
        <v>1751</v>
      </c>
      <c r="B1752" s="7">
        <v>45179</v>
      </c>
      <c r="C1752" s="8" t="s">
        <v>106</v>
      </c>
      <c r="D1752" s="8" t="s">
        <v>109</v>
      </c>
      <c r="E1752" s="8" t="s">
        <v>84</v>
      </c>
      <c r="F1752" s="8" t="s">
        <v>90</v>
      </c>
      <c r="G1752" s="6">
        <v>47</v>
      </c>
      <c r="H1752" s="25">
        <v>2000</v>
      </c>
      <c r="I1752" s="6">
        <v>0</v>
      </c>
      <c r="J1752" s="6">
        <f t="shared" si="54"/>
        <v>94000</v>
      </c>
      <c r="K1752" s="6">
        <f t="shared" si="55"/>
        <v>94000</v>
      </c>
      <c r="L1752" s="8" t="s">
        <v>76</v>
      </c>
      <c r="M1752" s="8" t="s">
        <v>81</v>
      </c>
      <c r="N1752">
        <v>9</v>
      </c>
      <c r="O1752">
        <v>2023</v>
      </c>
      <c r="P1752" s="29" t="s">
        <v>715</v>
      </c>
      <c r="Q1752" t="s">
        <v>734</v>
      </c>
      <c r="R1752" t="s">
        <v>739</v>
      </c>
    </row>
    <row r="1753" spans="1:18" x14ac:dyDescent="0.25">
      <c r="A1753" s="9">
        <v>1752</v>
      </c>
      <c r="B1753" s="10">
        <v>45062</v>
      </c>
      <c r="C1753" s="11" t="s">
        <v>101</v>
      </c>
      <c r="D1753" s="11" t="s">
        <v>83</v>
      </c>
      <c r="E1753" s="11" t="s">
        <v>79</v>
      </c>
      <c r="F1753" s="11" t="s">
        <v>172</v>
      </c>
      <c r="G1753" s="9">
        <v>9</v>
      </c>
      <c r="H1753" s="26">
        <v>23900</v>
      </c>
      <c r="I1753" s="9">
        <v>0</v>
      </c>
      <c r="J1753" s="9">
        <f t="shared" si="54"/>
        <v>215100</v>
      </c>
      <c r="K1753" s="9">
        <f t="shared" si="55"/>
        <v>215100</v>
      </c>
      <c r="L1753" s="11" t="s">
        <v>76</v>
      </c>
      <c r="M1753" s="11" t="s">
        <v>81</v>
      </c>
      <c r="N1753">
        <v>5</v>
      </c>
      <c r="O1753">
        <v>2023</v>
      </c>
      <c r="P1753" s="29" t="s">
        <v>730</v>
      </c>
      <c r="Q1753" t="s">
        <v>736</v>
      </c>
      <c r="R1753" t="s">
        <v>737</v>
      </c>
    </row>
    <row r="1754" spans="1:18" x14ac:dyDescent="0.25">
      <c r="A1754" s="6">
        <v>1753</v>
      </c>
      <c r="B1754" s="7">
        <v>45392</v>
      </c>
      <c r="C1754" s="8" t="s">
        <v>101</v>
      </c>
      <c r="D1754" s="8" t="s">
        <v>83</v>
      </c>
      <c r="E1754" s="8" t="s">
        <v>84</v>
      </c>
      <c r="F1754" s="8" t="s">
        <v>150</v>
      </c>
      <c r="G1754" s="6">
        <v>11</v>
      </c>
      <c r="H1754" s="25">
        <v>6100</v>
      </c>
      <c r="I1754" s="6">
        <v>0</v>
      </c>
      <c r="J1754" s="6">
        <f t="shared" si="54"/>
        <v>67100</v>
      </c>
      <c r="K1754" s="6">
        <f t="shared" si="55"/>
        <v>67100</v>
      </c>
      <c r="L1754" s="8" t="s">
        <v>76</v>
      </c>
      <c r="M1754" s="8" t="s">
        <v>77</v>
      </c>
      <c r="N1754">
        <v>4</v>
      </c>
      <c r="O1754">
        <v>2024</v>
      </c>
      <c r="P1754" s="29" t="s">
        <v>722</v>
      </c>
      <c r="Q1754" t="s">
        <v>736</v>
      </c>
      <c r="R1754" t="s">
        <v>739</v>
      </c>
    </row>
    <row r="1755" spans="1:18" x14ac:dyDescent="0.25">
      <c r="A1755" s="9">
        <v>1754</v>
      </c>
      <c r="B1755" s="10">
        <v>45310</v>
      </c>
      <c r="C1755" s="11" t="s">
        <v>78</v>
      </c>
      <c r="D1755" s="11" t="s">
        <v>93</v>
      </c>
      <c r="E1755" s="11" t="s">
        <v>84</v>
      </c>
      <c r="F1755" s="11" t="s">
        <v>148</v>
      </c>
      <c r="G1755" s="9">
        <v>49</v>
      </c>
      <c r="H1755" s="26">
        <v>4500</v>
      </c>
      <c r="I1755" s="9">
        <v>0</v>
      </c>
      <c r="J1755" s="9">
        <f t="shared" si="54"/>
        <v>220500</v>
      </c>
      <c r="K1755" s="9">
        <f t="shared" si="55"/>
        <v>220500</v>
      </c>
      <c r="L1755" s="11" t="s">
        <v>76</v>
      </c>
      <c r="M1755" s="11" t="s">
        <v>77</v>
      </c>
      <c r="N1755">
        <v>1</v>
      </c>
      <c r="O1755">
        <v>2024</v>
      </c>
      <c r="P1755" s="29" t="s">
        <v>727</v>
      </c>
      <c r="Q1755" t="s">
        <v>735</v>
      </c>
      <c r="R1755" t="s">
        <v>737</v>
      </c>
    </row>
    <row r="1756" spans="1:18" x14ac:dyDescent="0.25">
      <c r="A1756" s="9">
        <v>1755</v>
      </c>
      <c r="B1756" s="10">
        <v>45294</v>
      </c>
      <c r="C1756" s="11" t="s">
        <v>97</v>
      </c>
      <c r="D1756" s="11" t="s">
        <v>83</v>
      </c>
      <c r="E1756" s="11" t="s">
        <v>84</v>
      </c>
      <c r="F1756" s="11" t="s">
        <v>128</v>
      </c>
      <c r="G1756" s="9">
        <v>34</v>
      </c>
      <c r="H1756" s="26">
        <v>4100</v>
      </c>
      <c r="I1756" s="9">
        <v>5</v>
      </c>
      <c r="J1756" s="9">
        <f t="shared" si="54"/>
        <v>139400</v>
      </c>
      <c r="K1756" s="9">
        <f t="shared" si="55"/>
        <v>132430</v>
      </c>
      <c r="L1756" s="11" t="s">
        <v>187</v>
      </c>
      <c r="M1756" s="11" t="s">
        <v>96</v>
      </c>
      <c r="N1756">
        <v>1</v>
      </c>
      <c r="O1756">
        <v>2024</v>
      </c>
      <c r="P1756" s="29" t="s">
        <v>727</v>
      </c>
      <c r="Q1756" t="s">
        <v>735</v>
      </c>
      <c r="R1756" t="s">
        <v>739</v>
      </c>
    </row>
    <row r="1757" spans="1:18" x14ac:dyDescent="0.25">
      <c r="A1757" s="6">
        <v>1756</v>
      </c>
      <c r="B1757" s="7">
        <v>45236</v>
      </c>
      <c r="C1757" s="8" t="s">
        <v>124</v>
      </c>
      <c r="D1757" s="8" t="s">
        <v>93</v>
      </c>
      <c r="E1757" s="8" t="s">
        <v>102</v>
      </c>
      <c r="F1757" s="8" t="s">
        <v>181</v>
      </c>
      <c r="G1757" s="6">
        <v>28</v>
      </c>
      <c r="H1757" s="25">
        <v>5100</v>
      </c>
      <c r="I1757" s="6">
        <v>0</v>
      </c>
      <c r="J1757" s="6">
        <f t="shared" si="54"/>
        <v>142800</v>
      </c>
      <c r="K1757" s="6">
        <f t="shared" si="55"/>
        <v>142800</v>
      </c>
      <c r="L1757" s="8" t="s">
        <v>76</v>
      </c>
      <c r="M1757" s="8" t="s">
        <v>91</v>
      </c>
      <c r="N1757">
        <v>11</v>
      </c>
      <c r="O1757">
        <v>2023</v>
      </c>
      <c r="P1757" s="29" t="s">
        <v>718</v>
      </c>
      <c r="Q1757" t="s">
        <v>733</v>
      </c>
      <c r="R1757" t="s">
        <v>739</v>
      </c>
    </row>
    <row r="1758" spans="1:18" x14ac:dyDescent="0.25">
      <c r="A1758" s="9">
        <v>1757</v>
      </c>
      <c r="B1758" s="10">
        <v>45250</v>
      </c>
      <c r="C1758" s="11" t="s">
        <v>101</v>
      </c>
      <c r="D1758" s="11" t="s">
        <v>93</v>
      </c>
      <c r="E1758" s="11" t="s">
        <v>84</v>
      </c>
      <c r="F1758" s="11" t="s">
        <v>206</v>
      </c>
      <c r="G1758" s="9">
        <v>19</v>
      </c>
      <c r="H1758" s="26">
        <v>13300</v>
      </c>
      <c r="I1758" s="9">
        <v>0</v>
      </c>
      <c r="J1758" s="9">
        <f t="shared" si="54"/>
        <v>252700</v>
      </c>
      <c r="K1758" s="9">
        <f t="shared" si="55"/>
        <v>252700</v>
      </c>
      <c r="L1758" s="11" t="s">
        <v>76</v>
      </c>
      <c r="M1758" s="11" t="s">
        <v>91</v>
      </c>
      <c r="N1758">
        <v>11</v>
      </c>
      <c r="O1758">
        <v>2023</v>
      </c>
      <c r="P1758" s="29" t="s">
        <v>718</v>
      </c>
      <c r="Q1758" t="s">
        <v>733</v>
      </c>
      <c r="R1758" t="s">
        <v>737</v>
      </c>
    </row>
    <row r="1759" spans="1:18" x14ac:dyDescent="0.25">
      <c r="A1759" s="6">
        <v>1758</v>
      </c>
      <c r="B1759" s="7">
        <v>45522</v>
      </c>
      <c r="C1759" s="8" t="s">
        <v>97</v>
      </c>
      <c r="D1759" s="8" t="s">
        <v>109</v>
      </c>
      <c r="E1759" s="8" t="s">
        <v>79</v>
      </c>
      <c r="F1759" s="8" t="s">
        <v>80</v>
      </c>
      <c r="G1759" s="6">
        <v>35</v>
      </c>
      <c r="H1759" s="25">
        <v>9200</v>
      </c>
      <c r="I1759" s="6">
        <v>10</v>
      </c>
      <c r="J1759" s="6">
        <f t="shared" si="54"/>
        <v>322000</v>
      </c>
      <c r="K1759" s="6">
        <f t="shared" si="55"/>
        <v>289800</v>
      </c>
      <c r="L1759" s="8" t="s">
        <v>123</v>
      </c>
      <c r="M1759" s="8" t="s">
        <v>77</v>
      </c>
      <c r="N1759">
        <v>8</v>
      </c>
      <c r="O1759">
        <v>2024</v>
      </c>
      <c r="P1759" s="29" t="s">
        <v>710</v>
      </c>
      <c r="Q1759" t="s">
        <v>734</v>
      </c>
      <c r="R1759" t="s">
        <v>737</v>
      </c>
    </row>
    <row r="1760" spans="1:18" x14ac:dyDescent="0.25">
      <c r="A1760" s="9">
        <v>1759</v>
      </c>
      <c r="B1760" s="10">
        <v>45417</v>
      </c>
      <c r="C1760" s="11" t="s">
        <v>114</v>
      </c>
      <c r="D1760" s="11" t="s">
        <v>93</v>
      </c>
      <c r="E1760" s="11" t="s">
        <v>84</v>
      </c>
      <c r="F1760" s="11" t="s">
        <v>206</v>
      </c>
      <c r="G1760" s="9">
        <v>35</v>
      </c>
      <c r="H1760" s="26">
        <v>14400</v>
      </c>
      <c r="I1760" s="9">
        <v>0</v>
      </c>
      <c r="J1760" s="9">
        <f t="shared" si="54"/>
        <v>504000</v>
      </c>
      <c r="K1760" s="9">
        <f t="shared" si="55"/>
        <v>504000</v>
      </c>
      <c r="L1760" s="11" t="s">
        <v>107</v>
      </c>
      <c r="M1760" s="11" t="s">
        <v>81</v>
      </c>
      <c r="N1760">
        <v>5</v>
      </c>
      <c r="O1760">
        <v>2024</v>
      </c>
      <c r="P1760" s="29" t="s">
        <v>732</v>
      </c>
      <c r="Q1760" t="s">
        <v>736</v>
      </c>
      <c r="R1760" t="s">
        <v>737</v>
      </c>
    </row>
    <row r="1761" spans="1:18" x14ac:dyDescent="0.25">
      <c r="A1761" s="6">
        <v>1760</v>
      </c>
      <c r="B1761" s="7">
        <v>44978</v>
      </c>
      <c r="C1761" s="8" t="s">
        <v>82</v>
      </c>
      <c r="D1761" s="8" t="s">
        <v>93</v>
      </c>
      <c r="E1761" s="8" t="s">
        <v>102</v>
      </c>
      <c r="F1761" s="8" t="s">
        <v>137</v>
      </c>
      <c r="G1761" s="6">
        <v>36</v>
      </c>
      <c r="H1761" s="25">
        <v>2100</v>
      </c>
      <c r="I1761" s="6">
        <v>0</v>
      </c>
      <c r="J1761" s="6">
        <f t="shared" si="54"/>
        <v>75600</v>
      </c>
      <c r="K1761" s="6">
        <f t="shared" si="55"/>
        <v>75600</v>
      </c>
      <c r="L1761" s="8" t="s">
        <v>76</v>
      </c>
      <c r="M1761" s="8" t="s">
        <v>77</v>
      </c>
      <c r="N1761">
        <v>2</v>
      </c>
      <c r="O1761">
        <v>2023</v>
      </c>
      <c r="P1761" s="29" t="s">
        <v>717</v>
      </c>
      <c r="Q1761" t="s">
        <v>735</v>
      </c>
      <c r="R1761" t="s">
        <v>739</v>
      </c>
    </row>
    <row r="1762" spans="1:18" x14ac:dyDescent="0.25">
      <c r="A1762" s="9">
        <v>1761</v>
      </c>
      <c r="B1762" s="10">
        <v>45194</v>
      </c>
      <c r="C1762" s="11" t="s">
        <v>88</v>
      </c>
      <c r="D1762" s="11" t="s">
        <v>93</v>
      </c>
      <c r="E1762" s="11" t="s">
        <v>84</v>
      </c>
      <c r="F1762" s="11" t="s">
        <v>128</v>
      </c>
      <c r="G1762" s="9">
        <v>32</v>
      </c>
      <c r="H1762" s="26">
        <v>3800</v>
      </c>
      <c r="I1762" s="9">
        <v>0</v>
      </c>
      <c r="J1762" s="9">
        <f t="shared" si="54"/>
        <v>121600</v>
      </c>
      <c r="K1762" s="9">
        <f t="shared" si="55"/>
        <v>121600</v>
      </c>
      <c r="L1762" s="11" t="s">
        <v>107</v>
      </c>
      <c r="M1762" s="11" t="s">
        <v>81</v>
      </c>
      <c r="N1762">
        <v>9</v>
      </c>
      <c r="O1762">
        <v>2023</v>
      </c>
      <c r="P1762" s="29" t="s">
        <v>715</v>
      </c>
      <c r="Q1762" t="s">
        <v>734</v>
      </c>
      <c r="R1762" t="s">
        <v>739</v>
      </c>
    </row>
    <row r="1763" spans="1:18" x14ac:dyDescent="0.25">
      <c r="A1763" s="6">
        <v>1762</v>
      </c>
      <c r="B1763" s="7">
        <v>45152</v>
      </c>
      <c r="C1763" s="8" t="s">
        <v>97</v>
      </c>
      <c r="D1763" s="8" t="s">
        <v>93</v>
      </c>
      <c r="E1763" s="8" t="s">
        <v>84</v>
      </c>
      <c r="F1763" s="8" t="s">
        <v>85</v>
      </c>
      <c r="G1763" s="6">
        <v>47</v>
      </c>
      <c r="H1763" s="25">
        <v>5000</v>
      </c>
      <c r="I1763" s="6">
        <v>15</v>
      </c>
      <c r="J1763" s="6">
        <f t="shared" si="54"/>
        <v>235000</v>
      </c>
      <c r="K1763" s="6">
        <f t="shared" si="55"/>
        <v>199750</v>
      </c>
      <c r="L1763" s="8" t="s">
        <v>76</v>
      </c>
      <c r="M1763" s="8" t="s">
        <v>77</v>
      </c>
      <c r="N1763">
        <v>8</v>
      </c>
      <c r="O1763">
        <v>2023</v>
      </c>
      <c r="P1763" s="29" t="s">
        <v>713</v>
      </c>
      <c r="Q1763" t="s">
        <v>734</v>
      </c>
      <c r="R1763" t="s">
        <v>739</v>
      </c>
    </row>
    <row r="1764" spans="1:18" x14ac:dyDescent="0.25">
      <c r="A1764" s="9">
        <v>1763</v>
      </c>
      <c r="B1764" s="10">
        <v>45256</v>
      </c>
      <c r="C1764" s="11" t="s">
        <v>119</v>
      </c>
      <c r="D1764" s="11" t="s">
        <v>109</v>
      </c>
      <c r="E1764" s="11" t="s">
        <v>74</v>
      </c>
      <c r="F1764" s="11" t="s">
        <v>212</v>
      </c>
      <c r="G1764" s="9">
        <v>49</v>
      </c>
      <c r="H1764" s="26">
        <v>7300</v>
      </c>
      <c r="I1764" s="9">
        <v>20</v>
      </c>
      <c r="J1764" s="9">
        <f t="shared" si="54"/>
        <v>357700</v>
      </c>
      <c r="K1764" s="9">
        <f t="shared" si="55"/>
        <v>286160</v>
      </c>
      <c r="L1764" s="11" t="s">
        <v>76</v>
      </c>
      <c r="M1764" s="11" t="s">
        <v>77</v>
      </c>
      <c r="N1764">
        <v>11</v>
      </c>
      <c r="O1764">
        <v>2023</v>
      </c>
      <c r="P1764" s="29" t="s">
        <v>718</v>
      </c>
      <c r="Q1764" t="s">
        <v>733</v>
      </c>
      <c r="R1764" t="s">
        <v>737</v>
      </c>
    </row>
    <row r="1765" spans="1:18" x14ac:dyDescent="0.25">
      <c r="A1765" s="6">
        <v>1764</v>
      </c>
      <c r="B1765" s="7">
        <v>45607</v>
      </c>
      <c r="C1765" s="8" t="s">
        <v>78</v>
      </c>
      <c r="D1765" s="8" t="s">
        <v>73</v>
      </c>
      <c r="E1765" s="8" t="s">
        <v>79</v>
      </c>
      <c r="F1765" s="8" t="s">
        <v>120</v>
      </c>
      <c r="G1765" s="6">
        <v>48</v>
      </c>
      <c r="H1765" s="25">
        <v>5600</v>
      </c>
      <c r="I1765" s="6">
        <v>0</v>
      </c>
      <c r="J1765" s="6">
        <f t="shared" si="54"/>
        <v>268800</v>
      </c>
      <c r="K1765" s="6">
        <f t="shared" si="55"/>
        <v>268800</v>
      </c>
      <c r="L1765" s="8" t="s">
        <v>187</v>
      </c>
      <c r="M1765" s="8" t="s">
        <v>77</v>
      </c>
      <c r="N1765">
        <v>11</v>
      </c>
      <c r="O1765">
        <v>2024</v>
      </c>
      <c r="P1765" s="29" t="s">
        <v>714</v>
      </c>
      <c r="Q1765" t="s">
        <v>733</v>
      </c>
      <c r="R1765" t="s">
        <v>737</v>
      </c>
    </row>
    <row r="1766" spans="1:18" x14ac:dyDescent="0.25">
      <c r="A1766" s="9">
        <v>1765</v>
      </c>
      <c r="B1766" s="10">
        <v>45424</v>
      </c>
      <c r="C1766" s="11" t="s">
        <v>106</v>
      </c>
      <c r="D1766" s="11" t="s">
        <v>83</v>
      </c>
      <c r="E1766" s="11" t="s">
        <v>79</v>
      </c>
      <c r="F1766" s="11" t="s">
        <v>172</v>
      </c>
      <c r="G1766" s="9">
        <v>35</v>
      </c>
      <c r="H1766" s="26">
        <v>27400</v>
      </c>
      <c r="I1766" s="9">
        <v>20</v>
      </c>
      <c r="J1766" s="9">
        <f t="shared" si="54"/>
        <v>959000</v>
      </c>
      <c r="K1766" s="9">
        <f t="shared" si="55"/>
        <v>767200</v>
      </c>
      <c r="L1766" s="11" t="s">
        <v>76</v>
      </c>
      <c r="M1766" s="11" t="s">
        <v>77</v>
      </c>
      <c r="N1766">
        <v>5</v>
      </c>
      <c r="O1766">
        <v>2024</v>
      </c>
      <c r="P1766" s="29" t="s">
        <v>732</v>
      </c>
      <c r="Q1766" t="s">
        <v>736</v>
      </c>
      <c r="R1766" t="s">
        <v>737</v>
      </c>
    </row>
    <row r="1767" spans="1:18" x14ac:dyDescent="0.25">
      <c r="A1767" s="6">
        <v>1766</v>
      </c>
      <c r="B1767" s="7">
        <v>45483</v>
      </c>
      <c r="C1767" s="8" t="s">
        <v>124</v>
      </c>
      <c r="D1767" s="8" t="s">
        <v>73</v>
      </c>
      <c r="E1767" s="8" t="s">
        <v>84</v>
      </c>
      <c r="F1767" s="8" t="s">
        <v>200</v>
      </c>
      <c r="G1767" s="6">
        <v>44</v>
      </c>
      <c r="H1767" s="25">
        <v>3100</v>
      </c>
      <c r="I1767" s="6">
        <v>20</v>
      </c>
      <c r="J1767" s="6">
        <f t="shared" si="54"/>
        <v>136400</v>
      </c>
      <c r="K1767" s="6">
        <f t="shared" si="55"/>
        <v>109120</v>
      </c>
      <c r="L1767" s="8" t="s">
        <v>76</v>
      </c>
      <c r="M1767" s="8" t="s">
        <v>96</v>
      </c>
      <c r="N1767">
        <v>7</v>
      </c>
      <c r="O1767">
        <v>2024</v>
      </c>
      <c r="P1767" s="29" t="s">
        <v>712</v>
      </c>
      <c r="Q1767" t="s">
        <v>734</v>
      </c>
      <c r="R1767" t="s">
        <v>739</v>
      </c>
    </row>
    <row r="1768" spans="1:18" x14ac:dyDescent="0.25">
      <c r="A1768" s="9">
        <v>1767</v>
      </c>
      <c r="B1768" s="10">
        <v>45226</v>
      </c>
      <c r="C1768" s="11" t="s">
        <v>101</v>
      </c>
      <c r="D1768" s="11" t="s">
        <v>109</v>
      </c>
      <c r="E1768" s="11" t="s">
        <v>79</v>
      </c>
      <c r="F1768" s="11" t="s">
        <v>122</v>
      </c>
      <c r="G1768" s="9">
        <v>37</v>
      </c>
      <c r="H1768" s="26">
        <v>18900</v>
      </c>
      <c r="I1768" s="9">
        <v>5</v>
      </c>
      <c r="J1768" s="9">
        <f t="shared" si="54"/>
        <v>699300</v>
      </c>
      <c r="K1768" s="9">
        <f t="shared" si="55"/>
        <v>664335</v>
      </c>
      <c r="L1768" s="11" t="s">
        <v>76</v>
      </c>
      <c r="M1768" s="11" t="s">
        <v>96</v>
      </c>
      <c r="N1768">
        <v>10</v>
      </c>
      <c r="O1768">
        <v>2023</v>
      </c>
      <c r="P1768" s="29" t="s">
        <v>726</v>
      </c>
      <c r="Q1768" t="s">
        <v>733</v>
      </c>
      <c r="R1768" t="s">
        <v>737</v>
      </c>
    </row>
    <row r="1769" spans="1:18" x14ac:dyDescent="0.25">
      <c r="A1769" s="6">
        <v>1768</v>
      </c>
      <c r="B1769" s="7">
        <v>45461</v>
      </c>
      <c r="C1769" s="8" t="s">
        <v>97</v>
      </c>
      <c r="D1769" s="8" t="s">
        <v>109</v>
      </c>
      <c r="E1769" s="8" t="s">
        <v>84</v>
      </c>
      <c r="F1769" s="8" t="s">
        <v>134</v>
      </c>
      <c r="G1769" s="6">
        <v>3</v>
      </c>
      <c r="H1769" s="25">
        <v>9800</v>
      </c>
      <c r="I1769" s="6">
        <v>0</v>
      </c>
      <c r="J1769" s="6">
        <f t="shared" si="54"/>
        <v>29400</v>
      </c>
      <c r="K1769" s="6">
        <f t="shared" si="55"/>
        <v>29400</v>
      </c>
      <c r="L1769" s="8" t="s">
        <v>76</v>
      </c>
      <c r="M1769" s="8" t="s">
        <v>91</v>
      </c>
      <c r="N1769">
        <v>6</v>
      </c>
      <c r="O1769">
        <v>2024</v>
      </c>
      <c r="P1769" s="29" t="s">
        <v>720</v>
      </c>
      <c r="Q1769" t="s">
        <v>736</v>
      </c>
      <c r="R1769" t="s">
        <v>738</v>
      </c>
    </row>
    <row r="1770" spans="1:18" x14ac:dyDescent="0.25">
      <c r="A1770" s="9">
        <v>1769</v>
      </c>
      <c r="B1770" s="10">
        <v>45357</v>
      </c>
      <c r="C1770" s="11" t="s">
        <v>114</v>
      </c>
      <c r="D1770" s="11" t="s">
        <v>83</v>
      </c>
      <c r="E1770" s="11" t="s">
        <v>79</v>
      </c>
      <c r="F1770" s="11" t="s">
        <v>136</v>
      </c>
      <c r="G1770" s="9">
        <v>1</v>
      </c>
      <c r="H1770" s="26">
        <v>89200</v>
      </c>
      <c r="I1770" s="9">
        <v>5</v>
      </c>
      <c r="J1770" s="9">
        <f t="shared" si="54"/>
        <v>89200</v>
      </c>
      <c r="K1770" s="9">
        <f t="shared" si="55"/>
        <v>84740</v>
      </c>
      <c r="L1770" s="11" t="s">
        <v>187</v>
      </c>
      <c r="M1770" s="11" t="s">
        <v>81</v>
      </c>
      <c r="N1770">
        <v>3</v>
      </c>
      <c r="O1770">
        <v>2024</v>
      </c>
      <c r="P1770" s="29" t="s">
        <v>711</v>
      </c>
      <c r="Q1770" t="s">
        <v>735</v>
      </c>
      <c r="R1770" t="s">
        <v>739</v>
      </c>
    </row>
    <row r="1771" spans="1:18" x14ac:dyDescent="0.25">
      <c r="A1771" s="6">
        <v>1770</v>
      </c>
      <c r="B1771" s="7">
        <v>45280</v>
      </c>
      <c r="C1771" s="8" t="s">
        <v>88</v>
      </c>
      <c r="D1771" s="8" t="s">
        <v>73</v>
      </c>
      <c r="E1771" s="8" t="s">
        <v>74</v>
      </c>
      <c r="F1771" s="8" t="s">
        <v>190</v>
      </c>
      <c r="G1771" s="6">
        <v>26</v>
      </c>
      <c r="H1771" s="25">
        <v>33000</v>
      </c>
      <c r="I1771" s="6">
        <v>0</v>
      </c>
      <c r="J1771" s="6">
        <f t="shared" si="54"/>
        <v>858000</v>
      </c>
      <c r="K1771" s="6">
        <f t="shared" si="55"/>
        <v>858000</v>
      </c>
      <c r="L1771" s="8" t="s">
        <v>76</v>
      </c>
      <c r="M1771" s="8" t="s">
        <v>77</v>
      </c>
      <c r="N1771">
        <v>12</v>
      </c>
      <c r="O1771">
        <v>2023</v>
      </c>
      <c r="P1771" s="29" t="s">
        <v>725</v>
      </c>
      <c r="Q1771" t="s">
        <v>733</v>
      </c>
      <c r="R1771" t="s">
        <v>737</v>
      </c>
    </row>
    <row r="1772" spans="1:18" x14ac:dyDescent="0.25">
      <c r="A1772" s="9">
        <v>1771</v>
      </c>
      <c r="B1772" s="10">
        <v>45349</v>
      </c>
      <c r="C1772" s="11" t="s">
        <v>108</v>
      </c>
      <c r="D1772" s="11" t="s">
        <v>117</v>
      </c>
      <c r="E1772" s="11" t="s">
        <v>102</v>
      </c>
      <c r="F1772" s="11" t="s">
        <v>181</v>
      </c>
      <c r="G1772" s="9">
        <v>24</v>
      </c>
      <c r="H1772" s="26">
        <v>5200</v>
      </c>
      <c r="I1772" s="9">
        <v>0</v>
      </c>
      <c r="J1772" s="9">
        <f t="shared" si="54"/>
        <v>124800</v>
      </c>
      <c r="K1772" s="9">
        <f t="shared" si="55"/>
        <v>124800</v>
      </c>
      <c r="L1772" s="11" t="s">
        <v>187</v>
      </c>
      <c r="M1772" s="11" t="s">
        <v>96</v>
      </c>
      <c r="N1772">
        <v>2</v>
      </c>
      <c r="O1772">
        <v>2024</v>
      </c>
      <c r="P1772" s="29" t="s">
        <v>729</v>
      </c>
      <c r="Q1772" t="s">
        <v>735</v>
      </c>
      <c r="R1772" t="s">
        <v>739</v>
      </c>
    </row>
    <row r="1773" spans="1:18" x14ac:dyDescent="0.25">
      <c r="A1773" s="6">
        <v>1772</v>
      </c>
      <c r="B1773" s="7">
        <v>45101</v>
      </c>
      <c r="C1773" s="8" t="s">
        <v>124</v>
      </c>
      <c r="D1773" s="8" t="s">
        <v>83</v>
      </c>
      <c r="E1773" s="8" t="s">
        <v>79</v>
      </c>
      <c r="F1773" s="8" t="s">
        <v>136</v>
      </c>
      <c r="G1773" s="6">
        <v>4</v>
      </c>
      <c r="H1773" s="25">
        <v>89800</v>
      </c>
      <c r="I1773" s="6">
        <v>5</v>
      </c>
      <c r="J1773" s="6">
        <f t="shared" si="54"/>
        <v>359200</v>
      </c>
      <c r="K1773" s="6">
        <f t="shared" si="55"/>
        <v>341240</v>
      </c>
      <c r="L1773" s="8" t="s">
        <v>76</v>
      </c>
      <c r="M1773" s="8" t="s">
        <v>81</v>
      </c>
      <c r="N1773">
        <v>6</v>
      </c>
      <c r="O1773">
        <v>2023</v>
      </c>
      <c r="P1773" s="29" t="s">
        <v>723</v>
      </c>
      <c r="Q1773" t="s">
        <v>736</v>
      </c>
      <c r="R1773" t="s">
        <v>737</v>
      </c>
    </row>
    <row r="1774" spans="1:18" x14ac:dyDescent="0.25">
      <c r="A1774" s="9">
        <v>1773</v>
      </c>
      <c r="B1774" s="10">
        <v>45513</v>
      </c>
      <c r="C1774" s="11" t="s">
        <v>124</v>
      </c>
      <c r="D1774" s="11" t="s">
        <v>93</v>
      </c>
      <c r="E1774" s="11" t="s">
        <v>111</v>
      </c>
      <c r="F1774" s="11" t="s">
        <v>132</v>
      </c>
      <c r="G1774" s="9">
        <v>2</v>
      </c>
      <c r="H1774" s="26">
        <v>8200</v>
      </c>
      <c r="I1774" s="9">
        <v>0</v>
      </c>
      <c r="J1774" s="9">
        <f t="shared" si="54"/>
        <v>16400</v>
      </c>
      <c r="K1774" s="9">
        <f t="shared" si="55"/>
        <v>16400</v>
      </c>
      <c r="L1774" s="11" t="s">
        <v>187</v>
      </c>
      <c r="M1774" s="11" t="s">
        <v>81</v>
      </c>
      <c r="N1774">
        <v>8</v>
      </c>
      <c r="O1774">
        <v>2024</v>
      </c>
      <c r="P1774" s="29" t="s">
        <v>710</v>
      </c>
      <c r="Q1774" t="s">
        <v>734</v>
      </c>
      <c r="R1774" t="s">
        <v>738</v>
      </c>
    </row>
    <row r="1775" spans="1:18" x14ac:dyDescent="0.25">
      <c r="A1775" s="6">
        <v>1774</v>
      </c>
      <c r="B1775" s="7">
        <v>45141</v>
      </c>
      <c r="C1775" s="8" t="s">
        <v>78</v>
      </c>
      <c r="D1775" s="8" t="s">
        <v>117</v>
      </c>
      <c r="E1775" s="8" t="s">
        <v>79</v>
      </c>
      <c r="F1775" s="8" t="s">
        <v>131</v>
      </c>
      <c r="G1775" s="6">
        <v>17</v>
      </c>
      <c r="H1775" s="25">
        <v>134000</v>
      </c>
      <c r="I1775" s="6">
        <v>10</v>
      </c>
      <c r="J1775" s="6">
        <f t="shared" si="54"/>
        <v>2278000</v>
      </c>
      <c r="K1775" s="6">
        <f t="shared" si="55"/>
        <v>2050200</v>
      </c>
      <c r="L1775" s="8" t="s">
        <v>187</v>
      </c>
      <c r="M1775" s="8" t="s">
        <v>77</v>
      </c>
      <c r="N1775">
        <v>8</v>
      </c>
      <c r="O1775">
        <v>2023</v>
      </c>
      <c r="P1775" s="29" t="s">
        <v>713</v>
      </c>
      <c r="Q1775" t="s">
        <v>734</v>
      </c>
      <c r="R1775" t="s">
        <v>737</v>
      </c>
    </row>
    <row r="1776" spans="1:18" x14ac:dyDescent="0.25">
      <c r="A1776" s="9">
        <v>1775</v>
      </c>
      <c r="B1776" s="10">
        <v>45468</v>
      </c>
      <c r="C1776" s="11" t="s">
        <v>78</v>
      </c>
      <c r="D1776" s="11" t="s">
        <v>117</v>
      </c>
      <c r="E1776" s="11" t="s">
        <v>74</v>
      </c>
      <c r="F1776" s="11" t="s">
        <v>142</v>
      </c>
      <c r="G1776" s="9">
        <v>31</v>
      </c>
      <c r="H1776" s="26">
        <v>12400</v>
      </c>
      <c r="I1776" s="9">
        <v>10</v>
      </c>
      <c r="J1776" s="9">
        <f t="shared" si="54"/>
        <v>384400</v>
      </c>
      <c r="K1776" s="9">
        <f t="shared" si="55"/>
        <v>345960</v>
      </c>
      <c r="L1776" s="11" t="s">
        <v>76</v>
      </c>
      <c r="M1776" s="11" t="s">
        <v>81</v>
      </c>
      <c r="N1776">
        <v>6</v>
      </c>
      <c r="O1776">
        <v>2024</v>
      </c>
      <c r="P1776" s="29" t="s">
        <v>720</v>
      </c>
      <c r="Q1776" t="s">
        <v>736</v>
      </c>
      <c r="R1776" t="s">
        <v>737</v>
      </c>
    </row>
    <row r="1777" spans="1:18" x14ac:dyDescent="0.25">
      <c r="A1777" s="9">
        <v>1776</v>
      </c>
      <c r="B1777" s="10">
        <v>45125</v>
      </c>
      <c r="C1777" s="11" t="s">
        <v>114</v>
      </c>
      <c r="D1777" s="11" t="s">
        <v>109</v>
      </c>
      <c r="E1777" s="11" t="s">
        <v>102</v>
      </c>
      <c r="F1777" s="11" t="s">
        <v>137</v>
      </c>
      <c r="G1777" s="9">
        <v>16</v>
      </c>
      <c r="H1777" s="26">
        <v>2200</v>
      </c>
      <c r="I1777" s="9">
        <v>0</v>
      </c>
      <c r="J1777" s="9">
        <f t="shared" si="54"/>
        <v>35200</v>
      </c>
      <c r="K1777" s="9">
        <f t="shared" si="55"/>
        <v>35200</v>
      </c>
      <c r="L1777" s="11" t="s">
        <v>76</v>
      </c>
      <c r="M1777" s="11" t="s">
        <v>77</v>
      </c>
      <c r="N1777">
        <v>7</v>
      </c>
      <c r="O1777">
        <v>2023</v>
      </c>
      <c r="P1777" s="29" t="s">
        <v>724</v>
      </c>
      <c r="Q1777" t="s">
        <v>734</v>
      </c>
      <c r="R1777" t="s">
        <v>738</v>
      </c>
    </row>
    <row r="1778" spans="1:18" x14ac:dyDescent="0.25">
      <c r="A1778" s="6">
        <v>1777</v>
      </c>
      <c r="B1778" s="7">
        <v>45640</v>
      </c>
      <c r="C1778" s="8" t="s">
        <v>114</v>
      </c>
      <c r="D1778" s="8" t="s">
        <v>93</v>
      </c>
      <c r="E1778" s="8" t="s">
        <v>74</v>
      </c>
      <c r="F1778" s="8" t="s">
        <v>142</v>
      </c>
      <c r="G1778" s="6">
        <v>42</v>
      </c>
      <c r="H1778" s="25">
        <v>12400</v>
      </c>
      <c r="I1778" s="6">
        <v>5</v>
      </c>
      <c r="J1778" s="6">
        <f t="shared" si="54"/>
        <v>520800</v>
      </c>
      <c r="K1778" s="6">
        <f t="shared" si="55"/>
        <v>494760</v>
      </c>
      <c r="L1778" s="8" t="s">
        <v>187</v>
      </c>
      <c r="M1778" s="8" t="s">
        <v>96</v>
      </c>
      <c r="N1778">
        <v>12</v>
      </c>
      <c r="O1778">
        <v>2024</v>
      </c>
      <c r="P1778" s="29" t="s">
        <v>728</v>
      </c>
      <c r="Q1778" t="s">
        <v>733</v>
      </c>
      <c r="R1778" t="s">
        <v>737</v>
      </c>
    </row>
    <row r="1779" spans="1:18" x14ac:dyDescent="0.25">
      <c r="A1779" s="9">
        <v>1778</v>
      </c>
      <c r="B1779" s="10">
        <v>44937</v>
      </c>
      <c r="C1779" s="11" t="s">
        <v>108</v>
      </c>
      <c r="D1779" s="11" t="s">
        <v>73</v>
      </c>
      <c r="E1779" s="11" t="s">
        <v>84</v>
      </c>
      <c r="F1779" s="11" t="s">
        <v>148</v>
      </c>
      <c r="G1779" s="9">
        <v>9</v>
      </c>
      <c r="H1779" s="26">
        <v>5200</v>
      </c>
      <c r="I1779" s="9">
        <v>0</v>
      </c>
      <c r="J1779" s="9">
        <f t="shared" si="54"/>
        <v>46800</v>
      </c>
      <c r="K1779" s="9">
        <f t="shared" si="55"/>
        <v>46800</v>
      </c>
      <c r="L1779" s="11" t="s">
        <v>76</v>
      </c>
      <c r="M1779" s="11" t="s">
        <v>91</v>
      </c>
      <c r="N1779">
        <v>1</v>
      </c>
      <c r="O1779">
        <v>2023</v>
      </c>
      <c r="P1779" s="29" t="s">
        <v>721</v>
      </c>
      <c r="Q1779" t="s">
        <v>735</v>
      </c>
      <c r="R1779" t="s">
        <v>738</v>
      </c>
    </row>
    <row r="1780" spans="1:18" x14ac:dyDescent="0.25">
      <c r="A1780" s="6">
        <v>1779</v>
      </c>
      <c r="B1780" s="7">
        <v>45033</v>
      </c>
      <c r="C1780" s="8" t="s">
        <v>101</v>
      </c>
      <c r="D1780" s="8" t="s">
        <v>117</v>
      </c>
      <c r="E1780" s="8" t="s">
        <v>79</v>
      </c>
      <c r="F1780" s="8" t="s">
        <v>172</v>
      </c>
      <c r="G1780" s="6">
        <v>25</v>
      </c>
      <c r="H1780" s="25">
        <v>28000</v>
      </c>
      <c r="I1780" s="6">
        <v>0</v>
      </c>
      <c r="J1780" s="6">
        <f t="shared" si="54"/>
        <v>700000</v>
      </c>
      <c r="K1780" s="6">
        <f t="shared" si="55"/>
        <v>700000</v>
      </c>
      <c r="L1780" s="8" t="s">
        <v>76</v>
      </c>
      <c r="M1780" s="8" t="s">
        <v>91</v>
      </c>
      <c r="N1780">
        <v>4</v>
      </c>
      <c r="O1780">
        <v>2023</v>
      </c>
      <c r="P1780" s="29" t="s">
        <v>716</v>
      </c>
      <c r="Q1780" t="s">
        <v>736</v>
      </c>
      <c r="R1780" t="s">
        <v>737</v>
      </c>
    </row>
    <row r="1781" spans="1:18" x14ac:dyDescent="0.25">
      <c r="A1781" s="9">
        <v>1780</v>
      </c>
      <c r="B1781" s="10">
        <v>45290</v>
      </c>
      <c r="C1781" s="11" t="s">
        <v>88</v>
      </c>
      <c r="D1781" s="11" t="s">
        <v>117</v>
      </c>
      <c r="E1781" s="11" t="s">
        <v>79</v>
      </c>
      <c r="F1781" s="11" t="s">
        <v>122</v>
      </c>
      <c r="G1781" s="9">
        <v>15</v>
      </c>
      <c r="H1781" s="26">
        <v>18000</v>
      </c>
      <c r="I1781" s="9">
        <v>0</v>
      </c>
      <c r="J1781" s="9">
        <f t="shared" si="54"/>
        <v>270000</v>
      </c>
      <c r="K1781" s="9">
        <f t="shared" si="55"/>
        <v>270000</v>
      </c>
      <c r="L1781" s="11" t="s">
        <v>187</v>
      </c>
      <c r="M1781" s="11" t="s">
        <v>96</v>
      </c>
      <c r="N1781">
        <v>12</v>
      </c>
      <c r="O1781">
        <v>2023</v>
      </c>
      <c r="P1781" s="29" t="s">
        <v>725</v>
      </c>
      <c r="Q1781" t="s">
        <v>733</v>
      </c>
      <c r="R1781" t="s">
        <v>737</v>
      </c>
    </row>
    <row r="1782" spans="1:18" x14ac:dyDescent="0.25">
      <c r="A1782" s="6">
        <v>1781</v>
      </c>
      <c r="B1782" s="7">
        <v>45572</v>
      </c>
      <c r="C1782" s="8" t="s">
        <v>108</v>
      </c>
      <c r="D1782" s="8" t="s">
        <v>117</v>
      </c>
      <c r="E1782" s="8" t="s">
        <v>84</v>
      </c>
      <c r="F1782" s="8" t="s">
        <v>206</v>
      </c>
      <c r="G1782" s="6">
        <v>31</v>
      </c>
      <c r="H1782" s="25">
        <v>14900</v>
      </c>
      <c r="I1782" s="6">
        <v>20</v>
      </c>
      <c r="J1782" s="6">
        <f t="shared" si="54"/>
        <v>461900</v>
      </c>
      <c r="K1782" s="6">
        <f t="shared" si="55"/>
        <v>369520</v>
      </c>
      <c r="L1782" s="8" t="s">
        <v>76</v>
      </c>
      <c r="M1782" s="8" t="s">
        <v>91</v>
      </c>
      <c r="N1782">
        <v>10</v>
      </c>
      <c r="O1782">
        <v>2024</v>
      </c>
      <c r="P1782" s="29" t="s">
        <v>709</v>
      </c>
      <c r="Q1782" t="s">
        <v>733</v>
      </c>
      <c r="R1782" t="s">
        <v>737</v>
      </c>
    </row>
    <row r="1783" spans="1:18" x14ac:dyDescent="0.25">
      <c r="A1783" s="9">
        <v>1782</v>
      </c>
      <c r="B1783" s="10">
        <v>45213</v>
      </c>
      <c r="C1783" s="11" t="s">
        <v>101</v>
      </c>
      <c r="D1783" s="11" t="s">
        <v>93</v>
      </c>
      <c r="E1783" s="11" t="s">
        <v>102</v>
      </c>
      <c r="F1783" s="11" t="s">
        <v>138</v>
      </c>
      <c r="G1783" s="9">
        <v>47</v>
      </c>
      <c r="H1783" s="26">
        <v>7100</v>
      </c>
      <c r="I1783" s="9">
        <v>10</v>
      </c>
      <c r="J1783" s="9">
        <f t="shared" si="54"/>
        <v>333700</v>
      </c>
      <c r="K1783" s="9">
        <f t="shared" si="55"/>
        <v>300330</v>
      </c>
      <c r="L1783" s="11" t="s">
        <v>76</v>
      </c>
      <c r="M1783" s="11" t="s">
        <v>81</v>
      </c>
      <c r="N1783">
        <v>10</v>
      </c>
      <c r="O1783">
        <v>2023</v>
      </c>
      <c r="P1783" s="29" t="s">
        <v>726</v>
      </c>
      <c r="Q1783" t="s">
        <v>733</v>
      </c>
      <c r="R1783" t="s">
        <v>737</v>
      </c>
    </row>
    <row r="1784" spans="1:18" x14ac:dyDescent="0.25">
      <c r="A1784" s="6">
        <v>1783</v>
      </c>
      <c r="B1784" s="7">
        <v>45641</v>
      </c>
      <c r="C1784" s="8" t="s">
        <v>82</v>
      </c>
      <c r="D1784" s="8" t="s">
        <v>93</v>
      </c>
      <c r="E1784" s="8" t="s">
        <v>84</v>
      </c>
      <c r="F1784" s="8" t="s">
        <v>134</v>
      </c>
      <c r="G1784" s="6">
        <v>9</v>
      </c>
      <c r="H1784" s="25">
        <v>9400</v>
      </c>
      <c r="I1784" s="6">
        <v>15</v>
      </c>
      <c r="J1784" s="6">
        <f t="shared" si="54"/>
        <v>84600</v>
      </c>
      <c r="K1784" s="6">
        <f t="shared" si="55"/>
        <v>71910</v>
      </c>
      <c r="L1784" s="8" t="s">
        <v>76</v>
      </c>
      <c r="M1784" s="8" t="s">
        <v>77</v>
      </c>
      <c r="N1784">
        <v>12</v>
      </c>
      <c r="O1784">
        <v>2024</v>
      </c>
      <c r="P1784" s="29" t="s">
        <v>728</v>
      </c>
      <c r="Q1784" t="s">
        <v>733</v>
      </c>
      <c r="R1784" t="s">
        <v>739</v>
      </c>
    </row>
    <row r="1785" spans="1:18" x14ac:dyDescent="0.25">
      <c r="A1785" s="9">
        <v>1784</v>
      </c>
      <c r="B1785" s="10">
        <v>45631</v>
      </c>
      <c r="C1785" s="11" t="s">
        <v>88</v>
      </c>
      <c r="D1785" s="11" t="s">
        <v>73</v>
      </c>
      <c r="E1785" s="11" t="s">
        <v>74</v>
      </c>
      <c r="F1785" s="11" t="s">
        <v>94</v>
      </c>
      <c r="G1785" s="9">
        <v>19</v>
      </c>
      <c r="H1785" s="26">
        <v>40200</v>
      </c>
      <c r="I1785" s="9">
        <v>0</v>
      </c>
      <c r="J1785" s="9">
        <f t="shared" si="54"/>
        <v>763800</v>
      </c>
      <c r="K1785" s="9">
        <f t="shared" si="55"/>
        <v>763800</v>
      </c>
      <c r="L1785" s="11" t="s">
        <v>76</v>
      </c>
      <c r="M1785" s="11" t="s">
        <v>81</v>
      </c>
      <c r="N1785">
        <v>12</v>
      </c>
      <c r="O1785">
        <v>2024</v>
      </c>
      <c r="P1785" s="29" t="s">
        <v>728</v>
      </c>
      <c r="Q1785" t="s">
        <v>733</v>
      </c>
      <c r="R1785" t="s">
        <v>737</v>
      </c>
    </row>
    <row r="1786" spans="1:18" x14ac:dyDescent="0.25">
      <c r="A1786" s="6">
        <v>1785</v>
      </c>
      <c r="B1786" s="7">
        <v>45290</v>
      </c>
      <c r="C1786" s="8" t="s">
        <v>106</v>
      </c>
      <c r="D1786" s="8" t="s">
        <v>93</v>
      </c>
      <c r="E1786" s="8" t="s">
        <v>74</v>
      </c>
      <c r="F1786" s="8" t="s">
        <v>212</v>
      </c>
      <c r="G1786" s="6">
        <v>8</v>
      </c>
      <c r="H1786" s="25">
        <v>9000</v>
      </c>
      <c r="I1786" s="6">
        <v>20</v>
      </c>
      <c r="J1786" s="6">
        <f t="shared" si="54"/>
        <v>72000</v>
      </c>
      <c r="K1786" s="6">
        <f t="shared" si="55"/>
        <v>57600</v>
      </c>
      <c r="L1786" s="8" t="s">
        <v>76</v>
      </c>
      <c r="M1786" s="8" t="s">
        <v>81</v>
      </c>
      <c r="N1786">
        <v>12</v>
      </c>
      <c r="O1786">
        <v>2023</v>
      </c>
      <c r="P1786" s="29" t="s">
        <v>725</v>
      </c>
      <c r="Q1786" t="s">
        <v>733</v>
      </c>
      <c r="R1786" t="s">
        <v>739</v>
      </c>
    </row>
    <row r="1787" spans="1:18" x14ac:dyDescent="0.25">
      <c r="A1787" s="9">
        <v>1786</v>
      </c>
      <c r="B1787" s="10">
        <v>45071</v>
      </c>
      <c r="C1787" s="11" t="s">
        <v>97</v>
      </c>
      <c r="D1787" s="11" t="s">
        <v>73</v>
      </c>
      <c r="E1787" s="11" t="s">
        <v>79</v>
      </c>
      <c r="F1787" s="11" t="s">
        <v>172</v>
      </c>
      <c r="G1787" s="9">
        <v>47</v>
      </c>
      <c r="H1787" s="26">
        <v>25800</v>
      </c>
      <c r="I1787" s="9">
        <v>10</v>
      </c>
      <c r="J1787" s="9">
        <f t="shared" si="54"/>
        <v>1212600</v>
      </c>
      <c r="K1787" s="9">
        <f t="shared" si="55"/>
        <v>1091340</v>
      </c>
      <c r="L1787" s="11" t="s">
        <v>107</v>
      </c>
      <c r="M1787" s="11" t="s">
        <v>77</v>
      </c>
      <c r="N1787">
        <v>5</v>
      </c>
      <c r="O1787">
        <v>2023</v>
      </c>
      <c r="P1787" s="29" t="s">
        <v>730</v>
      </c>
      <c r="Q1787" t="s">
        <v>736</v>
      </c>
      <c r="R1787" t="s">
        <v>737</v>
      </c>
    </row>
    <row r="1788" spans="1:18" x14ac:dyDescent="0.25">
      <c r="A1788" s="6">
        <v>1787</v>
      </c>
      <c r="B1788" s="7">
        <v>44976</v>
      </c>
      <c r="C1788" s="8" t="s">
        <v>124</v>
      </c>
      <c r="D1788" s="8" t="s">
        <v>109</v>
      </c>
      <c r="E1788" s="8" t="s">
        <v>84</v>
      </c>
      <c r="F1788" s="8" t="s">
        <v>150</v>
      </c>
      <c r="G1788" s="6">
        <v>13</v>
      </c>
      <c r="H1788" s="25">
        <v>5800</v>
      </c>
      <c r="I1788" s="6">
        <v>5</v>
      </c>
      <c r="J1788" s="6">
        <f t="shared" si="54"/>
        <v>75400</v>
      </c>
      <c r="K1788" s="6">
        <f t="shared" si="55"/>
        <v>71630</v>
      </c>
      <c r="L1788" s="8" t="s">
        <v>76</v>
      </c>
      <c r="M1788" s="8" t="s">
        <v>81</v>
      </c>
      <c r="N1788">
        <v>2</v>
      </c>
      <c r="O1788">
        <v>2023</v>
      </c>
      <c r="P1788" s="29" t="s">
        <v>717</v>
      </c>
      <c r="Q1788" t="s">
        <v>735</v>
      </c>
      <c r="R1788" t="s">
        <v>739</v>
      </c>
    </row>
    <row r="1789" spans="1:18" x14ac:dyDescent="0.25">
      <c r="A1789" s="9">
        <v>1788</v>
      </c>
      <c r="B1789" s="10">
        <v>45586</v>
      </c>
      <c r="C1789" s="11" t="s">
        <v>88</v>
      </c>
      <c r="D1789" s="11" t="s">
        <v>109</v>
      </c>
      <c r="E1789" s="11" t="s">
        <v>79</v>
      </c>
      <c r="F1789" s="11" t="s">
        <v>115</v>
      </c>
      <c r="G1789" s="9">
        <v>47</v>
      </c>
      <c r="H1789" s="26">
        <v>10000</v>
      </c>
      <c r="I1789" s="9">
        <v>20</v>
      </c>
      <c r="J1789" s="9">
        <f t="shared" si="54"/>
        <v>470000</v>
      </c>
      <c r="K1789" s="9">
        <f t="shared" si="55"/>
        <v>376000</v>
      </c>
      <c r="L1789" s="11" t="s">
        <v>76</v>
      </c>
      <c r="M1789" s="11" t="s">
        <v>77</v>
      </c>
      <c r="N1789">
        <v>10</v>
      </c>
      <c r="O1789">
        <v>2024</v>
      </c>
      <c r="P1789" s="29" t="s">
        <v>709</v>
      </c>
      <c r="Q1789" t="s">
        <v>733</v>
      </c>
      <c r="R1789" t="s">
        <v>737</v>
      </c>
    </row>
    <row r="1790" spans="1:18" x14ac:dyDescent="0.25">
      <c r="A1790" s="6">
        <v>1789</v>
      </c>
      <c r="B1790" s="7">
        <v>45553</v>
      </c>
      <c r="C1790" s="8" t="s">
        <v>82</v>
      </c>
      <c r="D1790" s="8" t="s">
        <v>83</v>
      </c>
      <c r="E1790" s="8" t="s">
        <v>74</v>
      </c>
      <c r="F1790" s="8" t="s">
        <v>140</v>
      </c>
      <c r="G1790" s="6">
        <v>33</v>
      </c>
      <c r="H1790" s="25">
        <v>4200</v>
      </c>
      <c r="I1790" s="6">
        <v>0</v>
      </c>
      <c r="J1790" s="6">
        <f t="shared" si="54"/>
        <v>138600</v>
      </c>
      <c r="K1790" s="6">
        <f t="shared" si="55"/>
        <v>138600</v>
      </c>
      <c r="L1790" s="8" t="s">
        <v>107</v>
      </c>
      <c r="M1790" s="8" t="s">
        <v>77</v>
      </c>
      <c r="N1790">
        <v>9</v>
      </c>
      <c r="O1790">
        <v>2024</v>
      </c>
      <c r="P1790" s="29" t="s">
        <v>731</v>
      </c>
      <c r="Q1790" t="s">
        <v>734</v>
      </c>
      <c r="R1790" t="s">
        <v>739</v>
      </c>
    </row>
    <row r="1791" spans="1:18" x14ac:dyDescent="0.25">
      <c r="A1791" s="9">
        <v>1790</v>
      </c>
      <c r="B1791" s="10">
        <v>45176</v>
      </c>
      <c r="C1791" s="11" t="s">
        <v>106</v>
      </c>
      <c r="D1791" s="11" t="s">
        <v>73</v>
      </c>
      <c r="E1791" s="11" t="s">
        <v>79</v>
      </c>
      <c r="F1791" s="11" t="s">
        <v>131</v>
      </c>
      <c r="G1791" s="9">
        <v>27</v>
      </c>
      <c r="H1791" s="26">
        <v>118000</v>
      </c>
      <c r="I1791" s="9">
        <v>20</v>
      </c>
      <c r="J1791" s="9">
        <f t="shared" si="54"/>
        <v>3186000</v>
      </c>
      <c r="K1791" s="9">
        <f t="shared" si="55"/>
        <v>2548800</v>
      </c>
      <c r="L1791" s="11" t="s">
        <v>76</v>
      </c>
      <c r="M1791" s="11" t="s">
        <v>81</v>
      </c>
      <c r="N1791">
        <v>9</v>
      </c>
      <c r="O1791">
        <v>2023</v>
      </c>
      <c r="P1791" s="29" t="s">
        <v>715</v>
      </c>
      <c r="Q1791" t="s">
        <v>734</v>
      </c>
      <c r="R1791" t="s">
        <v>737</v>
      </c>
    </row>
    <row r="1792" spans="1:18" x14ac:dyDescent="0.25">
      <c r="A1792" s="6">
        <v>1791</v>
      </c>
      <c r="B1792" s="7">
        <v>45360</v>
      </c>
      <c r="C1792" s="8" t="s">
        <v>82</v>
      </c>
      <c r="D1792" s="8" t="s">
        <v>73</v>
      </c>
      <c r="E1792" s="8" t="s">
        <v>84</v>
      </c>
      <c r="F1792" s="8" t="s">
        <v>148</v>
      </c>
      <c r="G1792" s="6">
        <v>41</v>
      </c>
      <c r="H1792" s="25">
        <v>4700</v>
      </c>
      <c r="I1792" s="6">
        <v>15</v>
      </c>
      <c r="J1792" s="6">
        <f t="shared" si="54"/>
        <v>192700</v>
      </c>
      <c r="K1792" s="6">
        <f t="shared" si="55"/>
        <v>163795</v>
      </c>
      <c r="L1792" s="8" t="s">
        <v>187</v>
      </c>
      <c r="M1792" s="8" t="s">
        <v>96</v>
      </c>
      <c r="N1792">
        <v>3</v>
      </c>
      <c r="O1792">
        <v>2024</v>
      </c>
      <c r="P1792" s="29" t="s">
        <v>711</v>
      </c>
      <c r="Q1792" t="s">
        <v>735</v>
      </c>
      <c r="R1792" t="s">
        <v>739</v>
      </c>
    </row>
    <row r="1793" spans="1:18" x14ac:dyDescent="0.25">
      <c r="A1793" s="9">
        <v>1792</v>
      </c>
      <c r="B1793" s="10">
        <v>45217</v>
      </c>
      <c r="C1793" s="11" t="s">
        <v>124</v>
      </c>
      <c r="D1793" s="11" t="s">
        <v>73</v>
      </c>
      <c r="E1793" s="11" t="s">
        <v>111</v>
      </c>
      <c r="F1793" s="11" t="s">
        <v>192</v>
      </c>
      <c r="G1793" s="9">
        <v>44</v>
      </c>
      <c r="H1793" s="26">
        <v>106500</v>
      </c>
      <c r="I1793" s="9">
        <v>10</v>
      </c>
      <c r="J1793" s="9">
        <f t="shared" si="54"/>
        <v>4686000</v>
      </c>
      <c r="K1793" s="9">
        <f t="shared" si="55"/>
        <v>4217400</v>
      </c>
      <c r="L1793" s="11" t="s">
        <v>76</v>
      </c>
      <c r="M1793" s="11" t="s">
        <v>96</v>
      </c>
      <c r="N1793">
        <v>10</v>
      </c>
      <c r="O1793">
        <v>2023</v>
      </c>
      <c r="P1793" s="29" t="s">
        <v>726</v>
      </c>
      <c r="Q1793" t="s">
        <v>733</v>
      </c>
      <c r="R1793" t="s">
        <v>737</v>
      </c>
    </row>
    <row r="1794" spans="1:18" x14ac:dyDescent="0.25">
      <c r="A1794" s="6">
        <v>1793</v>
      </c>
      <c r="B1794" s="7">
        <v>45281</v>
      </c>
      <c r="C1794" s="8" t="s">
        <v>108</v>
      </c>
      <c r="D1794" s="8" t="s">
        <v>73</v>
      </c>
      <c r="E1794" s="8" t="s">
        <v>79</v>
      </c>
      <c r="F1794" s="8" t="s">
        <v>179</v>
      </c>
      <c r="G1794" s="6">
        <v>8</v>
      </c>
      <c r="H1794" s="25">
        <v>2600</v>
      </c>
      <c r="I1794" s="6">
        <v>0</v>
      </c>
      <c r="J1794" s="6">
        <f t="shared" ref="J1794:J1857" si="56">G1794*H1794</f>
        <v>20800</v>
      </c>
      <c r="K1794" s="6">
        <f t="shared" ref="K1794:K1857" si="57">J1794*(1-I1794/100)</f>
        <v>20800</v>
      </c>
      <c r="L1794" s="8" t="s">
        <v>107</v>
      </c>
      <c r="M1794" s="8" t="s">
        <v>96</v>
      </c>
      <c r="N1794">
        <v>12</v>
      </c>
      <c r="O1794">
        <v>2023</v>
      </c>
      <c r="P1794" s="29" t="s">
        <v>725</v>
      </c>
      <c r="Q1794" t="s">
        <v>733</v>
      </c>
      <c r="R1794" t="s">
        <v>738</v>
      </c>
    </row>
    <row r="1795" spans="1:18" x14ac:dyDescent="0.25">
      <c r="A1795" s="9">
        <v>1794</v>
      </c>
      <c r="B1795" s="10">
        <v>45450</v>
      </c>
      <c r="C1795" s="11" t="s">
        <v>101</v>
      </c>
      <c r="D1795" s="11" t="s">
        <v>109</v>
      </c>
      <c r="E1795" s="11" t="s">
        <v>84</v>
      </c>
      <c r="F1795" s="11" t="s">
        <v>148</v>
      </c>
      <c r="G1795" s="9">
        <v>22</v>
      </c>
      <c r="H1795" s="26">
        <v>5000</v>
      </c>
      <c r="I1795" s="9">
        <v>20</v>
      </c>
      <c r="J1795" s="9">
        <f t="shared" si="56"/>
        <v>110000</v>
      </c>
      <c r="K1795" s="9">
        <f t="shared" si="57"/>
        <v>88000</v>
      </c>
      <c r="L1795" s="11" t="s">
        <v>187</v>
      </c>
      <c r="M1795" s="11" t="s">
        <v>81</v>
      </c>
      <c r="N1795">
        <v>6</v>
      </c>
      <c r="O1795">
        <v>2024</v>
      </c>
      <c r="P1795" s="29" t="s">
        <v>720</v>
      </c>
      <c r="Q1795" t="s">
        <v>736</v>
      </c>
      <c r="R1795" t="s">
        <v>739</v>
      </c>
    </row>
    <row r="1796" spans="1:18" x14ac:dyDescent="0.25">
      <c r="A1796" s="6">
        <v>1795</v>
      </c>
      <c r="B1796" s="7">
        <v>45344</v>
      </c>
      <c r="C1796" s="8" t="s">
        <v>106</v>
      </c>
      <c r="D1796" s="8" t="s">
        <v>109</v>
      </c>
      <c r="E1796" s="8" t="s">
        <v>84</v>
      </c>
      <c r="F1796" s="8" t="s">
        <v>90</v>
      </c>
      <c r="G1796" s="6">
        <v>33</v>
      </c>
      <c r="H1796" s="25">
        <v>1900</v>
      </c>
      <c r="I1796" s="6">
        <v>5</v>
      </c>
      <c r="J1796" s="6">
        <f t="shared" si="56"/>
        <v>62700</v>
      </c>
      <c r="K1796" s="6">
        <f t="shared" si="57"/>
        <v>59565</v>
      </c>
      <c r="L1796" s="8" t="s">
        <v>76</v>
      </c>
      <c r="M1796" s="8" t="s">
        <v>81</v>
      </c>
      <c r="N1796">
        <v>2</v>
      </c>
      <c r="O1796">
        <v>2024</v>
      </c>
      <c r="P1796" s="29" t="s">
        <v>729</v>
      </c>
      <c r="Q1796" t="s">
        <v>735</v>
      </c>
      <c r="R1796" t="s">
        <v>739</v>
      </c>
    </row>
    <row r="1797" spans="1:18" x14ac:dyDescent="0.25">
      <c r="A1797" s="9">
        <v>1796</v>
      </c>
      <c r="B1797" s="10">
        <v>45179</v>
      </c>
      <c r="C1797" s="11" t="s">
        <v>88</v>
      </c>
      <c r="D1797" s="11" t="s">
        <v>117</v>
      </c>
      <c r="E1797" s="11" t="s">
        <v>111</v>
      </c>
      <c r="F1797" s="11" t="s">
        <v>112</v>
      </c>
      <c r="G1797" s="9">
        <v>3</v>
      </c>
      <c r="H1797" s="26">
        <v>60000</v>
      </c>
      <c r="I1797" s="9">
        <v>0</v>
      </c>
      <c r="J1797" s="9">
        <f t="shared" si="56"/>
        <v>180000</v>
      </c>
      <c r="K1797" s="9">
        <f t="shared" si="57"/>
        <v>180000</v>
      </c>
      <c r="L1797" s="11" t="s">
        <v>187</v>
      </c>
      <c r="M1797" s="11" t="s">
        <v>96</v>
      </c>
      <c r="N1797">
        <v>9</v>
      </c>
      <c r="O1797">
        <v>2023</v>
      </c>
      <c r="P1797" s="29" t="s">
        <v>715</v>
      </c>
      <c r="Q1797" t="s">
        <v>734</v>
      </c>
      <c r="R1797" t="s">
        <v>739</v>
      </c>
    </row>
    <row r="1798" spans="1:18" x14ac:dyDescent="0.25">
      <c r="A1798" s="6">
        <v>1797</v>
      </c>
      <c r="B1798" s="7">
        <v>45459</v>
      </c>
      <c r="C1798" s="8" t="s">
        <v>82</v>
      </c>
      <c r="D1798" s="8" t="s">
        <v>83</v>
      </c>
      <c r="E1798" s="8" t="s">
        <v>79</v>
      </c>
      <c r="F1798" s="8" t="s">
        <v>120</v>
      </c>
      <c r="G1798" s="6">
        <v>50</v>
      </c>
      <c r="H1798" s="25">
        <v>6300</v>
      </c>
      <c r="I1798" s="6">
        <v>5</v>
      </c>
      <c r="J1798" s="6">
        <f t="shared" si="56"/>
        <v>315000</v>
      </c>
      <c r="K1798" s="6">
        <f t="shared" si="57"/>
        <v>299250</v>
      </c>
      <c r="L1798" s="8" t="s">
        <v>187</v>
      </c>
      <c r="M1798" s="8" t="s">
        <v>81</v>
      </c>
      <c r="N1798">
        <v>6</v>
      </c>
      <c r="O1798">
        <v>2024</v>
      </c>
      <c r="P1798" s="29" t="s">
        <v>720</v>
      </c>
      <c r="Q1798" t="s">
        <v>736</v>
      </c>
      <c r="R1798" t="s">
        <v>737</v>
      </c>
    </row>
    <row r="1799" spans="1:18" x14ac:dyDescent="0.25">
      <c r="A1799" s="9">
        <v>1798</v>
      </c>
      <c r="B1799" s="10">
        <v>45537</v>
      </c>
      <c r="C1799" s="11" t="s">
        <v>114</v>
      </c>
      <c r="D1799" s="11" t="s">
        <v>83</v>
      </c>
      <c r="E1799" s="11" t="s">
        <v>79</v>
      </c>
      <c r="F1799" s="11" t="s">
        <v>131</v>
      </c>
      <c r="G1799" s="9">
        <v>9</v>
      </c>
      <c r="H1799" s="26">
        <v>111500</v>
      </c>
      <c r="I1799" s="9">
        <v>0</v>
      </c>
      <c r="J1799" s="9">
        <f t="shared" si="56"/>
        <v>1003500</v>
      </c>
      <c r="K1799" s="9">
        <f t="shared" si="57"/>
        <v>1003500</v>
      </c>
      <c r="L1799" s="11" t="s">
        <v>76</v>
      </c>
      <c r="M1799" s="11" t="s">
        <v>77</v>
      </c>
      <c r="N1799">
        <v>9</v>
      </c>
      <c r="O1799">
        <v>2024</v>
      </c>
      <c r="P1799" s="29" t="s">
        <v>731</v>
      </c>
      <c r="Q1799" t="s">
        <v>734</v>
      </c>
      <c r="R1799" t="s">
        <v>737</v>
      </c>
    </row>
    <row r="1800" spans="1:18" x14ac:dyDescent="0.25">
      <c r="A1800" s="6">
        <v>1799</v>
      </c>
      <c r="B1800" s="7">
        <v>45124</v>
      </c>
      <c r="C1800" s="8" t="s">
        <v>78</v>
      </c>
      <c r="D1800" s="8" t="s">
        <v>93</v>
      </c>
      <c r="E1800" s="8" t="s">
        <v>84</v>
      </c>
      <c r="F1800" s="8" t="s">
        <v>200</v>
      </c>
      <c r="G1800" s="6">
        <v>39</v>
      </c>
      <c r="H1800" s="25">
        <v>3200</v>
      </c>
      <c r="I1800" s="6">
        <v>5</v>
      </c>
      <c r="J1800" s="6">
        <f t="shared" si="56"/>
        <v>124800</v>
      </c>
      <c r="K1800" s="6">
        <f t="shared" si="57"/>
        <v>118560</v>
      </c>
      <c r="L1800" s="8" t="s">
        <v>76</v>
      </c>
      <c r="M1800" s="8" t="s">
        <v>77</v>
      </c>
      <c r="N1800">
        <v>7</v>
      </c>
      <c r="O1800">
        <v>2023</v>
      </c>
      <c r="P1800" s="29" t="s">
        <v>724</v>
      </c>
      <c r="Q1800" t="s">
        <v>734</v>
      </c>
      <c r="R1800" t="s">
        <v>739</v>
      </c>
    </row>
    <row r="1801" spans="1:18" x14ac:dyDescent="0.25">
      <c r="A1801" s="9">
        <v>1800</v>
      </c>
      <c r="B1801" s="10">
        <v>45113</v>
      </c>
      <c r="C1801" s="11" t="s">
        <v>119</v>
      </c>
      <c r="D1801" s="11" t="s">
        <v>73</v>
      </c>
      <c r="E1801" s="11" t="s">
        <v>74</v>
      </c>
      <c r="F1801" s="11" t="s">
        <v>75</v>
      </c>
      <c r="G1801" s="9">
        <v>12</v>
      </c>
      <c r="H1801" s="26">
        <v>20300</v>
      </c>
      <c r="I1801" s="9">
        <v>0</v>
      </c>
      <c r="J1801" s="9">
        <f t="shared" si="56"/>
        <v>243600</v>
      </c>
      <c r="K1801" s="9">
        <f t="shared" si="57"/>
        <v>243600</v>
      </c>
      <c r="L1801" s="11" t="s">
        <v>187</v>
      </c>
      <c r="M1801" s="11" t="s">
        <v>96</v>
      </c>
      <c r="N1801">
        <v>7</v>
      </c>
      <c r="O1801">
        <v>2023</v>
      </c>
      <c r="P1801" s="29" t="s">
        <v>724</v>
      </c>
      <c r="Q1801" t="s">
        <v>734</v>
      </c>
      <c r="R1801" t="s">
        <v>737</v>
      </c>
    </row>
    <row r="1802" spans="1:18" x14ac:dyDescent="0.25">
      <c r="A1802" s="6">
        <v>1801</v>
      </c>
      <c r="B1802" s="7">
        <v>45291</v>
      </c>
      <c r="C1802" s="8" t="s">
        <v>78</v>
      </c>
      <c r="D1802" s="8" t="s">
        <v>83</v>
      </c>
      <c r="E1802" s="8" t="s">
        <v>102</v>
      </c>
      <c r="F1802" s="8" t="s">
        <v>103</v>
      </c>
      <c r="G1802" s="6">
        <v>7</v>
      </c>
      <c r="H1802" s="25">
        <v>9900</v>
      </c>
      <c r="I1802" s="6">
        <v>5</v>
      </c>
      <c r="J1802" s="6">
        <f t="shared" si="56"/>
        <v>69300</v>
      </c>
      <c r="K1802" s="6">
        <f t="shared" si="57"/>
        <v>65835</v>
      </c>
      <c r="L1802" s="8" t="s">
        <v>76</v>
      </c>
      <c r="M1802" s="8" t="s">
        <v>91</v>
      </c>
      <c r="N1802">
        <v>12</v>
      </c>
      <c r="O1802">
        <v>2023</v>
      </c>
      <c r="P1802" s="29" t="s">
        <v>725</v>
      </c>
      <c r="Q1802" t="s">
        <v>733</v>
      </c>
      <c r="R1802" t="s">
        <v>739</v>
      </c>
    </row>
    <row r="1803" spans="1:18" x14ac:dyDescent="0.25">
      <c r="A1803" s="9">
        <v>1802</v>
      </c>
      <c r="B1803" s="10">
        <v>45501</v>
      </c>
      <c r="C1803" s="11" t="s">
        <v>108</v>
      </c>
      <c r="D1803" s="11" t="s">
        <v>93</v>
      </c>
      <c r="E1803" s="11" t="s">
        <v>84</v>
      </c>
      <c r="F1803" s="11" t="s">
        <v>134</v>
      </c>
      <c r="G1803" s="9">
        <v>3</v>
      </c>
      <c r="H1803" s="26">
        <v>9300</v>
      </c>
      <c r="I1803" s="9">
        <v>10</v>
      </c>
      <c r="J1803" s="9">
        <f t="shared" si="56"/>
        <v>27900</v>
      </c>
      <c r="K1803" s="9">
        <f t="shared" si="57"/>
        <v>25110</v>
      </c>
      <c r="L1803" s="11" t="s">
        <v>76</v>
      </c>
      <c r="M1803" s="11" t="s">
        <v>96</v>
      </c>
      <c r="N1803">
        <v>7</v>
      </c>
      <c r="O1803">
        <v>2024</v>
      </c>
      <c r="P1803" s="29" t="s">
        <v>712</v>
      </c>
      <c r="Q1803" t="s">
        <v>734</v>
      </c>
      <c r="R1803" t="s">
        <v>738</v>
      </c>
    </row>
    <row r="1804" spans="1:18" x14ac:dyDescent="0.25">
      <c r="A1804" s="6">
        <v>1803</v>
      </c>
      <c r="B1804" s="7">
        <v>45078</v>
      </c>
      <c r="C1804" s="8" t="s">
        <v>82</v>
      </c>
      <c r="D1804" s="8" t="s">
        <v>83</v>
      </c>
      <c r="E1804" s="8" t="s">
        <v>84</v>
      </c>
      <c r="F1804" s="8" t="s">
        <v>200</v>
      </c>
      <c r="G1804" s="6">
        <v>31</v>
      </c>
      <c r="H1804" s="25">
        <v>3100</v>
      </c>
      <c r="I1804" s="6">
        <v>5</v>
      </c>
      <c r="J1804" s="6">
        <f t="shared" si="56"/>
        <v>96100</v>
      </c>
      <c r="K1804" s="6">
        <f t="shared" si="57"/>
        <v>91295</v>
      </c>
      <c r="L1804" s="8" t="s">
        <v>107</v>
      </c>
      <c r="M1804" s="8" t="s">
        <v>81</v>
      </c>
      <c r="N1804">
        <v>6</v>
      </c>
      <c r="O1804">
        <v>2023</v>
      </c>
      <c r="P1804" s="29" t="s">
        <v>723</v>
      </c>
      <c r="Q1804" t="s">
        <v>736</v>
      </c>
      <c r="R1804" t="s">
        <v>739</v>
      </c>
    </row>
    <row r="1805" spans="1:18" x14ac:dyDescent="0.25">
      <c r="A1805" s="9">
        <v>1804</v>
      </c>
      <c r="B1805" s="10">
        <v>44974</v>
      </c>
      <c r="C1805" s="11" t="s">
        <v>106</v>
      </c>
      <c r="D1805" s="11" t="s">
        <v>109</v>
      </c>
      <c r="E1805" s="11" t="s">
        <v>74</v>
      </c>
      <c r="F1805" s="11" t="s">
        <v>118</v>
      </c>
      <c r="G1805" s="9">
        <v>43</v>
      </c>
      <c r="H1805" s="26">
        <v>25600</v>
      </c>
      <c r="I1805" s="9">
        <v>10</v>
      </c>
      <c r="J1805" s="9">
        <f t="shared" si="56"/>
        <v>1100800</v>
      </c>
      <c r="K1805" s="9">
        <f t="shared" si="57"/>
        <v>990720</v>
      </c>
      <c r="L1805" s="11" t="s">
        <v>76</v>
      </c>
      <c r="M1805" s="11" t="s">
        <v>77</v>
      </c>
      <c r="N1805">
        <v>2</v>
      </c>
      <c r="O1805">
        <v>2023</v>
      </c>
      <c r="P1805" s="29" t="s">
        <v>717</v>
      </c>
      <c r="Q1805" t="s">
        <v>735</v>
      </c>
      <c r="R1805" t="s">
        <v>737</v>
      </c>
    </row>
    <row r="1806" spans="1:18" x14ac:dyDescent="0.25">
      <c r="A1806" s="6">
        <v>1805</v>
      </c>
      <c r="B1806" s="7">
        <v>44975</v>
      </c>
      <c r="C1806" s="8" t="s">
        <v>82</v>
      </c>
      <c r="D1806" s="8" t="s">
        <v>117</v>
      </c>
      <c r="E1806" s="8" t="s">
        <v>102</v>
      </c>
      <c r="F1806" s="8" t="s">
        <v>137</v>
      </c>
      <c r="G1806" s="6">
        <v>19</v>
      </c>
      <c r="H1806" s="25">
        <v>2400</v>
      </c>
      <c r="I1806" s="6">
        <v>15</v>
      </c>
      <c r="J1806" s="6">
        <f t="shared" si="56"/>
        <v>45600</v>
      </c>
      <c r="K1806" s="6">
        <f t="shared" si="57"/>
        <v>38760</v>
      </c>
      <c r="L1806" s="8" t="s">
        <v>76</v>
      </c>
      <c r="M1806" s="8" t="s">
        <v>77</v>
      </c>
      <c r="N1806">
        <v>2</v>
      </c>
      <c r="O1806">
        <v>2023</v>
      </c>
      <c r="P1806" s="29" t="s">
        <v>717</v>
      </c>
      <c r="Q1806" t="s">
        <v>735</v>
      </c>
      <c r="R1806" t="s">
        <v>738</v>
      </c>
    </row>
    <row r="1807" spans="1:18" x14ac:dyDescent="0.25">
      <c r="A1807" s="9">
        <v>1806</v>
      </c>
      <c r="B1807" s="10">
        <v>45508</v>
      </c>
      <c r="C1807" s="11" t="s">
        <v>101</v>
      </c>
      <c r="D1807" s="11" t="s">
        <v>93</v>
      </c>
      <c r="E1807" s="11" t="s">
        <v>84</v>
      </c>
      <c r="F1807" s="11" t="s">
        <v>148</v>
      </c>
      <c r="G1807" s="9">
        <v>46</v>
      </c>
      <c r="H1807" s="26">
        <v>5200</v>
      </c>
      <c r="I1807" s="9">
        <v>20</v>
      </c>
      <c r="J1807" s="9">
        <f t="shared" si="56"/>
        <v>239200</v>
      </c>
      <c r="K1807" s="9">
        <f t="shared" si="57"/>
        <v>191360</v>
      </c>
      <c r="L1807" s="11" t="s">
        <v>76</v>
      </c>
      <c r="M1807" s="11" t="s">
        <v>91</v>
      </c>
      <c r="N1807">
        <v>8</v>
      </c>
      <c r="O1807">
        <v>2024</v>
      </c>
      <c r="P1807" s="29" t="s">
        <v>710</v>
      </c>
      <c r="Q1807" t="s">
        <v>734</v>
      </c>
      <c r="R1807" t="s">
        <v>739</v>
      </c>
    </row>
    <row r="1808" spans="1:18" x14ac:dyDescent="0.25">
      <c r="A1808" s="6">
        <v>1807</v>
      </c>
      <c r="B1808" s="7">
        <v>45301</v>
      </c>
      <c r="C1808" s="8" t="s">
        <v>124</v>
      </c>
      <c r="D1808" s="8" t="s">
        <v>83</v>
      </c>
      <c r="E1808" s="8" t="s">
        <v>74</v>
      </c>
      <c r="F1808" s="8" t="s">
        <v>99</v>
      </c>
      <c r="G1808" s="6">
        <v>34</v>
      </c>
      <c r="H1808" s="25">
        <v>3200</v>
      </c>
      <c r="I1808" s="6">
        <v>10</v>
      </c>
      <c r="J1808" s="6">
        <f t="shared" si="56"/>
        <v>108800</v>
      </c>
      <c r="K1808" s="6">
        <f t="shared" si="57"/>
        <v>97920</v>
      </c>
      <c r="L1808" s="8" t="s">
        <v>76</v>
      </c>
      <c r="M1808" s="8" t="s">
        <v>96</v>
      </c>
      <c r="N1808">
        <v>1</v>
      </c>
      <c r="O1808">
        <v>2024</v>
      </c>
      <c r="P1808" s="29" t="s">
        <v>727</v>
      </c>
      <c r="Q1808" t="s">
        <v>735</v>
      </c>
      <c r="R1808" t="s">
        <v>739</v>
      </c>
    </row>
    <row r="1809" spans="1:18" x14ac:dyDescent="0.25">
      <c r="A1809" s="9">
        <v>1808</v>
      </c>
      <c r="B1809" s="10">
        <v>45320</v>
      </c>
      <c r="C1809" s="11" t="s">
        <v>124</v>
      </c>
      <c r="D1809" s="11" t="s">
        <v>109</v>
      </c>
      <c r="E1809" s="11" t="s">
        <v>84</v>
      </c>
      <c r="F1809" s="11" t="s">
        <v>200</v>
      </c>
      <c r="G1809" s="9">
        <v>19</v>
      </c>
      <c r="H1809" s="26">
        <v>3300</v>
      </c>
      <c r="I1809" s="9">
        <v>10</v>
      </c>
      <c r="J1809" s="9">
        <f t="shared" si="56"/>
        <v>62700</v>
      </c>
      <c r="K1809" s="9">
        <f t="shared" si="57"/>
        <v>56430</v>
      </c>
      <c r="L1809" s="11" t="s">
        <v>76</v>
      </c>
      <c r="M1809" s="11" t="s">
        <v>96</v>
      </c>
      <c r="N1809">
        <v>1</v>
      </c>
      <c r="O1809">
        <v>2024</v>
      </c>
      <c r="P1809" s="29" t="s">
        <v>727</v>
      </c>
      <c r="Q1809" t="s">
        <v>735</v>
      </c>
      <c r="R1809" t="s">
        <v>739</v>
      </c>
    </row>
    <row r="1810" spans="1:18" x14ac:dyDescent="0.25">
      <c r="A1810" s="6">
        <v>1809</v>
      </c>
      <c r="B1810" s="7">
        <v>45560</v>
      </c>
      <c r="C1810" s="8" t="s">
        <v>106</v>
      </c>
      <c r="D1810" s="8" t="s">
        <v>109</v>
      </c>
      <c r="E1810" s="8" t="s">
        <v>84</v>
      </c>
      <c r="F1810" s="8" t="s">
        <v>150</v>
      </c>
      <c r="G1810" s="6">
        <v>50</v>
      </c>
      <c r="H1810" s="25">
        <v>5200</v>
      </c>
      <c r="I1810" s="6">
        <v>0</v>
      </c>
      <c r="J1810" s="6">
        <f t="shared" si="56"/>
        <v>260000</v>
      </c>
      <c r="K1810" s="6">
        <f t="shared" si="57"/>
        <v>260000</v>
      </c>
      <c r="L1810" s="8" t="s">
        <v>187</v>
      </c>
      <c r="M1810" s="8" t="s">
        <v>81</v>
      </c>
      <c r="N1810">
        <v>9</v>
      </c>
      <c r="O1810">
        <v>2024</v>
      </c>
      <c r="P1810" s="29" t="s">
        <v>731</v>
      </c>
      <c r="Q1810" t="s">
        <v>734</v>
      </c>
      <c r="R1810" t="s">
        <v>737</v>
      </c>
    </row>
    <row r="1811" spans="1:18" x14ac:dyDescent="0.25">
      <c r="A1811" s="9">
        <v>1810</v>
      </c>
      <c r="B1811" s="10">
        <v>45071</v>
      </c>
      <c r="C1811" s="11" t="s">
        <v>114</v>
      </c>
      <c r="D1811" s="11" t="s">
        <v>83</v>
      </c>
      <c r="E1811" s="11" t="s">
        <v>102</v>
      </c>
      <c r="F1811" s="11" t="s">
        <v>138</v>
      </c>
      <c r="G1811" s="9">
        <v>45</v>
      </c>
      <c r="H1811" s="26">
        <v>6500</v>
      </c>
      <c r="I1811" s="9">
        <v>0</v>
      </c>
      <c r="J1811" s="9">
        <f t="shared" si="56"/>
        <v>292500</v>
      </c>
      <c r="K1811" s="9">
        <f t="shared" si="57"/>
        <v>292500</v>
      </c>
      <c r="L1811" s="11" t="s">
        <v>76</v>
      </c>
      <c r="M1811" s="11" t="s">
        <v>91</v>
      </c>
      <c r="N1811">
        <v>5</v>
      </c>
      <c r="O1811">
        <v>2023</v>
      </c>
      <c r="P1811" s="29" t="s">
        <v>730</v>
      </c>
      <c r="Q1811" t="s">
        <v>736</v>
      </c>
      <c r="R1811" t="s">
        <v>737</v>
      </c>
    </row>
    <row r="1812" spans="1:18" x14ac:dyDescent="0.25">
      <c r="A1812" s="6">
        <v>1811</v>
      </c>
      <c r="B1812" s="7">
        <v>45334</v>
      </c>
      <c r="C1812" s="8" t="s">
        <v>97</v>
      </c>
      <c r="D1812" s="8" t="s">
        <v>83</v>
      </c>
      <c r="E1812" s="8" t="s">
        <v>111</v>
      </c>
      <c r="F1812" s="8" t="s">
        <v>192</v>
      </c>
      <c r="G1812" s="6">
        <v>12</v>
      </c>
      <c r="H1812" s="25">
        <v>100700</v>
      </c>
      <c r="I1812" s="6">
        <v>10</v>
      </c>
      <c r="J1812" s="6">
        <f t="shared" si="56"/>
        <v>1208400</v>
      </c>
      <c r="K1812" s="6">
        <f t="shared" si="57"/>
        <v>1087560</v>
      </c>
      <c r="L1812" s="8" t="s">
        <v>187</v>
      </c>
      <c r="M1812" s="31" t="s">
        <v>695</v>
      </c>
      <c r="N1812">
        <v>2</v>
      </c>
      <c r="O1812">
        <v>2024</v>
      </c>
      <c r="P1812" s="29" t="s">
        <v>729</v>
      </c>
      <c r="Q1812" t="s">
        <v>735</v>
      </c>
      <c r="R1812" t="s">
        <v>737</v>
      </c>
    </row>
    <row r="1813" spans="1:18" x14ac:dyDescent="0.25">
      <c r="A1813" s="9">
        <v>1812</v>
      </c>
      <c r="B1813" s="10">
        <v>45160</v>
      </c>
      <c r="C1813" s="11" t="s">
        <v>82</v>
      </c>
      <c r="D1813" s="11" t="s">
        <v>93</v>
      </c>
      <c r="E1813" s="11" t="s">
        <v>84</v>
      </c>
      <c r="F1813" s="11" t="s">
        <v>200</v>
      </c>
      <c r="G1813" s="9">
        <v>39</v>
      </c>
      <c r="H1813" s="26">
        <v>3400</v>
      </c>
      <c r="I1813" s="9">
        <v>10</v>
      </c>
      <c r="J1813" s="9">
        <f t="shared" si="56"/>
        <v>132600</v>
      </c>
      <c r="K1813" s="9">
        <f t="shared" si="57"/>
        <v>119340</v>
      </c>
      <c r="L1813" s="11" t="s">
        <v>107</v>
      </c>
      <c r="M1813" s="11" t="s">
        <v>81</v>
      </c>
      <c r="N1813">
        <v>8</v>
      </c>
      <c r="O1813">
        <v>2023</v>
      </c>
      <c r="P1813" s="29" t="s">
        <v>713</v>
      </c>
      <c r="Q1813" t="s">
        <v>734</v>
      </c>
      <c r="R1813" t="s">
        <v>739</v>
      </c>
    </row>
    <row r="1814" spans="1:18" x14ac:dyDescent="0.25">
      <c r="A1814" s="6">
        <v>1813</v>
      </c>
      <c r="B1814" s="7">
        <v>45068</v>
      </c>
      <c r="C1814" s="8" t="s">
        <v>82</v>
      </c>
      <c r="D1814" s="8" t="s">
        <v>73</v>
      </c>
      <c r="E1814" s="8" t="s">
        <v>74</v>
      </c>
      <c r="F1814" s="8" t="s">
        <v>94</v>
      </c>
      <c r="G1814" s="6">
        <v>27</v>
      </c>
      <c r="H1814" s="25">
        <v>39400</v>
      </c>
      <c r="I1814" s="6">
        <v>0</v>
      </c>
      <c r="J1814" s="6">
        <f t="shared" si="56"/>
        <v>1063800</v>
      </c>
      <c r="K1814" s="6">
        <f t="shared" si="57"/>
        <v>1063800</v>
      </c>
      <c r="L1814" s="8" t="s">
        <v>107</v>
      </c>
      <c r="M1814" s="8" t="s">
        <v>77</v>
      </c>
      <c r="N1814">
        <v>5</v>
      </c>
      <c r="O1814">
        <v>2023</v>
      </c>
      <c r="P1814" s="29" t="s">
        <v>730</v>
      </c>
      <c r="Q1814" t="s">
        <v>736</v>
      </c>
      <c r="R1814" t="s">
        <v>737</v>
      </c>
    </row>
    <row r="1815" spans="1:18" x14ac:dyDescent="0.25">
      <c r="A1815" s="9">
        <v>1814</v>
      </c>
      <c r="B1815" s="10">
        <v>45638</v>
      </c>
      <c r="C1815" s="11" t="s">
        <v>124</v>
      </c>
      <c r="D1815" s="11" t="s">
        <v>93</v>
      </c>
      <c r="E1815" s="11" t="s">
        <v>111</v>
      </c>
      <c r="F1815" s="11" t="s">
        <v>132</v>
      </c>
      <c r="G1815" s="9">
        <v>10</v>
      </c>
      <c r="H1815" s="26">
        <v>6800</v>
      </c>
      <c r="I1815" s="9">
        <v>10</v>
      </c>
      <c r="J1815" s="9">
        <f t="shared" si="56"/>
        <v>68000</v>
      </c>
      <c r="K1815" s="9">
        <f t="shared" si="57"/>
        <v>61200</v>
      </c>
      <c r="L1815" s="11" t="s">
        <v>76</v>
      </c>
      <c r="M1815" s="11" t="s">
        <v>96</v>
      </c>
      <c r="N1815">
        <v>12</v>
      </c>
      <c r="O1815">
        <v>2024</v>
      </c>
      <c r="P1815" s="29" t="s">
        <v>728</v>
      </c>
      <c r="Q1815" t="s">
        <v>733</v>
      </c>
      <c r="R1815" t="s">
        <v>739</v>
      </c>
    </row>
    <row r="1816" spans="1:18" x14ac:dyDescent="0.25">
      <c r="A1816" s="6">
        <v>1815</v>
      </c>
      <c r="B1816" s="7">
        <v>45619</v>
      </c>
      <c r="C1816" s="8" t="s">
        <v>108</v>
      </c>
      <c r="D1816" s="8" t="s">
        <v>83</v>
      </c>
      <c r="E1816" s="8" t="s">
        <v>74</v>
      </c>
      <c r="F1816" s="8" t="s">
        <v>118</v>
      </c>
      <c r="G1816" s="6">
        <v>25</v>
      </c>
      <c r="H1816" s="25">
        <v>30700</v>
      </c>
      <c r="I1816" s="6">
        <v>5</v>
      </c>
      <c r="J1816" s="6">
        <f t="shared" si="56"/>
        <v>767500</v>
      </c>
      <c r="K1816" s="6">
        <f t="shared" si="57"/>
        <v>729125</v>
      </c>
      <c r="L1816" s="8" t="s">
        <v>76</v>
      </c>
      <c r="M1816" s="8" t="s">
        <v>96</v>
      </c>
      <c r="N1816">
        <v>11</v>
      </c>
      <c r="O1816">
        <v>2024</v>
      </c>
      <c r="P1816" s="29" t="s">
        <v>714</v>
      </c>
      <c r="Q1816" t="s">
        <v>733</v>
      </c>
      <c r="R1816" t="s">
        <v>737</v>
      </c>
    </row>
    <row r="1817" spans="1:18" x14ac:dyDescent="0.25">
      <c r="A1817" s="9">
        <v>1816</v>
      </c>
      <c r="B1817" s="10">
        <v>45483</v>
      </c>
      <c r="C1817" s="11" t="s">
        <v>97</v>
      </c>
      <c r="D1817" s="11" t="s">
        <v>109</v>
      </c>
      <c r="E1817" s="11" t="s">
        <v>79</v>
      </c>
      <c r="F1817" s="11" t="s">
        <v>172</v>
      </c>
      <c r="G1817" s="9">
        <v>7</v>
      </c>
      <c r="H1817" s="26">
        <v>27600</v>
      </c>
      <c r="I1817" s="9">
        <v>20</v>
      </c>
      <c r="J1817" s="9">
        <f t="shared" si="56"/>
        <v>193200</v>
      </c>
      <c r="K1817" s="9">
        <f t="shared" si="57"/>
        <v>154560</v>
      </c>
      <c r="L1817" s="11" t="s">
        <v>187</v>
      </c>
      <c r="M1817" s="11" t="s">
        <v>81</v>
      </c>
      <c r="N1817">
        <v>7</v>
      </c>
      <c r="O1817">
        <v>2024</v>
      </c>
      <c r="P1817" s="29" t="s">
        <v>712</v>
      </c>
      <c r="Q1817" t="s">
        <v>734</v>
      </c>
      <c r="R1817" t="s">
        <v>739</v>
      </c>
    </row>
    <row r="1818" spans="1:18" x14ac:dyDescent="0.25">
      <c r="A1818" s="6">
        <v>1817</v>
      </c>
      <c r="B1818" s="7">
        <v>45121</v>
      </c>
      <c r="C1818" s="8" t="s">
        <v>82</v>
      </c>
      <c r="D1818" s="8" t="s">
        <v>117</v>
      </c>
      <c r="E1818" s="8" t="s">
        <v>102</v>
      </c>
      <c r="F1818" s="8" t="s">
        <v>157</v>
      </c>
      <c r="G1818" s="6">
        <v>49</v>
      </c>
      <c r="H1818" s="25">
        <v>13700</v>
      </c>
      <c r="I1818" s="6">
        <v>20</v>
      </c>
      <c r="J1818" s="6">
        <f t="shared" si="56"/>
        <v>671300</v>
      </c>
      <c r="K1818" s="6">
        <f t="shared" si="57"/>
        <v>537040</v>
      </c>
      <c r="L1818" s="8" t="s">
        <v>76</v>
      </c>
      <c r="M1818" s="8" t="s">
        <v>81</v>
      </c>
      <c r="N1818">
        <v>7</v>
      </c>
      <c r="O1818">
        <v>2023</v>
      </c>
      <c r="P1818" s="29" t="s">
        <v>724</v>
      </c>
      <c r="Q1818" t="s">
        <v>734</v>
      </c>
      <c r="R1818" t="s">
        <v>737</v>
      </c>
    </row>
    <row r="1819" spans="1:18" x14ac:dyDescent="0.25">
      <c r="A1819" s="9">
        <v>1818</v>
      </c>
      <c r="B1819" s="10">
        <v>44936</v>
      </c>
      <c r="C1819" s="11" t="s">
        <v>114</v>
      </c>
      <c r="D1819" s="11" t="s">
        <v>93</v>
      </c>
      <c r="E1819" s="11" t="s">
        <v>84</v>
      </c>
      <c r="F1819" s="11" t="s">
        <v>90</v>
      </c>
      <c r="G1819" s="9">
        <v>50</v>
      </c>
      <c r="H1819" s="26">
        <v>1900</v>
      </c>
      <c r="I1819" s="9">
        <v>15</v>
      </c>
      <c r="J1819" s="9">
        <f t="shared" si="56"/>
        <v>95000</v>
      </c>
      <c r="K1819" s="9">
        <f t="shared" si="57"/>
        <v>80750</v>
      </c>
      <c r="L1819" s="11" t="s">
        <v>76</v>
      </c>
      <c r="M1819" s="11" t="s">
        <v>96</v>
      </c>
      <c r="N1819">
        <v>1</v>
      </c>
      <c r="O1819">
        <v>2023</v>
      </c>
      <c r="P1819" s="29" t="s">
        <v>721</v>
      </c>
      <c r="Q1819" t="s">
        <v>735</v>
      </c>
      <c r="R1819" t="s">
        <v>739</v>
      </c>
    </row>
    <row r="1820" spans="1:18" x14ac:dyDescent="0.25">
      <c r="A1820" s="6">
        <v>1819</v>
      </c>
      <c r="B1820" s="7">
        <v>45232</v>
      </c>
      <c r="C1820" s="8" t="s">
        <v>78</v>
      </c>
      <c r="D1820" s="8" t="s">
        <v>109</v>
      </c>
      <c r="E1820" s="8" t="s">
        <v>111</v>
      </c>
      <c r="F1820" s="8" t="s">
        <v>156</v>
      </c>
      <c r="G1820" s="6">
        <v>43</v>
      </c>
      <c r="H1820" s="25">
        <v>37800</v>
      </c>
      <c r="I1820" s="6">
        <v>10</v>
      </c>
      <c r="J1820" s="6">
        <f t="shared" si="56"/>
        <v>1625400</v>
      </c>
      <c r="K1820" s="6">
        <f t="shared" si="57"/>
        <v>1462860</v>
      </c>
      <c r="L1820" s="8" t="s">
        <v>107</v>
      </c>
      <c r="M1820" s="8" t="s">
        <v>91</v>
      </c>
      <c r="N1820">
        <v>11</v>
      </c>
      <c r="O1820">
        <v>2023</v>
      </c>
      <c r="P1820" s="29" t="s">
        <v>718</v>
      </c>
      <c r="Q1820" t="s">
        <v>733</v>
      </c>
      <c r="R1820" t="s">
        <v>737</v>
      </c>
    </row>
    <row r="1821" spans="1:18" x14ac:dyDescent="0.25">
      <c r="A1821" s="9">
        <v>1820</v>
      </c>
      <c r="B1821" s="10">
        <v>45414</v>
      </c>
      <c r="C1821" s="11" t="s">
        <v>114</v>
      </c>
      <c r="D1821" s="11" t="s">
        <v>73</v>
      </c>
      <c r="E1821" s="11" t="s">
        <v>79</v>
      </c>
      <c r="F1821" s="11" t="s">
        <v>131</v>
      </c>
      <c r="G1821" s="9">
        <v>49</v>
      </c>
      <c r="H1821" s="26">
        <v>133000</v>
      </c>
      <c r="I1821" s="9">
        <v>0</v>
      </c>
      <c r="J1821" s="9">
        <f t="shared" si="56"/>
        <v>6517000</v>
      </c>
      <c r="K1821" s="9">
        <f t="shared" si="57"/>
        <v>6517000</v>
      </c>
      <c r="L1821" s="11" t="s">
        <v>76</v>
      </c>
      <c r="M1821" s="11" t="s">
        <v>81</v>
      </c>
      <c r="N1821">
        <v>5</v>
      </c>
      <c r="O1821">
        <v>2024</v>
      </c>
      <c r="P1821" s="29" t="s">
        <v>732</v>
      </c>
      <c r="Q1821" t="s">
        <v>736</v>
      </c>
      <c r="R1821" t="s">
        <v>737</v>
      </c>
    </row>
    <row r="1822" spans="1:18" x14ac:dyDescent="0.25">
      <c r="A1822" s="6">
        <v>1821</v>
      </c>
      <c r="B1822" s="7">
        <v>45010</v>
      </c>
      <c r="C1822" s="8" t="s">
        <v>106</v>
      </c>
      <c r="D1822" s="8" t="s">
        <v>93</v>
      </c>
      <c r="E1822" s="8" t="s">
        <v>74</v>
      </c>
      <c r="F1822" s="8" t="s">
        <v>94</v>
      </c>
      <c r="G1822" s="6">
        <v>5</v>
      </c>
      <c r="H1822" s="25">
        <v>31900</v>
      </c>
      <c r="I1822" s="6">
        <v>10</v>
      </c>
      <c r="J1822" s="6">
        <f t="shared" si="56"/>
        <v>159500</v>
      </c>
      <c r="K1822" s="6">
        <f t="shared" si="57"/>
        <v>143550</v>
      </c>
      <c r="L1822" s="8" t="s">
        <v>76</v>
      </c>
      <c r="M1822" s="8" t="s">
        <v>77</v>
      </c>
      <c r="N1822">
        <v>3</v>
      </c>
      <c r="O1822">
        <v>2023</v>
      </c>
      <c r="P1822" s="29" t="s">
        <v>719</v>
      </c>
      <c r="Q1822" t="s">
        <v>735</v>
      </c>
      <c r="R1822" t="s">
        <v>739</v>
      </c>
    </row>
    <row r="1823" spans="1:18" x14ac:dyDescent="0.25">
      <c r="A1823" s="9">
        <v>1822</v>
      </c>
      <c r="B1823" s="10">
        <v>45590</v>
      </c>
      <c r="C1823" s="11" t="s">
        <v>101</v>
      </c>
      <c r="D1823" s="11" t="s">
        <v>73</v>
      </c>
      <c r="E1823" s="11" t="s">
        <v>74</v>
      </c>
      <c r="F1823" s="11" t="s">
        <v>118</v>
      </c>
      <c r="G1823" s="9">
        <v>21</v>
      </c>
      <c r="H1823" s="26">
        <v>31200</v>
      </c>
      <c r="I1823" s="9">
        <v>20</v>
      </c>
      <c r="J1823" s="9">
        <f t="shared" si="56"/>
        <v>655200</v>
      </c>
      <c r="K1823" s="9">
        <f t="shared" si="57"/>
        <v>524160</v>
      </c>
      <c r="L1823" s="11" t="s">
        <v>76</v>
      </c>
      <c r="M1823" s="11" t="s">
        <v>91</v>
      </c>
      <c r="N1823">
        <v>10</v>
      </c>
      <c r="O1823">
        <v>2024</v>
      </c>
      <c r="P1823" s="29" t="s">
        <v>709</v>
      </c>
      <c r="Q1823" t="s">
        <v>733</v>
      </c>
      <c r="R1823" t="s">
        <v>737</v>
      </c>
    </row>
    <row r="1824" spans="1:18" x14ac:dyDescent="0.25">
      <c r="A1824" s="9">
        <v>1823</v>
      </c>
      <c r="B1824" s="10">
        <v>44933</v>
      </c>
      <c r="C1824" s="11" t="s">
        <v>82</v>
      </c>
      <c r="D1824" s="11" t="s">
        <v>109</v>
      </c>
      <c r="E1824" s="11" t="s">
        <v>102</v>
      </c>
      <c r="F1824" s="11" t="s">
        <v>197</v>
      </c>
      <c r="G1824" s="9">
        <v>41</v>
      </c>
      <c r="H1824" s="26">
        <v>4000</v>
      </c>
      <c r="I1824" s="9">
        <v>0</v>
      </c>
      <c r="J1824" s="9">
        <f t="shared" si="56"/>
        <v>164000</v>
      </c>
      <c r="K1824" s="9">
        <f t="shared" si="57"/>
        <v>164000</v>
      </c>
      <c r="L1824" s="11" t="s">
        <v>76</v>
      </c>
      <c r="M1824" s="11" t="s">
        <v>96</v>
      </c>
      <c r="N1824">
        <v>1</v>
      </c>
      <c r="O1824">
        <v>2023</v>
      </c>
      <c r="P1824" s="29" t="s">
        <v>721</v>
      </c>
      <c r="Q1824" t="s">
        <v>735</v>
      </c>
      <c r="R1824" t="s">
        <v>739</v>
      </c>
    </row>
    <row r="1825" spans="1:18" x14ac:dyDescent="0.25">
      <c r="A1825" s="6">
        <v>1824</v>
      </c>
      <c r="B1825" s="7">
        <v>45579</v>
      </c>
      <c r="C1825" s="8" t="s">
        <v>101</v>
      </c>
      <c r="D1825" s="8" t="s">
        <v>117</v>
      </c>
      <c r="E1825" s="8" t="s">
        <v>79</v>
      </c>
      <c r="F1825" s="8" t="s">
        <v>172</v>
      </c>
      <c r="G1825" s="6">
        <v>39</v>
      </c>
      <c r="H1825" s="25">
        <v>25300</v>
      </c>
      <c r="I1825" s="6">
        <v>0</v>
      </c>
      <c r="J1825" s="6">
        <f t="shared" si="56"/>
        <v>986700</v>
      </c>
      <c r="K1825" s="6">
        <f t="shared" si="57"/>
        <v>986700</v>
      </c>
      <c r="L1825" s="8" t="s">
        <v>76</v>
      </c>
      <c r="M1825" s="8" t="s">
        <v>81</v>
      </c>
      <c r="N1825">
        <v>10</v>
      </c>
      <c r="O1825">
        <v>2024</v>
      </c>
      <c r="P1825" s="29" t="s">
        <v>709</v>
      </c>
      <c r="Q1825" t="s">
        <v>733</v>
      </c>
      <c r="R1825" t="s">
        <v>737</v>
      </c>
    </row>
    <row r="1826" spans="1:18" x14ac:dyDescent="0.25">
      <c r="A1826" s="9">
        <v>1825</v>
      </c>
      <c r="B1826" s="10">
        <v>45386</v>
      </c>
      <c r="C1826" s="11" t="s">
        <v>108</v>
      </c>
      <c r="D1826" s="11" t="s">
        <v>83</v>
      </c>
      <c r="E1826" s="11" t="s">
        <v>111</v>
      </c>
      <c r="F1826" s="11" t="s">
        <v>166</v>
      </c>
      <c r="G1826" s="9">
        <v>23</v>
      </c>
      <c r="H1826" s="26">
        <v>29400</v>
      </c>
      <c r="I1826" s="9">
        <v>15</v>
      </c>
      <c r="J1826" s="9">
        <f t="shared" si="56"/>
        <v>676200</v>
      </c>
      <c r="K1826" s="9">
        <f t="shared" si="57"/>
        <v>574770</v>
      </c>
      <c r="L1826" s="11" t="s">
        <v>76</v>
      </c>
      <c r="M1826" s="11" t="s">
        <v>77</v>
      </c>
      <c r="N1826">
        <v>4</v>
      </c>
      <c r="O1826">
        <v>2024</v>
      </c>
      <c r="P1826" s="29" t="s">
        <v>722</v>
      </c>
      <c r="Q1826" t="s">
        <v>736</v>
      </c>
      <c r="R1826" t="s">
        <v>737</v>
      </c>
    </row>
    <row r="1827" spans="1:18" x14ac:dyDescent="0.25">
      <c r="A1827" s="6">
        <v>1826</v>
      </c>
      <c r="B1827" s="7">
        <v>45430</v>
      </c>
      <c r="C1827" s="8" t="s">
        <v>119</v>
      </c>
      <c r="D1827" s="8" t="s">
        <v>83</v>
      </c>
      <c r="E1827" s="8" t="s">
        <v>79</v>
      </c>
      <c r="F1827" s="8" t="s">
        <v>122</v>
      </c>
      <c r="G1827" s="6">
        <v>39</v>
      </c>
      <c r="H1827" s="25">
        <v>18700</v>
      </c>
      <c r="I1827" s="6">
        <v>0</v>
      </c>
      <c r="J1827" s="6">
        <f t="shared" si="56"/>
        <v>729300</v>
      </c>
      <c r="K1827" s="6">
        <f t="shared" si="57"/>
        <v>729300</v>
      </c>
      <c r="L1827" s="8" t="s">
        <v>76</v>
      </c>
      <c r="M1827" s="8" t="s">
        <v>96</v>
      </c>
      <c r="N1827">
        <v>5</v>
      </c>
      <c r="O1827">
        <v>2024</v>
      </c>
      <c r="P1827" s="29" t="s">
        <v>732</v>
      </c>
      <c r="Q1827" t="s">
        <v>736</v>
      </c>
      <c r="R1827" t="s">
        <v>737</v>
      </c>
    </row>
    <row r="1828" spans="1:18" x14ac:dyDescent="0.25">
      <c r="A1828" s="9">
        <v>1827</v>
      </c>
      <c r="B1828" s="10">
        <v>45598</v>
      </c>
      <c r="C1828" s="11" t="s">
        <v>82</v>
      </c>
      <c r="D1828" s="11" t="s">
        <v>93</v>
      </c>
      <c r="E1828" s="11" t="s">
        <v>74</v>
      </c>
      <c r="F1828" s="11" t="s">
        <v>118</v>
      </c>
      <c r="G1828" s="9">
        <v>13</v>
      </c>
      <c r="H1828" s="26">
        <v>32000</v>
      </c>
      <c r="I1828" s="9">
        <v>0</v>
      </c>
      <c r="J1828" s="9">
        <f t="shared" si="56"/>
        <v>416000</v>
      </c>
      <c r="K1828" s="9">
        <f t="shared" si="57"/>
        <v>416000</v>
      </c>
      <c r="L1828" s="11" t="s">
        <v>76</v>
      </c>
      <c r="M1828" s="11" t="s">
        <v>81</v>
      </c>
      <c r="N1828">
        <v>11</v>
      </c>
      <c r="O1828">
        <v>2024</v>
      </c>
      <c r="P1828" s="29" t="s">
        <v>714</v>
      </c>
      <c r="Q1828" t="s">
        <v>733</v>
      </c>
      <c r="R1828" t="s">
        <v>737</v>
      </c>
    </row>
    <row r="1829" spans="1:18" x14ac:dyDescent="0.25">
      <c r="A1829" s="6">
        <v>1828</v>
      </c>
      <c r="B1829" s="7">
        <v>45062</v>
      </c>
      <c r="C1829" s="8" t="s">
        <v>88</v>
      </c>
      <c r="D1829" s="8" t="s">
        <v>117</v>
      </c>
      <c r="E1829" s="8" t="s">
        <v>84</v>
      </c>
      <c r="F1829" s="8" t="s">
        <v>90</v>
      </c>
      <c r="G1829" s="6">
        <v>26</v>
      </c>
      <c r="H1829" s="25">
        <v>1800</v>
      </c>
      <c r="I1829" s="6">
        <v>5</v>
      </c>
      <c r="J1829" s="6">
        <f t="shared" si="56"/>
        <v>46800</v>
      </c>
      <c r="K1829" s="6">
        <f t="shared" si="57"/>
        <v>44460</v>
      </c>
      <c r="L1829" s="8" t="s">
        <v>76</v>
      </c>
      <c r="M1829" s="8" t="s">
        <v>77</v>
      </c>
      <c r="N1829">
        <v>5</v>
      </c>
      <c r="O1829">
        <v>2023</v>
      </c>
      <c r="P1829" s="29" t="s">
        <v>730</v>
      </c>
      <c r="Q1829" t="s">
        <v>736</v>
      </c>
      <c r="R1829" t="s">
        <v>738</v>
      </c>
    </row>
    <row r="1830" spans="1:18" x14ac:dyDescent="0.25">
      <c r="A1830" s="9">
        <v>1829</v>
      </c>
      <c r="B1830" s="10">
        <v>45231</v>
      </c>
      <c r="C1830" s="11" t="s">
        <v>106</v>
      </c>
      <c r="D1830" s="11" t="s">
        <v>109</v>
      </c>
      <c r="E1830" s="11" t="s">
        <v>79</v>
      </c>
      <c r="F1830" s="11" t="s">
        <v>131</v>
      </c>
      <c r="G1830" s="9">
        <v>1</v>
      </c>
      <c r="H1830" s="26">
        <v>126100</v>
      </c>
      <c r="I1830" s="9">
        <v>20</v>
      </c>
      <c r="J1830" s="9">
        <f t="shared" si="56"/>
        <v>126100</v>
      </c>
      <c r="K1830" s="9">
        <f t="shared" si="57"/>
        <v>100880</v>
      </c>
      <c r="L1830" s="11" t="s">
        <v>76</v>
      </c>
      <c r="M1830" s="11" t="s">
        <v>81</v>
      </c>
      <c r="N1830">
        <v>11</v>
      </c>
      <c r="O1830">
        <v>2023</v>
      </c>
      <c r="P1830" s="29" t="s">
        <v>718</v>
      </c>
      <c r="Q1830" t="s">
        <v>733</v>
      </c>
      <c r="R1830" t="s">
        <v>739</v>
      </c>
    </row>
    <row r="1831" spans="1:18" x14ac:dyDescent="0.25">
      <c r="A1831" s="6">
        <v>1830</v>
      </c>
      <c r="B1831" s="7">
        <v>45507</v>
      </c>
      <c r="C1831" s="8" t="s">
        <v>106</v>
      </c>
      <c r="D1831" s="8" t="s">
        <v>93</v>
      </c>
      <c r="E1831" s="8" t="s">
        <v>74</v>
      </c>
      <c r="F1831" s="8" t="s">
        <v>142</v>
      </c>
      <c r="G1831" s="6">
        <v>35</v>
      </c>
      <c r="H1831" s="25">
        <v>12200</v>
      </c>
      <c r="I1831" s="6">
        <v>5</v>
      </c>
      <c r="J1831" s="6">
        <f t="shared" si="56"/>
        <v>427000</v>
      </c>
      <c r="K1831" s="6">
        <f t="shared" si="57"/>
        <v>405650</v>
      </c>
      <c r="L1831" s="8" t="s">
        <v>76</v>
      </c>
      <c r="M1831" s="8" t="s">
        <v>96</v>
      </c>
      <c r="N1831">
        <v>8</v>
      </c>
      <c r="O1831">
        <v>2024</v>
      </c>
      <c r="P1831" s="29" t="s">
        <v>710</v>
      </c>
      <c r="Q1831" t="s">
        <v>734</v>
      </c>
      <c r="R1831" t="s">
        <v>737</v>
      </c>
    </row>
    <row r="1832" spans="1:18" x14ac:dyDescent="0.25">
      <c r="A1832" s="9">
        <v>1831</v>
      </c>
      <c r="B1832" s="10">
        <v>45051</v>
      </c>
      <c r="C1832" s="11" t="s">
        <v>106</v>
      </c>
      <c r="D1832" s="11" t="s">
        <v>109</v>
      </c>
      <c r="E1832" s="11" t="s">
        <v>111</v>
      </c>
      <c r="F1832" s="11" t="s">
        <v>112</v>
      </c>
      <c r="G1832" s="9">
        <v>35</v>
      </c>
      <c r="H1832" s="26">
        <v>73000</v>
      </c>
      <c r="I1832" s="6">
        <v>0</v>
      </c>
      <c r="J1832" s="9">
        <f t="shared" si="56"/>
        <v>2555000</v>
      </c>
      <c r="K1832" s="9">
        <f t="shared" si="57"/>
        <v>2555000</v>
      </c>
      <c r="L1832" s="11" t="s">
        <v>76</v>
      </c>
      <c r="M1832" s="11" t="s">
        <v>96</v>
      </c>
      <c r="N1832">
        <v>5</v>
      </c>
      <c r="O1832">
        <v>2023</v>
      </c>
      <c r="P1832" s="29" t="s">
        <v>730</v>
      </c>
      <c r="Q1832" t="s">
        <v>736</v>
      </c>
      <c r="R1832" t="s">
        <v>737</v>
      </c>
    </row>
    <row r="1833" spans="1:18" x14ac:dyDescent="0.25">
      <c r="A1833" s="6">
        <v>1832</v>
      </c>
      <c r="B1833" s="7">
        <v>44977</v>
      </c>
      <c r="C1833" s="8" t="s">
        <v>108</v>
      </c>
      <c r="D1833" s="8" t="s">
        <v>93</v>
      </c>
      <c r="E1833" s="8" t="s">
        <v>74</v>
      </c>
      <c r="F1833" s="8" t="s">
        <v>94</v>
      </c>
      <c r="G1833" s="6">
        <v>26</v>
      </c>
      <c r="H1833" s="25">
        <v>32700</v>
      </c>
      <c r="I1833" s="6">
        <v>20</v>
      </c>
      <c r="J1833" s="6">
        <f t="shared" si="56"/>
        <v>850200</v>
      </c>
      <c r="K1833" s="6">
        <f t="shared" si="57"/>
        <v>680160</v>
      </c>
      <c r="L1833" s="8" t="s">
        <v>76</v>
      </c>
      <c r="M1833" s="8" t="s">
        <v>77</v>
      </c>
      <c r="N1833">
        <v>2</v>
      </c>
      <c r="O1833">
        <v>2023</v>
      </c>
      <c r="P1833" s="29" t="s">
        <v>717</v>
      </c>
      <c r="Q1833" t="s">
        <v>735</v>
      </c>
      <c r="R1833" t="s">
        <v>737</v>
      </c>
    </row>
    <row r="1834" spans="1:18" x14ac:dyDescent="0.25">
      <c r="A1834" s="9">
        <v>1833</v>
      </c>
      <c r="B1834" s="10">
        <v>45111</v>
      </c>
      <c r="C1834" s="11" t="s">
        <v>114</v>
      </c>
      <c r="D1834" s="11" t="s">
        <v>117</v>
      </c>
      <c r="E1834" s="11" t="s">
        <v>74</v>
      </c>
      <c r="F1834" s="11" t="s">
        <v>94</v>
      </c>
      <c r="G1834" s="9">
        <v>14</v>
      </c>
      <c r="H1834" s="26">
        <v>33600</v>
      </c>
      <c r="I1834" s="9">
        <v>5</v>
      </c>
      <c r="J1834" s="9">
        <f t="shared" si="56"/>
        <v>470400</v>
      </c>
      <c r="K1834" s="9">
        <f t="shared" si="57"/>
        <v>446880</v>
      </c>
      <c r="L1834" s="11" t="s">
        <v>187</v>
      </c>
      <c r="M1834" s="11" t="s">
        <v>77</v>
      </c>
      <c r="N1834">
        <v>7</v>
      </c>
      <c r="O1834">
        <v>2023</v>
      </c>
      <c r="P1834" s="29" t="s">
        <v>724</v>
      </c>
      <c r="Q1834" t="s">
        <v>734</v>
      </c>
      <c r="R1834" t="s">
        <v>737</v>
      </c>
    </row>
    <row r="1835" spans="1:18" x14ac:dyDescent="0.25">
      <c r="A1835" s="9">
        <v>1834</v>
      </c>
      <c r="B1835" s="10">
        <v>45408</v>
      </c>
      <c r="C1835" s="11" t="s">
        <v>82</v>
      </c>
      <c r="D1835" s="11" t="s">
        <v>73</v>
      </c>
      <c r="E1835" s="11" t="s">
        <v>84</v>
      </c>
      <c r="F1835" s="11" t="s">
        <v>85</v>
      </c>
      <c r="G1835" s="9">
        <v>32</v>
      </c>
      <c r="H1835" s="26">
        <v>5900</v>
      </c>
      <c r="I1835" s="9">
        <v>0</v>
      </c>
      <c r="J1835" s="9">
        <f t="shared" si="56"/>
        <v>188800</v>
      </c>
      <c r="K1835" s="9">
        <f t="shared" si="57"/>
        <v>188800</v>
      </c>
      <c r="L1835" s="11" t="s">
        <v>187</v>
      </c>
      <c r="M1835" s="11" t="s">
        <v>81</v>
      </c>
      <c r="N1835">
        <v>4</v>
      </c>
      <c r="O1835">
        <v>2024</v>
      </c>
      <c r="P1835" s="29" t="s">
        <v>722</v>
      </c>
      <c r="Q1835" t="s">
        <v>736</v>
      </c>
      <c r="R1835" t="s">
        <v>739</v>
      </c>
    </row>
    <row r="1836" spans="1:18" x14ac:dyDescent="0.25">
      <c r="A1836" s="6">
        <v>1835</v>
      </c>
      <c r="B1836" s="7">
        <v>45003</v>
      </c>
      <c r="C1836" s="8" t="s">
        <v>78</v>
      </c>
      <c r="D1836" s="8" t="s">
        <v>109</v>
      </c>
      <c r="E1836" s="8" t="s">
        <v>79</v>
      </c>
      <c r="F1836" s="8" t="s">
        <v>172</v>
      </c>
      <c r="G1836" s="6">
        <v>38</v>
      </c>
      <c r="H1836" s="25">
        <v>28100</v>
      </c>
      <c r="I1836" s="6">
        <v>0</v>
      </c>
      <c r="J1836" s="6">
        <f t="shared" si="56"/>
        <v>1067800</v>
      </c>
      <c r="K1836" s="6">
        <f t="shared" si="57"/>
        <v>1067800</v>
      </c>
      <c r="L1836" s="8" t="s">
        <v>76</v>
      </c>
      <c r="M1836" s="8" t="s">
        <v>81</v>
      </c>
      <c r="N1836">
        <v>3</v>
      </c>
      <c r="O1836">
        <v>2023</v>
      </c>
      <c r="P1836" s="29" t="s">
        <v>719</v>
      </c>
      <c r="Q1836" t="s">
        <v>735</v>
      </c>
      <c r="R1836" t="s">
        <v>737</v>
      </c>
    </row>
    <row r="1837" spans="1:18" x14ac:dyDescent="0.25">
      <c r="A1837" s="9">
        <v>1836</v>
      </c>
      <c r="B1837" s="10">
        <v>45422</v>
      </c>
      <c r="C1837" s="11" t="s">
        <v>106</v>
      </c>
      <c r="D1837" s="11" t="s">
        <v>117</v>
      </c>
      <c r="E1837" s="11" t="s">
        <v>102</v>
      </c>
      <c r="F1837" s="11" t="s">
        <v>151</v>
      </c>
      <c r="G1837" s="9">
        <v>35</v>
      </c>
      <c r="H1837" s="26">
        <v>7100</v>
      </c>
      <c r="I1837" s="9">
        <v>20</v>
      </c>
      <c r="J1837" s="9">
        <f t="shared" si="56"/>
        <v>248500</v>
      </c>
      <c r="K1837" s="9">
        <f t="shared" si="57"/>
        <v>198800</v>
      </c>
      <c r="L1837" s="11" t="s">
        <v>76</v>
      </c>
      <c r="M1837" s="31" t="s">
        <v>695</v>
      </c>
      <c r="N1837">
        <v>5</v>
      </c>
      <c r="O1837">
        <v>2024</v>
      </c>
      <c r="P1837" s="29" t="s">
        <v>732</v>
      </c>
      <c r="Q1837" t="s">
        <v>736</v>
      </c>
      <c r="R1837" t="s">
        <v>739</v>
      </c>
    </row>
    <row r="1838" spans="1:18" x14ac:dyDescent="0.25">
      <c r="A1838" s="6">
        <v>1837</v>
      </c>
      <c r="B1838" s="7">
        <v>45394</v>
      </c>
      <c r="C1838" s="8" t="s">
        <v>124</v>
      </c>
      <c r="D1838" s="8" t="s">
        <v>83</v>
      </c>
      <c r="E1838" s="8" t="s">
        <v>84</v>
      </c>
      <c r="F1838" s="8" t="s">
        <v>148</v>
      </c>
      <c r="G1838" s="6">
        <v>15</v>
      </c>
      <c r="H1838" s="25">
        <v>5400</v>
      </c>
      <c r="I1838" s="6">
        <v>0</v>
      </c>
      <c r="J1838" s="6">
        <f t="shared" si="56"/>
        <v>81000</v>
      </c>
      <c r="K1838" s="6">
        <f t="shared" si="57"/>
        <v>81000</v>
      </c>
      <c r="L1838" s="8" t="s">
        <v>107</v>
      </c>
      <c r="M1838" s="8" t="s">
        <v>81</v>
      </c>
      <c r="N1838">
        <v>4</v>
      </c>
      <c r="O1838">
        <v>2024</v>
      </c>
      <c r="P1838" s="29" t="s">
        <v>722</v>
      </c>
      <c r="Q1838" t="s">
        <v>736</v>
      </c>
      <c r="R1838" t="s">
        <v>739</v>
      </c>
    </row>
    <row r="1839" spans="1:18" x14ac:dyDescent="0.25">
      <c r="A1839" s="9">
        <v>1838</v>
      </c>
      <c r="B1839" s="10">
        <v>45602</v>
      </c>
      <c r="C1839" s="11" t="s">
        <v>108</v>
      </c>
      <c r="D1839" s="11" t="s">
        <v>93</v>
      </c>
      <c r="E1839" s="11" t="s">
        <v>74</v>
      </c>
      <c r="F1839" s="11" t="s">
        <v>140</v>
      </c>
      <c r="G1839" s="9">
        <v>15</v>
      </c>
      <c r="H1839" s="26">
        <v>4100</v>
      </c>
      <c r="I1839" s="9">
        <v>15</v>
      </c>
      <c r="J1839" s="9">
        <f t="shared" si="56"/>
        <v>61500</v>
      </c>
      <c r="K1839" s="9">
        <f t="shared" si="57"/>
        <v>52275</v>
      </c>
      <c r="L1839" s="11" t="s">
        <v>76</v>
      </c>
      <c r="M1839" s="11" t="s">
        <v>91</v>
      </c>
      <c r="N1839">
        <v>11</v>
      </c>
      <c r="O1839">
        <v>2024</v>
      </c>
      <c r="P1839" s="29" t="s">
        <v>714</v>
      </c>
      <c r="Q1839" t="s">
        <v>733</v>
      </c>
      <c r="R1839" t="s">
        <v>739</v>
      </c>
    </row>
    <row r="1840" spans="1:18" x14ac:dyDescent="0.25">
      <c r="A1840" s="6">
        <v>1839</v>
      </c>
      <c r="B1840" s="7">
        <v>44950</v>
      </c>
      <c r="C1840" s="8" t="s">
        <v>119</v>
      </c>
      <c r="D1840" s="8" t="s">
        <v>93</v>
      </c>
      <c r="E1840" s="8" t="s">
        <v>102</v>
      </c>
      <c r="F1840" s="8" t="s">
        <v>151</v>
      </c>
      <c r="G1840" s="6">
        <v>8</v>
      </c>
      <c r="H1840" s="25">
        <v>7500</v>
      </c>
      <c r="I1840" s="6">
        <v>5</v>
      </c>
      <c r="J1840" s="6">
        <f t="shared" si="56"/>
        <v>60000</v>
      </c>
      <c r="K1840" s="6">
        <f t="shared" si="57"/>
        <v>57000</v>
      </c>
      <c r="L1840" s="8" t="s">
        <v>76</v>
      </c>
      <c r="M1840" s="8" t="s">
        <v>77</v>
      </c>
      <c r="N1840">
        <v>1</v>
      </c>
      <c r="O1840">
        <v>2023</v>
      </c>
      <c r="P1840" s="29" t="s">
        <v>721</v>
      </c>
      <c r="Q1840" t="s">
        <v>735</v>
      </c>
      <c r="R1840" t="s">
        <v>739</v>
      </c>
    </row>
    <row r="1841" spans="1:18" x14ac:dyDescent="0.25">
      <c r="A1841" s="9">
        <v>1840</v>
      </c>
      <c r="B1841" s="10">
        <v>45435</v>
      </c>
      <c r="C1841" s="11" t="s">
        <v>106</v>
      </c>
      <c r="D1841" s="11" t="s">
        <v>83</v>
      </c>
      <c r="E1841" s="11" t="s">
        <v>102</v>
      </c>
      <c r="F1841" s="11" t="s">
        <v>103</v>
      </c>
      <c r="G1841" s="9">
        <v>1</v>
      </c>
      <c r="H1841" s="26">
        <v>10900</v>
      </c>
      <c r="I1841" s="9">
        <v>5</v>
      </c>
      <c r="J1841" s="9">
        <f t="shared" si="56"/>
        <v>10900</v>
      </c>
      <c r="K1841" s="9">
        <f t="shared" si="57"/>
        <v>10355</v>
      </c>
      <c r="L1841" s="11" t="s">
        <v>76</v>
      </c>
      <c r="M1841" s="11" t="s">
        <v>77</v>
      </c>
      <c r="N1841">
        <v>5</v>
      </c>
      <c r="O1841">
        <v>2024</v>
      </c>
      <c r="P1841" s="29" t="s">
        <v>732</v>
      </c>
      <c r="Q1841" t="s">
        <v>736</v>
      </c>
      <c r="R1841" t="s">
        <v>738</v>
      </c>
    </row>
    <row r="1842" spans="1:18" x14ac:dyDescent="0.25">
      <c r="A1842" s="6">
        <v>1841</v>
      </c>
      <c r="B1842" s="7">
        <v>45480</v>
      </c>
      <c r="C1842" s="8" t="s">
        <v>108</v>
      </c>
      <c r="D1842" s="8" t="s">
        <v>73</v>
      </c>
      <c r="E1842" s="8" t="s">
        <v>84</v>
      </c>
      <c r="F1842" s="8" t="s">
        <v>128</v>
      </c>
      <c r="G1842" s="6">
        <v>23</v>
      </c>
      <c r="H1842" s="25">
        <v>4000</v>
      </c>
      <c r="I1842" s="6">
        <v>0</v>
      </c>
      <c r="J1842" s="6">
        <f t="shared" si="56"/>
        <v>92000</v>
      </c>
      <c r="K1842" s="6">
        <f t="shared" si="57"/>
        <v>92000</v>
      </c>
      <c r="L1842" s="8" t="s">
        <v>76</v>
      </c>
      <c r="M1842" s="8" t="s">
        <v>81</v>
      </c>
      <c r="N1842">
        <v>7</v>
      </c>
      <c r="O1842">
        <v>2024</v>
      </c>
      <c r="P1842" s="29" t="s">
        <v>712</v>
      </c>
      <c r="Q1842" t="s">
        <v>734</v>
      </c>
      <c r="R1842" t="s">
        <v>739</v>
      </c>
    </row>
    <row r="1843" spans="1:18" x14ac:dyDescent="0.25">
      <c r="A1843" s="9">
        <v>1842</v>
      </c>
      <c r="B1843" s="10">
        <v>45475</v>
      </c>
      <c r="C1843" s="11" t="s">
        <v>88</v>
      </c>
      <c r="D1843" s="11" t="s">
        <v>73</v>
      </c>
      <c r="E1843" s="11" t="s">
        <v>74</v>
      </c>
      <c r="F1843" s="11" t="s">
        <v>99</v>
      </c>
      <c r="G1843" s="9">
        <v>44</v>
      </c>
      <c r="H1843" s="26">
        <v>4000</v>
      </c>
      <c r="I1843" s="9">
        <v>15</v>
      </c>
      <c r="J1843" s="9">
        <f t="shared" si="56"/>
        <v>176000</v>
      </c>
      <c r="K1843" s="9">
        <f t="shared" si="57"/>
        <v>149600</v>
      </c>
      <c r="L1843" s="11" t="s">
        <v>76</v>
      </c>
      <c r="M1843" s="11" t="s">
        <v>81</v>
      </c>
      <c r="N1843">
        <v>7</v>
      </c>
      <c r="O1843">
        <v>2024</v>
      </c>
      <c r="P1843" s="29" t="s">
        <v>712</v>
      </c>
      <c r="Q1843" t="s">
        <v>734</v>
      </c>
      <c r="R1843" t="s">
        <v>739</v>
      </c>
    </row>
    <row r="1844" spans="1:18" x14ac:dyDescent="0.25">
      <c r="A1844" s="6">
        <v>1843</v>
      </c>
      <c r="B1844" s="7">
        <v>45001</v>
      </c>
      <c r="C1844" s="8" t="s">
        <v>82</v>
      </c>
      <c r="D1844" s="8" t="s">
        <v>109</v>
      </c>
      <c r="E1844" s="8" t="s">
        <v>79</v>
      </c>
      <c r="F1844" s="8" t="s">
        <v>122</v>
      </c>
      <c r="G1844" s="6">
        <v>26</v>
      </c>
      <c r="H1844" s="25">
        <v>17700</v>
      </c>
      <c r="I1844" s="6">
        <v>10</v>
      </c>
      <c r="J1844" s="6">
        <f t="shared" si="56"/>
        <v>460200</v>
      </c>
      <c r="K1844" s="6">
        <f t="shared" si="57"/>
        <v>414180</v>
      </c>
      <c r="L1844" s="8" t="s">
        <v>123</v>
      </c>
      <c r="M1844" s="8" t="s">
        <v>77</v>
      </c>
      <c r="N1844">
        <v>3</v>
      </c>
      <c r="O1844">
        <v>2023</v>
      </c>
      <c r="P1844" s="29" t="s">
        <v>719</v>
      </c>
      <c r="Q1844" t="s">
        <v>735</v>
      </c>
      <c r="R1844" t="s">
        <v>737</v>
      </c>
    </row>
    <row r="1845" spans="1:18" x14ac:dyDescent="0.25">
      <c r="A1845" s="9">
        <v>1844</v>
      </c>
      <c r="B1845" s="10">
        <v>45531</v>
      </c>
      <c r="C1845" s="11" t="s">
        <v>82</v>
      </c>
      <c r="D1845" s="11" t="s">
        <v>117</v>
      </c>
      <c r="E1845" s="11" t="s">
        <v>84</v>
      </c>
      <c r="F1845" s="11" t="s">
        <v>148</v>
      </c>
      <c r="G1845" s="9">
        <v>35</v>
      </c>
      <c r="H1845" s="26">
        <v>5100</v>
      </c>
      <c r="I1845" s="9">
        <v>0</v>
      </c>
      <c r="J1845" s="9">
        <f t="shared" si="56"/>
        <v>178500</v>
      </c>
      <c r="K1845" s="9">
        <f t="shared" si="57"/>
        <v>178500</v>
      </c>
      <c r="L1845" s="11" t="s">
        <v>76</v>
      </c>
      <c r="M1845" s="11" t="s">
        <v>77</v>
      </c>
      <c r="N1845">
        <v>8</v>
      </c>
      <c r="O1845">
        <v>2024</v>
      </c>
      <c r="P1845" s="29" t="s">
        <v>710</v>
      </c>
      <c r="Q1845" t="s">
        <v>734</v>
      </c>
      <c r="R1845" t="s">
        <v>739</v>
      </c>
    </row>
    <row r="1846" spans="1:18" x14ac:dyDescent="0.25">
      <c r="A1846" s="6">
        <v>1845</v>
      </c>
      <c r="B1846" s="7">
        <v>45204</v>
      </c>
      <c r="C1846" s="8" t="s">
        <v>78</v>
      </c>
      <c r="D1846" s="8" t="s">
        <v>117</v>
      </c>
      <c r="E1846" s="8" t="s">
        <v>79</v>
      </c>
      <c r="F1846" s="8" t="s">
        <v>80</v>
      </c>
      <c r="G1846" s="6">
        <v>35</v>
      </c>
      <c r="H1846" s="25">
        <v>9100</v>
      </c>
      <c r="I1846" s="6">
        <v>10</v>
      </c>
      <c r="J1846" s="6">
        <f t="shared" si="56"/>
        <v>318500</v>
      </c>
      <c r="K1846" s="6">
        <f t="shared" si="57"/>
        <v>286650</v>
      </c>
      <c r="L1846" s="8" t="s">
        <v>76</v>
      </c>
      <c r="M1846" s="8" t="s">
        <v>96</v>
      </c>
      <c r="N1846">
        <v>10</v>
      </c>
      <c r="O1846">
        <v>2023</v>
      </c>
      <c r="P1846" s="29" t="s">
        <v>726</v>
      </c>
      <c r="Q1846" t="s">
        <v>733</v>
      </c>
      <c r="R1846" t="s">
        <v>737</v>
      </c>
    </row>
    <row r="1847" spans="1:18" x14ac:dyDescent="0.25">
      <c r="A1847" s="9">
        <v>1846</v>
      </c>
      <c r="B1847" s="10">
        <v>45225</v>
      </c>
      <c r="C1847" s="11" t="s">
        <v>108</v>
      </c>
      <c r="D1847" s="11" t="s">
        <v>117</v>
      </c>
      <c r="E1847" s="11" t="s">
        <v>102</v>
      </c>
      <c r="F1847" s="11" t="s">
        <v>157</v>
      </c>
      <c r="G1847" s="9">
        <v>40</v>
      </c>
      <c r="H1847" s="26">
        <v>13300</v>
      </c>
      <c r="I1847" s="9">
        <v>15</v>
      </c>
      <c r="J1847" s="9">
        <f t="shared" si="56"/>
        <v>532000</v>
      </c>
      <c r="K1847" s="9">
        <f t="shared" si="57"/>
        <v>452200</v>
      </c>
      <c r="L1847" s="11" t="s">
        <v>76</v>
      </c>
      <c r="M1847" s="11" t="s">
        <v>77</v>
      </c>
      <c r="N1847">
        <v>10</v>
      </c>
      <c r="O1847">
        <v>2023</v>
      </c>
      <c r="P1847" s="29" t="s">
        <v>726</v>
      </c>
      <c r="Q1847" t="s">
        <v>733</v>
      </c>
      <c r="R1847" t="s">
        <v>737</v>
      </c>
    </row>
    <row r="1848" spans="1:18" x14ac:dyDescent="0.25">
      <c r="A1848" s="6">
        <v>1847</v>
      </c>
      <c r="B1848" s="7">
        <v>45013</v>
      </c>
      <c r="C1848" s="8" t="s">
        <v>101</v>
      </c>
      <c r="D1848" s="8" t="s">
        <v>117</v>
      </c>
      <c r="E1848" s="8" t="s">
        <v>111</v>
      </c>
      <c r="F1848" s="8" t="s">
        <v>159</v>
      </c>
      <c r="G1848" s="6">
        <v>49</v>
      </c>
      <c r="H1848" s="25">
        <v>13700</v>
      </c>
      <c r="I1848" s="6">
        <v>0</v>
      </c>
      <c r="J1848" s="6">
        <f t="shared" si="56"/>
        <v>671300</v>
      </c>
      <c r="K1848" s="6">
        <f t="shared" si="57"/>
        <v>671300</v>
      </c>
      <c r="L1848" s="8" t="s">
        <v>107</v>
      </c>
      <c r="M1848" s="8" t="s">
        <v>91</v>
      </c>
      <c r="N1848">
        <v>3</v>
      </c>
      <c r="O1848">
        <v>2023</v>
      </c>
      <c r="P1848" s="29" t="s">
        <v>719</v>
      </c>
      <c r="Q1848" t="s">
        <v>735</v>
      </c>
      <c r="R1848" t="s">
        <v>737</v>
      </c>
    </row>
    <row r="1849" spans="1:18" x14ac:dyDescent="0.25">
      <c r="A1849" s="9">
        <v>1848</v>
      </c>
      <c r="B1849" s="10">
        <v>45292</v>
      </c>
      <c r="C1849" s="11" t="s">
        <v>108</v>
      </c>
      <c r="D1849" s="11" t="s">
        <v>109</v>
      </c>
      <c r="E1849" s="11" t="s">
        <v>102</v>
      </c>
      <c r="F1849" s="11" t="s">
        <v>151</v>
      </c>
      <c r="G1849" s="9">
        <v>31</v>
      </c>
      <c r="H1849" s="26">
        <v>7600</v>
      </c>
      <c r="I1849" s="9">
        <v>0</v>
      </c>
      <c r="J1849" s="9">
        <f t="shared" si="56"/>
        <v>235600</v>
      </c>
      <c r="K1849" s="9">
        <f t="shared" si="57"/>
        <v>235600</v>
      </c>
      <c r="L1849" s="11" t="s">
        <v>76</v>
      </c>
      <c r="M1849" s="11" t="s">
        <v>81</v>
      </c>
      <c r="N1849">
        <v>1</v>
      </c>
      <c r="O1849">
        <v>2024</v>
      </c>
      <c r="P1849" s="29" t="s">
        <v>727</v>
      </c>
      <c r="Q1849" t="s">
        <v>735</v>
      </c>
      <c r="R1849" t="s">
        <v>737</v>
      </c>
    </row>
    <row r="1850" spans="1:18" x14ac:dyDescent="0.25">
      <c r="A1850" s="6">
        <v>1849</v>
      </c>
      <c r="B1850" s="7">
        <v>45557</v>
      </c>
      <c r="C1850" s="8" t="s">
        <v>119</v>
      </c>
      <c r="D1850" s="8" t="s">
        <v>117</v>
      </c>
      <c r="E1850" s="8" t="s">
        <v>111</v>
      </c>
      <c r="F1850" s="8" t="s">
        <v>112</v>
      </c>
      <c r="G1850" s="6">
        <v>5</v>
      </c>
      <c r="H1850" s="25">
        <v>74200</v>
      </c>
      <c r="I1850" s="6">
        <v>5</v>
      </c>
      <c r="J1850" s="6">
        <f t="shared" si="56"/>
        <v>371000</v>
      </c>
      <c r="K1850" s="6">
        <f t="shared" si="57"/>
        <v>352450</v>
      </c>
      <c r="L1850" s="8" t="s">
        <v>187</v>
      </c>
      <c r="M1850" s="8" t="s">
        <v>91</v>
      </c>
      <c r="N1850">
        <v>9</v>
      </c>
      <c r="O1850">
        <v>2024</v>
      </c>
      <c r="P1850" s="29" t="s">
        <v>731</v>
      </c>
      <c r="Q1850" t="s">
        <v>734</v>
      </c>
      <c r="R1850" t="s">
        <v>737</v>
      </c>
    </row>
    <row r="1851" spans="1:18" x14ac:dyDescent="0.25">
      <c r="A1851" s="9">
        <v>1850</v>
      </c>
      <c r="B1851" s="10">
        <v>45552</v>
      </c>
      <c r="C1851" s="11" t="s">
        <v>82</v>
      </c>
      <c r="D1851" s="11" t="s">
        <v>83</v>
      </c>
      <c r="E1851" s="11" t="s">
        <v>111</v>
      </c>
      <c r="F1851" s="11" t="s">
        <v>166</v>
      </c>
      <c r="G1851" s="9">
        <v>37</v>
      </c>
      <c r="H1851" s="26">
        <v>31200</v>
      </c>
      <c r="I1851" s="9">
        <v>15</v>
      </c>
      <c r="J1851" s="9">
        <f t="shared" si="56"/>
        <v>1154400</v>
      </c>
      <c r="K1851" s="9">
        <f t="shared" si="57"/>
        <v>981240</v>
      </c>
      <c r="L1851" s="11" t="s">
        <v>107</v>
      </c>
      <c r="M1851" s="11" t="s">
        <v>91</v>
      </c>
      <c r="N1851">
        <v>9</v>
      </c>
      <c r="O1851">
        <v>2024</v>
      </c>
      <c r="P1851" s="29" t="s">
        <v>731</v>
      </c>
      <c r="Q1851" t="s">
        <v>734</v>
      </c>
      <c r="R1851" t="s">
        <v>737</v>
      </c>
    </row>
    <row r="1852" spans="1:18" x14ac:dyDescent="0.25">
      <c r="A1852" s="6">
        <v>1851</v>
      </c>
      <c r="B1852" s="7">
        <v>45113</v>
      </c>
      <c r="C1852" s="8" t="s">
        <v>108</v>
      </c>
      <c r="D1852" s="8" t="s">
        <v>117</v>
      </c>
      <c r="E1852" s="8" t="s">
        <v>102</v>
      </c>
      <c r="F1852" s="8" t="s">
        <v>181</v>
      </c>
      <c r="G1852" s="6">
        <v>48</v>
      </c>
      <c r="H1852" s="25">
        <v>4600</v>
      </c>
      <c r="I1852" s="6">
        <v>15</v>
      </c>
      <c r="J1852" s="6">
        <f t="shared" si="56"/>
        <v>220800</v>
      </c>
      <c r="K1852" s="6">
        <f t="shared" si="57"/>
        <v>187680</v>
      </c>
      <c r="L1852" s="8" t="s">
        <v>76</v>
      </c>
      <c r="M1852" s="8" t="s">
        <v>96</v>
      </c>
      <c r="N1852">
        <v>7</v>
      </c>
      <c r="O1852">
        <v>2023</v>
      </c>
      <c r="P1852" s="29" t="s">
        <v>724</v>
      </c>
      <c r="Q1852" t="s">
        <v>734</v>
      </c>
      <c r="R1852" t="s">
        <v>739</v>
      </c>
    </row>
    <row r="1853" spans="1:18" x14ac:dyDescent="0.25">
      <c r="A1853" s="9">
        <v>1852</v>
      </c>
      <c r="B1853" s="10">
        <v>45463</v>
      </c>
      <c r="C1853" s="11" t="s">
        <v>78</v>
      </c>
      <c r="D1853" s="11" t="s">
        <v>83</v>
      </c>
      <c r="E1853" s="11" t="s">
        <v>84</v>
      </c>
      <c r="F1853" s="11" t="s">
        <v>90</v>
      </c>
      <c r="G1853" s="9">
        <v>45</v>
      </c>
      <c r="H1853" s="26">
        <v>1800</v>
      </c>
      <c r="I1853" s="9">
        <v>15</v>
      </c>
      <c r="J1853" s="9">
        <f t="shared" si="56"/>
        <v>81000</v>
      </c>
      <c r="K1853" s="9">
        <f t="shared" si="57"/>
        <v>68850</v>
      </c>
      <c r="L1853" s="11" t="s">
        <v>76</v>
      </c>
      <c r="M1853" s="11" t="s">
        <v>77</v>
      </c>
      <c r="N1853">
        <v>6</v>
      </c>
      <c r="O1853">
        <v>2024</v>
      </c>
      <c r="P1853" s="29" t="s">
        <v>720</v>
      </c>
      <c r="Q1853" t="s">
        <v>736</v>
      </c>
      <c r="R1853" t="s">
        <v>739</v>
      </c>
    </row>
    <row r="1854" spans="1:18" x14ac:dyDescent="0.25">
      <c r="A1854" s="6">
        <v>1853</v>
      </c>
      <c r="B1854" s="7">
        <v>45413</v>
      </c>
      <c r="C1854" s="8" t="s">
        <v>114</v>
      </c>
      <c r="D1854" s="8" t="s">
        <v>83</v>
      </c>
      <c r="E1854" s="8" t="s">
        <v>102</v>
      </c>
      <c r="F1854" s="8" t="s">
        <v>157</v>
      </c>
      <c r="G1854" s="6">
        <v>37</v>
      </c>
      <c r="H1854" s="25">
        <v>12900</v>
      </c>
      <c r="I1854" s="6">
        <v>0</v>
      </c>
      <c r="J1854" s="6">
        <f t="shared" si="56"/>
        <v>477300</v>
      </c>
      <c r="K1854" s="6">
        <f t="shared" si="57"/>
        <v>477300</v>
      </c>
      <c r="L1854" s="8" t="s">
        <v>76</v>
      </c>
      <c r="M1854" s="8" t="s">
        <v>77</v>
      </c>
      <c r="N1854">
        <v>5</v>
      </c>
      <c r="O1854">
        <v>2024</v>
      </c>
      <c r="P1854" s="29" t="s">
        <v>732</v>
      </c>
      <c r="Q1854" t="s">
        <v>736</v>
      </c>
      <c r="R1854" t="s">
        <v>737</v>
      </c>
    </row>
    <row r="1855" spans="1:18" x14ac:dyDescent="0.25">
      <c r="A1855" s="9">
        <v>1854</v>
      </c>
      <c r="B1855" s="10">
        <v>45213</v>
      </c>
      <c r="C1855" s="11" t="s">
        <v>82</v>
      </c>
      <c r="D1855" s="11" t="s">
        <v>109</v>
      </c>
      <c r="E1855" s="11" t="s">
        <v>74</v>
      </c>
      <c r="F1855" s="11" t="s">
        <v>212</v>
      </c>
      <c r="G1855" s="9">
        <v>12</v>
      </c>
      <c r="H1855" s="26">
        <v>7700</v>
      </c>
      <c r="I1855" s="9">
        <v>5</v>
      </c>
      <c r="J1855" s="9">
        <f t="shared" si="56"/>
        <v>92400</v>
      </c>
      <c r="K1855" s="9">
        <f t="shared" si="57"/>
        <v>87780</v>
      </c>
      <c r="L1855" s="11" t="s">
        <v>123</v>
      </c>
      <c r="M1855" s="11" t="s">
        <v>91</v>
      </c>
      <c r="N1855">
        <v>10</v>
      </c>
      <c r="O1855">
        <v>2023</v>
      </c>
      <c r="P1855" s="29" t="s">
        <v>726</v>
      </c>
      <c r="Q1855" t="s">
        <v>733</v>
      </c>
      <c r="R1855" t="s">
        <v>739</v>
      </c>
    </row>
    <row r="1856" spans="1:18" x14ac:dyDescent="0.25">
      <c r="A1856" s="6">
        <v>1855</v>
      </c>
      <c r="B1856" s="7">
        <v>45534</v>
      </c>
      <c r="C1856" s="8" t="s">
        <v>114</v>
      </c>
      <c r="D1856" s="8" t="s">
        <v>109</v>
      </c>
      <c r="E1856" s="8" t="s">
        <v>84</v>
      </c>
      <c r="F1856" s="8" t="s">
        <v>200</v>
      </c>
      <c r="G1856" s="6">
        <v>40</v>
      </c>
      <c r="H1856" s="25">
        <v>3500</v>
      </c>
      <c r="I1856" s="6">
        <v>15</v>
      </c>
      <c r="J1856" s="6">
        <f t="shared" si="56"/>
        <v>140000</v>
      </c>
      <c r="K1856" s="6">
        <f t="shared" si="57"/>
        <v>119000</v>
      </c>
      <c r="L1856" s="8" t="s">
        <v>76</v>
      </c>
      <c r="M1856" s="8" t="s">
        <v>81</v>
      </c>
      <c r="N1856">
        <v>8</v>
      </c>
      <c r="O1856">
        <v>2024</v>
      </c>
      <c r="P1856" s="29" t="s">
        <v>710</v>
      </c>
      <c r="Q1856" t="s">
        <v>734</v>
      </c>
      <c r="R1856" t="s">
        <v>739</v>
      </c>
    </row>
    <row r="1857" spans="1:18" x14ac:dyDescent="0.25">
      <c r="A1857" s="9">
        <v>1856</v>
      </c>
      <c r="B1857" s="10">
        <v>45063</v>
      </c>
      <c r="C1857" s="11" t="s">
        <v>82</v>
      </c>
      <c r="D1857" s="11" t="s">
        <v>93</v>
      </c>
      <c r="E1857" s="11" t="s">
        <v>74</v>
      </c>
      <c r="F1857" s="11" t="s">
        <v>140</v>
      </c>
      <c r="G1857" s="9">
        <v>15</v>
      </c>
      <c r="H1857" s="26">
        <v>5000</v>
      </c>
      <c r="I1857" s="9">
        <v>10</v>
      </c>
      <c r="J1857" s="9">
        <f t="shared" si="56"/>
        <v>75000</v>
      </c>
      <c r="K1857" s="9">
        <f t="shared" si="57"/>
        <v>67500</v>
      </c>
      <c r="L1857" s="11" t="s">
        <v>107</v>
      </c>
      <c r="M1857" s="11" t="s">
        <v>81</v>
      </c>
      <c r="N1857">
        <v>5</v>
      </c>
      <c r="O1857">
        <v>2023</v>
      </c>
      <c r="P1857" s="29" t="s">
        <v>730</v>
      </c>
      <c r="Q1857" t="s">
        <v>736</v>
      </c>
      <c r="R1857" t="s">
        <v>739</v>
      </c>
    </row>
    <row r="1858" spans="1:18" x14ac:dyDescent="0.25">
      <c r="A1858" s="6">
        <v>1857</v>
      </c>
      <c r="B1858" s="7">
        <v>45543</v>
      </c>
      <c r="C1858" s="8" t="s">
        <v>97</v>
      </c>
      <c r="D1858" s="8" t="s">
        <v>117</v>
      </c>
      <c r="E1858" s="8" t="s">
        <v>111</v>
      </c>
      <c r="F1858" s="8" t="s">
        <v>166</v>
      </c>
      <c r="G1858" s="6">
        <v>44</v>
      </c>
      <c r="H1858" s="25">
        <v>27000</v>
      </c>
      <c r="I1858" s="6">
        <v>0</v>
      </c>
      <c r="J1858" s="6">
        <f t="shared" ref="J1858:J1921" si="58">G1858*H1858</f>
        <v>1188000</v>
      </c>
      <c r="K1858" s="6">
        <f t="shared" ref="K1858:K1921" si="59">J1858*(1-I1858/100)</f>
        <v>1188000</v>
      </c>
      <c r="L1858" s="8" t="s">
        <v>187</v>
      </c>
      <c r="M1858" s="8" t="s">
        <v>96</v>
      </c>
      <c r="N1858">
        <v>9</v>
      </c>
      <c r="O1858">
        <v>2024</v>
      </c>
      <c r="P1858" s="29" t="s">
        <v>731</v>
      </c>
      <c r="Q1858" t="s">
        <v>734</v>
      </c>
      <c r="R1858" t="s">
        <v>737</v>
      </c>
    </row>
    <row r="1859" spans="1:18" x14ac:dyDescent="0.25">
      <c r="A1859" s="9">
        <v>1858</v>
      </c>
      <c r="B1859" s="10">
        <v>45472</v>
      </c>
      <c r="C1859" s="11" t="s">
        <v>88</v>
      </c>
      <c r="D1859" s="11" t="s">
        <v>83</v>
      </c>
      <c r="E1859" s="11" t="s">
        <v>84</v>
      </c>
      <c r="F1859" s="11" t="s">
        <v>200</v>
      </c>
      <c r="G1859" s="9">
        <v>37</v>
      </c>
      <c r="H1859" s="26">
        <v>3200</v>
      </c>
      <c r="I1859" s="9">
        <v>20</v>
      </c>
      <c r="J1859" s="9">
        <f t="shared" si="58"/>
        <v>118400</v>
      </c>
      <c r="K1859" s="9">
        <f t="shared" si="59"/>
        <v>94720</v>
      </c>
      <c r="L1859" s="11" t="s">
        <v>76</v>
      </c>
      <c r="M1859" s="11" t="s">
        <v>81</v>
      </c>
      <c r="N1859">
        <v>6</v>
      </c>
      <c r="O1859">
        <v>2024</v>
      </c>
      <c r="P1859" s="29" t="s">
        <v>720</v>
      </c>
      <c r="Q1859" t="s">
        <v>736</v>
      </c>
      <c r="R1859" t="s">
        <v>739</v>
      </c>
    </row>
    <row r="1860" spans="1:18" x14ac:dyDescent="0.25">
      <c r="A1860" s="6">
        <v>1859</v>
      </c>
      <c r="B1860" s="7">
        <v>45638</v>
      </c>
      <c r="C1860" s="8" t="s">
        <v>106</v>
      </c>
      <c r="D1860" s="8" t="s">
        <v>117</v>
      </c>
      <c r="E1860" s="8" t="s">
        <v>102</v>
      </c>
      <c r="F1860" s="8" t="s">
        <v>157</v>
      </c>
      <c r="G1860" s="6">
        <v>33</v>
      </c>
      <c r="H1860" s="25">
        <v>11100</v>
      </c>
      <c r="I1860" s="6">
        <v>0</v>
      </c>
      <c r="J1860" s="6">
        <f t="shared" si="58"/>
        <v>366300</v>
      </c>
      <c r="K1860" s="6">
        <f t="shared" si="59"/>
        <v>366300</v>
      </c>
      <c r="L1860" s="8" t="s">
        <v>76</v>
      </c>
      <c r="M1860" s="8" t="s">
        <v>91</v>
      </c>
      <c r="N1860">
        <v>12</v>
      </c>
      <c r="O1860">
        <v>2024</v>
      </c>
      <c r="P1860" s="29" t="s">
        <v>728</v>
      </c>
      <c r="Q1860" t="s">
        <v>733</v>
      </c>
      <c r="R1860" t="s">
        <v>737</v>
      </c>
    </row>
    <row r="1861" spans="1:18" x14ac:dyDescent="0.25">
      <c r="A1861" s="9">
        <v>1860</v>
      </c>
      <c r="B1861" s="10">
        <v>45566</v>
      </c>
      <c r="C1861" s="11" t="s">
        <v>78</v>
      </c>
      <c r="D1861" s="11" t="s">
        <v>83</v>
      </c>
      <c r="E1861" s="11" t="s">
        <v>102</v>
      </c>
      <c r="F1861" s="11" t="s">
        <v>110</v>
      </c>
      <c r="G1861" s="9">
        <v>36</v>
      </c>
      <c r="H1861" s="26">
        <v>25100</v>
      </c>
      <c r="I1861" s="9">
        <v>20</v>
      </c>
      <c r="J1861" s="9">
        <f t="shared" si="58"/>
        <v>903600</v>
      </c>
      <c r="K1861" s="9">
        <f t="shared" si="59"/>
        <v>722880</v>
      </c>
      <c r="L1861" s="11" t="s">
        <v>76</v>
      </c>
      <c r="M1861" s="11" t="s">
        <v>96</v>
      </c>
      <c r="N1861">
        <v>10</v>
      </c>
      <c r="O1861">
        <v>2024</v>
      </c>
      <c r="P1861" s="29" t="s">
        <v>709</v>
      </c>
      <c r="Q1861" t="s">
        <v>733</v>
      </c>
      <c r="R1861" t="s">
        <v>737</v>
      </c>
    </row>
    <row r="1862" spans="1:18" x14ac:dyDescent="0.25">
      <c r="A1862" s="6">
        <v>1861</v>
      </c>
      <c r="B1862" s="7">
        <v>45426</v>
      </c>
      <c r="C1862" s="8" t="s">
        <v>101</v>
      </c>
      <c r="D1862" s="8" t="s">
        <v>117</v>
      </c>
      <c r="E1862" s="8" t="s">
        <v>84</v>
      </c>
      <c r="F1862" s="8" t="s">
        <v>206</v>
      </c>
      <c r="G1862" s="6">
        <v>41</v>
      </c>
      <c r="H1862" s="25">
        <v>13300</v>
      </c>
      <c r="I1862" s="6">
        <v>20</v>
      </c>
      <c r="J1862" s="6">
        <f t="shared" si="58"/>
        <v>545300</v>
      </c>
      <c r="K1862" s="6">
        <f t="shared" si="59"/>
        <v>436240</v>
      </c>
      <c r="L1862" s="8" t="s">
        <v>76</v>
      </c>
      <c r="M1862" s="8" t="s">
        <v>77</v>
      </c>
      <c r="N1862">
        <v>5</v>
      </c>
      <c r="O1862">
        <v>2024</v>
      </c>
      <c r="P1862" s="29" t="s">
        <v>732</v>
      </c>
      <c r="Q1862" t="s">
        <v>736</v>
      </c>
      <c r="R1862" t="s">
        <v>737</v>
      </c>
    </row>
    <row r="1863" spans="1:18" x14ac:dyDescent="0.25">
      <c r="A1863" s="9">
        <v>1862</v>
      </c>
      <c r="B1863" s="10">
        <v>45042</v>
      </c>
      <c r="C1863" s="11" t="s">
        <v>119</v>
      </c>
      <c r="D1863" s="11" t="s">
        <v>93</v>
      </c>
      <c r="E1863" s="11" t="s">
        <v>111</v>
      </c>
      <c r="F1863" s="11" t="s">
        <v>166</v>
      </c>
      <c r="G1863" s="9">
        <v>34</v>
      </c>
      <c r="H1863" s="26">
        <v>25500</v>
      </c>
      <c r="I1863" s="9">
        <v>10</v>
      </c>
      <c r="J1863" s="9">
        <f t="shared" si="58"/>
        <v>867000</v>
      </c>
      <c r="K1863" s="9">
        <f t="shared" si="59"/>
        <v>780300</v>
      </c>
      <c r="L1863" s="11" t="s">
        <v>187</v>
      </c>
      <c r="M1863" s="11" t="s">
        <v>96</v>
      </c>
      <c r="N1863">
        <v>4</v>
      </c>
      <c r="O1863">
        <v>2023</v>
      </c>
      <c r="P1863" s="29" t="s">
        <v>716</v>
      </c>
      <c r="Q1863" t="s">
        <v>736</v>
      </c>
      <c r="R1863" t="s">
        <v>737</v>
      </c>
    </row>
    <row r="1864" spans="1:18" x14ac:dyDescent="0.25">
      <c r="A1864" s="6">
        <v>1863</v>
      </c>
      <c r="B1864" s="7">
        <v>45168</v>
      </c>
      <c r="C1864" s="8" t="s">
        <v>101</v>
      </c>
      <c r="D1864" s="8" t="s">
        <v>73</v>
      </c>
      <c r="E1864" s="8" t="s">
        <v>79</v>
      </c>
      <c r="F1864" s="8" t="s">
        <v>120</v>
      </c>
      <c r="G1864" s="6">
        <v>20</v>
      </c>
      <c r="H1864" s="25">
        <v>5700</v>
      </c>
      <c r="I1864" s="6">
        <v>5</v>
      </c>
      <c r="J1864" s="6">
        <f t="shared" si="58"/>
        <v>114000</v>
      </c>
      <c r="K1864" s="6">
        <f t="shared" si="59"/>
        <v>108300</v>
      </c>
      <c r="L1864" s="8" t="s">
        <v>76</v>
      </c>
      <c r="M1864" s="8" t="s">
        <v>96</v>
      </c>
      <c r="N1864">
        <v>8</v>
      </c>
      <c r="O1864">
        <v>2023</v>
      </c>
      <c r="P1864" s="29" t="s">
        <v>713</v>
      </c>
      <c r="Q1864" t="s">
        <v>734</v>
      </c>
      <c r="R1864" t="s">
        <v>739</v>
      </c>
    </row>
    <row r="1865" spans="1:18" x14ac:dyDescent="0.25">
      <c r="A1865" s="9">
        <v>1864</v>
      </c>
      <c r="B1865" s="10">
        <v>45037</v>
      </c>
      <c r="C1865" s="11" t="s">
        <v>88</v>
      </c>
      <c r="D1865" s="11" t="s">
        <v>117</v>
      </c>
      <c r="E1865" s="11" t="s">
        <v>84</v>
      </c>
      <c r="F1865" s="11" t="s">
        <v>150</v>
      </c>
      <c r="G1865" s="9">
        <v>12</v>
      </c>
      <c r="H1865" s="26">
        <v>5200</v>
      </c>
      <c r="I1865" s="9">
        <v>20</v>
      </c>
      <c r="J1865" s="9">
        <f t="shared" si="58"/>
        <v>62400</v>
      </c>
      <c r="K1865" s="9">
        <f t="shared" si="59"/>
        <v>49920</v>
      </c>
      <c r="L1865" s="11" t="s">
        <v>76</v>
      </c>
      <c r="M1865" s="11" t="s">
        <v>81</v>
      </c>
      <c r="N1865">
        <v>4</v>
      </c>
      <c r="O1865">
        <v>2023</v>
      </c>
      <c r="P1865" s="29" t="s">
        <v>716</v>
      </c>
      <c r="Q1865" t="s">
        <v>736</v>
      </c>
      <c r="R1865" t="s">
        <v>738</v>
      </c>
    </row>
    <row r="1866" spans="1:18" x14ac:dyDescent="0.25">
      <c r="A1866" s="6">
        <v>1865</v>
      </c>
      <c r="B1866" s="7">
        <v>45415</v>
      </c>
      <c r="C1866" s="8" t="s">
        <v>119</v>
      </c>
      <c r="D1866" s="8" t="s">
        <v>93</v>
      </c>
      <c r="E1866" s="8" t="s">
        <v>79</v>
      </c>
      <c r="F1866" s="8" t="s">
        <v>80</v>
      </c>
      <c r="G1866" s="6">
        <v>29</v>
      </c>
      <c r="H1866" s="25">
        <v>9300</v>
      </c>
      <c r="I1866" s="6">
        <v>0</v>
      </c>
      <c r="J1866" s="6">
        <f t="shared" si="58"/>
        <v>269700</v>
      </c>
      <c r="K1866" s="6">
        <f t="shared" si="59"/>
        <v>269700</v>
      </c>
      <c r="L1866" s="8" t="s">
        <v>107</v>
      </c>
      <c r="M1866" s="8" t="s">
        <v>77</v>
      </c>
      <c r="N1866">
        <v>5</v>
      </c>
      <c r="O1866">
        <v>2024</v>
      </c>
      <c r="P1866" s="29" t="s">
        <v>732</v>
      </c>
      <c r="Q1866" t="s">
        <v>736</v>
      </c>
      <c r="R1866" t="s">
        <v>737</v>
      </c>
    </row>
    <row r="1867" spans="1:18" x14ac:dyDescent="0.25">
      <c r="A1867" s="9">
        <v>1866</v>
      </c>
      <c r="B1867" s="10">
        <v>45562</v>
      </c>
      <c r="C1867" s="11" t="s">
        <v>101</v>
      </c>
      <c r="D1867" s="11" t="s">
        <v>109</v>
      </c>
      <c r="E1867" s="11" t="s">
        <v>79</v>
      </c>
      <c r="F1867" s="11" t="s">
        <v>179</v>
      </c>
      <c r="G1867" s="9">
        <v>6</v>
      </c>
      <c r="H1867" s="26">
        <v>2800</v>
      </c>
      <c r="I1867" s="9">
        <v>0</v>
      </c>
      <c r="J1867" s="9">
        <f t="shared" si="58"/>
        <v>16800</v>
      </c>
      <c r="K1867" s="9">
        <f t="shared" si="59"/>
        <v>16800</v>
      </c>
      <c r="L1867" s="11" t="s">
        <v>76</v>
      </c>
      <c r="M1867" s="11" t="s">
        <v>96</v>
      </c>
      <c r="N1867">
        <v>9</v>
      </c>
      <c r="O1867">
        <v>2024</v>
      </c>
      <c r="P1867" s="29" t="s">
        <v>731</v>
      </c>
      <c r="Q1867" t="s">
        <v>734</v>
      </c>
      <c r="R1867" t="s">
        <v>738</v>
      </c>
    </row>
    <row r="1868" spans="1:18" x14ac:dyDescent="0.25">
      <c r="A1868" s="6">
        <v>1867</v>
      </c>
      <c r="B1868" s="7">
        <v>45630</v>
      </c>
      <c r="C1868" s="8" t="s">
        <v>114</v>
      </c>
      <c r="D1868" s="8" t="s">
        <v>93</v>
      </c>
      <c r="E1868" s="8" t="s">
        <v>102</v>
      </c>
      <c r="F1868" s="8" t="s">
        <v>137</v>
      </c>
      <c r="G1868" s="6">
        <v>34</v>
      </c>
      <c r="H1868" s="25">
        <v>2400</v>
      </c>
      <c r="I1868" s="6">
        <v>10</v>
      </c>
      <c r="J1868" s="6">
        <f t="shared" si="58"/>
        <v>81600</v>
      </c>
      <c r="K1868" s="6">
        <f t="shared" si="59"/>
        <v>73440</v>
      </c>
      <c r="L1868" s="8" t="s">
        <v>76</v>
      </c>
      <c r="M1868" s="8" t="s">
        <v>77</v>
      </c>
      <c r="N1868">
        <v>12</v>
      </c>
      <c r="O1868">
        <v>2024</v>
      </c>
      <c r="P1868" s="29" t="s">
        <v>728</v>
      </c>
      <c r="Q1868" t="s">
        <v>733</v>
      </c>
      <c r="R1868" t="s">
        <v>739</v>
      </c>
    </row>
    <row r="1869" spans="1:18" x14ac:dyDescent="0.25">
      <c r="A1869" s="9">
        <v>1868</v>
      </c>
      <c r="B1869" s="10">
        <v>45061</v>
      </c>
      <c r="C1869" s="11" t="s">
        <v>119</v>
      </c>
      <c r="D1869" s="11" t="s">
        <v>73</v>
      </c>
      <c r="E1869" s="11" t="s">
        <v>74</v>
      </c>
      <c r="F1869" s="11" t="s">
        <v>212</v>
      </c>
      <c r="G1869" s="9">
        <v>33</v>
      </c>
      <c r="H1869" s="26">
        <v>7500</v>
      </c>
      <c r="I1869" s="9">
        <v>5</v>
      </c>
      <c r="J1869" s="9">
        <f t="shared" si="58"/>
        <v>247500</v>
      </c>
      <c r="K1869" s="9">
        <f t="shared" si="59"/>
        <v>235125</v>
      </c>
      <c r="L1869" s="11" t="s">
        <v>76</v>
      </c>
      <c r="M1869" s="11" t="s">
        <v>96</v>
      </c>
      <c r="N1869">
        <v>5</v>
      </c>
      <c r="O1869">
        <v>2023</v>
      </c>
      <c r="P1869" s="29" t="s">
        <v>730</v>
      </c>
      <c r="Q1869" t="s">
        <v>736</v>
      </c>
      <c r="R1869" t="s">
        <v>737</v>
      </c>
    </row>
    <row r="1870" spans="1:18" x14ac:dyDescent="0.25">
      <c r="A1870" s="6">
        <v>1869</v>
      </c>
      <c r="B1870" s="7">
        <v>45093</v>
      </c>
      <c r="C1870" s="8" t="s">
        <v>108</v>
      </c>
      <c r="D1870" s="8" t="s">
        <v>117</v>
      </c>
      <c r="E1870" s="8" t="s">
        <v>102</v>
      </c>
      <c r="F1870" s="8" t="s">
        <v>151</v>
      </c>
      <c r="G1870" s="6">
        <v>21</v>
      </c>
      <c r="H1870" s="25">
        <v>7500</v>
      </c>
      <c r="I1870" s="6">
        <v>20</v>
      </c>
      <c r="J1870" s="6">
        <f t="shared" si="58"/>
        <v>157500</v>
      </c>
      <c r="K1870" s="6">
        <f t="shared" si="59"/>
        <v>126000</v>
      </c>
      <c r="L1870" s="8" t="s">
        <v>107</v>
      </c>
      <c r="M1870" s="8" t="s">
        <v>91</v>
      </c>
      <c r="N1870">
        <v>6</v>
      </c>
      <c r="O1870">
        <v>2023</v>
      </c>
      <c r="P1870" s="29" t="s">
        <v>723</v>
      </c>
      <c r="Q1870" t="s">
        <v>736</v>
      </c>
      <c r="R1870" t="s">
        <v>739</v>
      </c>
    </row>
    <row r="1871" spans="1:18" x14ac:dyDescent="0.25">
      <c r="A1871" s="9">
        <v>1870</v>
      </c>
      <c r="B1871" s="10">
        <v>45416</v>
      </c>
      <c r="C1871" s="11" t="s">
        <v>82</v>
      </c>
      <c r="D1871" s="11" t="s">
        <v>83</v>
      </c>
      <c r="E1871" s="11" t="s">
        <v>74</v>
      </c>
      <c r="F1871" s="11" t="s">
        <v>190</v>
      </c>
      <c r="G1871" s="9">
        <v>9</v>
      </c>
      <c r="H1871" s="26">
        <v>35700</v>
      </c>
      <c r="I1871" s="9">
        <v>10</v>
      </c>
      <c r="J1871" s="9">
        <f t="shared" si="58"/>
        <v>321300</v>
      </c>
      <c r="K1871" s="9">
        <f t="shared" si="59"/>
        <v>289170</v>
      </c>
      <c r="L1871" s="11" t="s">
        <v>76</v>
      </c>
      <c r="M1871" s="11" t="s">
        <v>96</v>
      </c>
      <c r="N1871">
        <v>5</v>
      </c>
      <c r="O1871">
        <v>2024</v>
      </c>
      <c r="P1871" s="29" t="s">
        <v>732</v>
      </c>
      <c r="Q1871" t="s">
        <v>736</v>
      </c>
      <c r="R1871" t="s">
        <v>737</v>
      </c>
    </row>
    <row r="1872" spans="1:18" x14ac:dyDescent="0.25">
      <c r="A1872" s="6">
        <v>1871</v>
      </c>
      <c r="B1872" s="7">
        <v>45272</v>
      </c>
      <c r="C1872" s="8" t="s">
        <v>101</v>
      </c>
      <c r="D1872" s="8" t="s">
        <v>93</v>
      </c>
      <c r="E1872" s="8" t="s">
        <v>74</v>
      </c>
      <c r="F1872" s="8" t="s">
        <v>140</v>
      </c>
      <c r="G1872" s="6">
        <v>21</v>
      </c>
      <c r="H1872" s="25">
        <v>5100</v>
      </c>
      <c r="I1872" s="6">
        <v>0</v>
      </c>
      <c r="J1872" s="6">
        <f t="shared" si="58"/>
        <v>107100</v>
      </c>
      <c r="K1872" s="6">
        <f t="shared" si="59"/>
        <v>107100</v>
      </c>
      <c r="L1872" s="8" t="s">
        <v>187</v>
      </c>
      <c r="M1872" s="8" t="s">
        <v>96</v>
      </c>
      <c r="N1872">
        <v>12</v>
      </c>
      <c r="O1872">
        <v>2023</v>
      </c>
      <c r="P1872" s="29" t="s">
        <v>725</v>
      </c>
      <c r="Q1872" t="s">
        <v>733</v>
      </c>
      <c r="R1872" t="s">
        <v>739</v>
      </c>
    </row>
    <row r="1873" spans="1:18" x14ac:dyDescent="0.25">
      <c r="A1873" s="9">
        <v>1872</v>
      </c>
      <c r="B1873" s="10">
        <v>45441</v>
      </c>
      <c r="C1873" s="11" t="s">
        <v>108</v>
      </c>
      <c r="D1873" s="11" t="s">
        <v>117</v>
      </c>
      <c r="E1873" s="11" t="s">
        <v>102</v>
      </c>
      <c r="F1873" s="11" t="s">
        <v>137</v>
      </c>
      <c r="G1873" s="9">
        <v>45</v>
      </c>
      <c r="H1873" s="26">
        <v>2500</v>
      </c>
      <c r="I1873" s="9">
        <v>0</v>
      </c>
      <c r="J1873" s="9">
        <f t="shared" si="58"/>
        <v>112500</v>
      </c>
      <c r="K1873" s="9">
        <f t="shared" si="59"/>
        <v>112500</v>
      </c>
      <c r="L1873" s="11" t="s">
        <v>76</v>
      </c>
      <c r="M1873" s="11" t="s">
        <v>96</v>
      </c>
      <c r="N1873">
        <v>5</v>
      </c>
      <c r="O1873">
        <v>2024</v>
      </c>
      <c r="P1873" s="29" t="s">
        <v>732</v>
      </c>
      <c r="Q1873" t="s">
        <v>736</v>
      </c>
      <c r="R1873" t="s">
        <v>739</v>
      </c>
    </row>
    <row r="1874" spans="1:18" x14ac:dyDescent="0.25">
      <c r="A1874" s="6">
        <v>1873</v>
      </c>
      <c r="B1874" s="7">
        <v>45066</v>
      </c>
      <c r="C1874" s="8" t="s">
        <v>78</v>
      </c>
      <c r="D1874" s="8" t="s">
        <v>73</v>
      </c>
      <c r="E1874" s="8" t="s">
        <v>79</v>
      </c>
      <c r="F1874" s="8" t="s">
        <v>122</v>
      </c>
      <c r="G1874" s="6">
        <v>24</v>
      </c>
      <c r="H1874" s="25">
        <v>19800</v>
      </c>
      <c r="I1874" s="6">
        <v>0</v>
      </c>
      <c r="J1874" s="6">
        <f t="shared" si="58"/>
        <v>475200</v>
      </c>
      <c r="K1874" s="6">
        <f t="shared" si="59"/>
        <v>475200</v>
      </c>
      <c r="L1874" s="8" t="s">
        <v>76</v>
      </c>
      <c r="M1874" s="8" t="s">
        <v>81</v>
      </c>
      <c r="N1874">
        <v>5</v>
      </c>
      <c r="O1874">
        <v>2023</v>
      </c>
      <c r="P1874" s="29" t="s">
        <v>730</v>
      </c>
      <c r="Q1874" t="s">
        <v>736</v>
      </c>
      <c r="R1874" t="s">
        <v>737</v>
      </c>
    </row>
    <row r="1875" spans="1:18" x14ac:dyDescent="0.25">
      <c r="A1875" s="9">
        <v>1874</v>
      </c>
      <c r="B1875" s="10">
        <v>45169</v>
      </c>
      <c r="C1875" s="11" t="s">
        <v>108</v>
      </c>
      <c r="D1875" s="11" t="s">
        <v>73</v>
      </c>
      <c r="E1875" s="11" t="s">
        <v>74</v>
      </c>
      <c r="F1875" s="11" t="s">
        <v>212</v>
      </c>
      <c r="G1875" s="9">
        <v>1</v>
      </c>
      <c r="H1875" s="26">
        <v>7300</v>
      </c>
      <c r="I1875" s="9">
        <v>0</v>
      </c>
      <c r="J1875" s="9">
        <f t="shared" si="58"/>
        <v>7300</v>
      </c>
      <c r="K1875" s="9">
        <f t="shared" si="59"/>
        <v>7300</v>
      </c>
      <c r="L1875" s="11" t="s">
        <v>76</v>
      </c>
      <c r="M1875" s="11" t="s">
        <v>91</v>
      </c>
      <c r="N1875">
        <v>8</v>
      </c>
      <c r="O1875">
        <v>2023</v>
      </c>
      <c r="P1875" s="29" t="s">
        <v>713</v>
      </c>
      <c r="Q1875" t="s">
        <v>734</v>
      </c>
      <c r="R1875" t="s">
        <v>738</v>
      </c>
    </row>
    <row r="1876" spans="1:18" x14ac:dyDescent="0.25">
      <c r="A1876" s="6">
        <v>1875</v>
      </c>
      <c r="B1876" s="7">
        <v>45461</v>
      </c>
      <c r="C1876" s="8" t="s">
        <v>106</v>
      </c>
      <c r="D1876" s="8" t="s">
        <v>83</v>
      </c>
      <c r="E1876" s="8" t="s">
        <v>102</v>
      </c>
      <c r="F1876" s="8" t="s">
        <v>103</v>
      </c>
      <c r="G1876" s="6">
        <v>19</v>
      </c>
      <c r="H1876" s="25">
        <v>10500</v>
      </c>
      <c r="I1876" s="6">
        <v>5</v>
      </c>
      <c r="J1876" s="6">
        <f t="shared" si="58"/>
        <v>199500</v>
      </c>
      <c r="K1876" s="6">
        <f t="shared" si="59"/>
        <v>189525</v>
      </c>
      <c r="L1876" s="8" t="s">
        <v>76</v>
      </c>
      <c r="M1876" s="8" t="s">
        <v>91</v>
      </c>
      <c r="N1876">
        <v>6</v>
      </c>
      <c r="O1876">
        <v>2024</v>
      </c>
      <c r="P1876" s="29" t="s">
        <v>720</v>
      </c>
      <c r="Q1876" t="s">
        <v>736</v>
      </c>
      <c r="R1876" t="s">
        <v>739</v>
      </c>
    </row>
    <row r="1877" spans="1:18" x14ac:dyDescent="0.25">
      <c r="A1877" s="9">
        <v>1876</v>
      </c>
      <c r="B1877" s="10">
        <v>45527</v>
      </c>
      <c r="C1877" s="11" t="s">
        <v>124</v>
      </c>
      <c r="D1877" s="11" t="s">
        <v>83</v>
      </c>
      <c r="E1877" s="11" t="s">
        <v>84</v>
      </c>
      <c r="F1877" s="11" t="s">
        <v>85</v>
      </c>
      <c r="G1877" s="9">
        <v>45</v>
      </c>
      <c r="H1877" s="26">
        <v>6200</v>
      </c>
      <c r="I1877" s="9">
        <v>5</v>
      </c>
      <c r="J1877" s="9">
        <f t="shared" si="58"/>
        <v>279000</v>
      </c>
      <c r="K1877" s="9">
        <f t="shared" si="59"/>
        <v>265050</v>
      </c>
      <c r="L1877" s="11" t="s">
        <v>123</v>
      </c>
      <c r="M1877" s="11" t="s">
        <v>81</v>
      </c>
      <c r="N1877">
        <v>8</v>
      </c>
      <c r="O1877">
        <v>2024</v>
      </c>
      <c r="P1877" s="29" t="s">
        <v>710</v>
      </c>
      <c r="Q1877" t="s">
        <v>734</v>
      </c>
      <c r="R1877" t="s">
        <v>737</v>
      </c>
    </row>
    <row r="1878" spans="1:18" x14ac:dyDescent="0.25">
      <c r="A1878" s="6">
        <v>1877</v>
      </c>
      <c r="B1878" s="7">
        <v>45386</v>
      </c>
      <c r="C1878" s="8" t="s">
        <v>119</v>
      </c>
      <c r="D1878" s="8" t="s">
        <v>117</v>
      </c>
      <c r="E1878" s="8" t="s">
        <v>111</v>
      </c>
      <c r="F1878" s="8" t="s">
        <v>166</v>
      </c>
      <c r="G1878" s="6">
        <v>9</v>
      </c>
      <c r="H1878" s="25">
        <v>30400</v>
      </c>
      <c r="I1878" s="6">
        <v>0</v>
      </c>
      <c r="J1878" s="6">
        <f t="shared" si="58"/>
        <v>273600</v>
      </c>
      <c r="K1878" s="6">
        <f t="shared" si="59"/>
        <v>273600</v>
      </c>
      <c r="L1878" s="8" t="s">
        <v>76</v>
      </c>
      <c r="M1878" s="8" t="s">
        <v>81</v>
      </c>
      <c r="N1878">
        <v>4</v>
      </c>
      <c r="O1878">
        <v>2024</v>
      </c>
      <c r="P1878" s="29" t="s">
        <v>722</v>
      </c>
      <c r="Q1878" t="s">
        <v>736</v>
      </c>
      <c r="R1878" t="s">
        <v>737</v>
      </c>
    </row>
    <row r="1879" spans="1:18" x14ac:dyDescent="0.25">
      <c r="A1879" s="9">
        <v>1878</v>
      </c>
      <c r="B1879" s="10">
        <v>45221</v>
      </c>
      <c r="C1879" s="11" t="s">
        <v>106</v>
      </c>
      <c r="D1879" s="11" t="s">
        <v>73</v>
      </c>
      <c r="E1879" s="11" t="s">
        <v>102</v>
      </c>
      <c r="F1879" s="11" t="s">
        <v>181</v>
      </c>
      <c r="G1879" s="9">
        <v>12</v>
      </c>
      <c r="H1879" s="26">
        <v>5000</v>
      </c>
      <c r="I1879" s="9">
        <v>15</v>
      </c>
      <c r="J1879" s="9">
        <f t="shared" si="58"/>
        <v>60000</v>
      </c>
      <c r="K1879" s="9">
        <f t="shared" si="59"/>
        <v>51000</v>
      </c>
      <c r="L1879" s="11" t="s">
        <v>187</v>
      </c>
      <c r="M1879" s="11" t="s">
        <v>77</v>
      </c>
      <c r="N1879">
        <v>10</v>
      </c>
      <c r="O1879">
        <v>2023</v>
      </c>
      <c r="P1879" s="29" t="s">
        <v>726</v>
      </c>
      <c r="Q1879" t="s">
        <v>733</v>
      </c>
      <c r="R1879" t="s">
        <v>739</v>
      </c>
    </row>
    <row r="1880" spans="1:18" x14ac:dyDescent="0.25">
      <c r="A1880" s="6">
        <v>1879</v>
      </c>
      <c r="B1880" s="7">
        <v>45063</v>
      </c>
      <c r="C1880" s="8" t="s">
        <v>106</v>
      </c>
      <c r="D1880" s="8" t="s">
        <v>73</v>
      </c>
      <c r="E1880" s="8" t="s">
        <v>84</v>
      </c>
      <c r="F1880" s="8" t="s">
        <v>90</v>
      </c>
      <c r="G1880" s="6">
        <v>42</v>
      </c>
      <c r="H1880" s="25">
        <v>1900</v>
      </c>
      <c r="I1880" s="6">
        <v>10</v>
      </c>
      <c r="J1880" s="6">
        <f t="shared" si="58"/>
        <v>79800</v>
      </c>
      <c r="K1880" s="6">
        <f t="shared" si="59"/>
        <v>71820</v>
      </c>
      <c r="L1880" s="8" t="s">
        <v>76</v>
      </c>
      <c r="M1880" s="8" t="s">
        <v>96</v>
      </c>
      <c r="N1880">
        <v>5</v>
      </c>
      <c r="O1880">
        <v>2023</v>
      </c>
      <c r="P1880" s="29" t="s">
        <v>730</v>
      </c>
      <c r="Q1880" t="s">
        <v>736</v>
      </c>
      <c r="R1880" t="s">
        <v>739</v>
      </c>
    </row>
    <row r="1881" spans="1:18" x14ac:dyDescent="0.25">
      <c r="A1881" s="9">
        <v>1880</v>
      </c>
      <c r="B1881" s="10">
        <v>45050</v>
      </c>
      <c r="C1881" s="11" t="s">
        <v>78</v>
      </c>
      <c r="D1881" s="11" t="s">
        <v>83</v>
      </c>
      <c r="E1881" s="11" t="s">
        <v>79</v>
      </c>
      <c r="F1881" s="11" t="s">
        <v>131</v>
      </c>
      <c r="G1881" s="9">
        <v>27</v>
      </c>
      <c r="H1881" s="26">
        <v>123600</v>
      </c>
      <c r="I1881" s="9">
        <v>0</v>
      </c>
      <c r="J1881" s="9">
        <f t="shared" si="58"/>
        <v>3337200</v>
      </c>
      <c r="K1881" s="9">
        <f t="shared" si="59"/>
        <v>3337200</v>
      </c>
      <c r="L1881" s="11" t="s">
        <v>76</v>
      </c>
      <c r="M1881" s="11" t="s">
        <v>81</v>
      </c>
      <c r="N1881">
        <v>5</v>
      </c>
      <c r="O1881">
        <v>2023</v>
      </c>
      <c r="P1881" s="29" t="s">
        <v>730</v>
      </c>
      <c r="Q1881" t="s">
        <v>736</v>
      </c>
      <c r="R1881" t="s">
        <v>737</v>
      </c>
    </row>
    <row r="1882" spans="1:18" x14ac:dyDescent="0.25">
      <c r="A1882" s="6">
        <v>1881</v>
      </c>
      <c r="B1882" s="7">
        <v>45493</v>
      </c>
      <c r="C1882" s="8" t="s">
        <v>119</v>
      </c>
      <c r="D1882" s="8" t="s">
        <v>117</v>
      </c>
      <c r="E1882" s="8" t="s">
        <v>79</v>
      </c>
      <c r="F1882" s="8" t="s">
        <v>122</v>
      </c>
      <c r="G1882" s="6">
        <v>26</v>
      </c>
      <c r="H1882" s="25">
        <v>19700</v>
      </c>
      <c r="I1882" s="6">
        <v>15</v>
      </c>
      <c r="J1882" s="6">
        <f t="shared" si="58"/>
        <v>512200</v>
      </c>
      <c r="K1882" s="6">
        <f t="shared" si="59"/>
        <v>435370</v>
      </c>
      <c r="L1882" s="8" t="s">
        <v>76</v>
      </c>
      <c r="M1882" s="8" t="s">
        <v>77</v>
      </c>
      <c r="N1882">
        <v>7</v>
      </c>
      <c r="O1882">
        <v>2024</v>
      </c>
      <c r="P1882" s="29" t="s">
        <v>712</v>
      </c>
      <c r="Q1882" t="s">
        <v>734</v>
      </c>
      <c r="R1882" t="s">
        <v>737</v>
      </c>
    </row>
    <row r="1883" spans="1:18" x14ac:dyDescent="0.25">
      <c r="A1883" s="9">
        <v>1882</v>
      </c>
      <c r="B1883" s="10">
        <v>45600</v>
      </c>
      <c r="C1883" s="11" t="s">
        <v>108</v>
      </c>
      <c r="D1883" s="11" t="s">
        <v>109</v>
      </c>
      <c r="E1883" s="11" t="s">
        <v>74</v>
      </c>
      <c r="F1883" s="11" t="s">
        <v>99</v>
      </c>
      <c r="G1883" s="9">
        <v>17</v>
      </c>
      <c r="H1883" s="26">
        <v>3600</v>
      </c>
      <c r="I1883" s="9">
        <v>10</v>
      </c>
      <c r="J1883" s="9">
        <f t="shared" si="58"/>
        <v>61200</v>
      </c>
      <c r="K1883" s="9">
        <f t="shared" si="59"/>
        <v>55080</v>
      </c>
      <c r="L1883" s="11" t="s">
        <v>187</v>
      </c>
      <c r="M1883" s="11" t="s">
        <v>96</v>
      </c>
      <c r="N1883">
        <v>11</v>
      </c>
      <c r="O1883">
        <v>2024</v>
      </c>
      <c r="P1883" s="29" t="s">
        <v>714</v>
      </c>
      <c r="Q1883" t="s">
        <v>733</v>
      </c>
      <c r="R1883" t="s">
        <v>739</v>
      </c>
    </row>
    <row r="1884" spans="1:18" x14ac:dyDescent="0.25">
      <c r="A1884" s="6">
        <v>1883</v>
      </c>
      <c r="B1884" s="7">
        <v>45392</v>
      </c>
      <c r="C1884" s="8" t="s">
        <v>101</v>
      </c>
      <c r="D1884" s="8" t="s">
        <v>83</v>
      </c>
      <c r="E1884" s="8" t="s">
        <v>84</v>
      </c>
      <c r="F1884" s="8" t="s">
        <v>148</v>
      </c>
      <c r="G1884" s="6">
        <v>37</v>
      </c>
      <c r="H1884" s="25">
        <v>4500</v>
      </c>
      <c r="I1884" s="6">
        <v>0</v>
      </c>
      <c r="J1884" s="6">
        <f t="shared" si="58"/>
        <v>166500</v>
      </c>
      <c r="K1884" s="6">
        <f t="shared" si="59"/>
        <v>166500</v>
      </c>
      <c r="L1884" s="8" t="s">
        <v>123</v>
      </c>
      <c r="M1884" s="8" t="s">
        <v>96</v>
      </c>
      <c r="N1884">
        <v>4</v>
      </c>
      <c r="O1884">
        <v>2024</v>
      </c>
      <c r="P1884" s="29" t="s">
        <v>722</v>
      </c>
      <c r="Q1884" t="s">
        <v>736</v>
      </c>
      <c r="R1884" t="s">
        <v>739</v>
      </c>
    </row>
    <row r="1885" spans="1:18" x14ac:dyDescent="0.25">
      <c r="A1885" s="9">
        <v>1884</v>
      </c>
      <c r="B1885" s="10">
        <v>45560</v>
      </c>
      <c r="C1885" s="11" t="s">
        <v>97</v>
      </c>
      <c r="D1885" s="30" t="s">
        <v>703</v>
      </c>
      <c r="E1885" s="11" t="s">
        <v>111</v>
      </c>
      <c r="F1885" s="11" t="s">
        <v>165</v>
      </c>
      <c r="G1885" s="9">
        <v>36</v>
      </c>
      <c r="H1885" s="26">
        <v>20200</v>
      </c>
      <c r="I1885" s="9">
        <v>5</v>
      </c>
      <c r="J1885" s="9">
        <f t="shared" si="58"/>
        <v>727200</v>
      </c>
      <c r="K1885" s="9">
        <f t="shared" si="59"/>
        <v>690840</v>
      </c>
      <c r="L1885" s="11" t="s">
        <v>76</v>
      </c>
      <c r="M1885" s="11" t="s">
        <v>77</v>
      </c>
      <c r="N1885">
        <v>9</v>
      </c>
      <c r="O1885">
        <v>2024</v>
      </c>
      <c r="P1885" s="29" t="s">
        <v>731</v>
      </c>
      <c r="Q1885" t="s">
        <v>734</v>
      </c>
      <c r="R1885" t="s">
        <v>737</v>
      </c>
    </row>
    <row r="1886" spans="1:18" x14ac:dyDescent="0.25">
      <c r="A1886" s="6">
        <v>1885</v>
      </c>
      <c r="B1886" s="7">
        <v>44981</v>
      </c>
      <c r="C1886" s="8" t="s">
        <v>82</v>
      </c>
      <c r="D1886" s="8" t="s">
        <v>109</v>
      </c>
      <c r="E1886" s="8" t="s">
        <v>111</v>
      </c>
      <c r="F1886" s="8" t="s">
        <v>112</v>
      </c>
      <c r="G1886" s="6">
        <v>12</v>
      </c>
      <c r="H1886" s="25">
        <v>69000</v>
      </c>
      <c r="I1886" s="6">
        <v>0</v>
      </c>
      <c r="J1886" s="6">
        <f t="shared" si="58"/>
        <v>828000</v>
      </c>
      <c r="K1886" s="6">
        <f t="shared" si="59"/>
        <v>828000</v>
      </c>
      <c r="L1886" s="8" t="s">
        <v>76</v>
      </c>
      <c r="M1886" s="8" t="s">
        <v>81</v>
      </c>
      <c r="N1886">
        <v>2</v>
      </c>
      <c r="O1886">
        <v>2023</v>
      </c>
      <c r="P1886" s="29" t="s">
        <v>717</v>
      </c>
      <c r="Q1886" t="s">
        <v>735</v>
      </c>
      <c r="R1886" t="s">
        <v>737</v>
      </c>
    </row>
    <row r="1887" spans="1:18" x14ac:dyDescent="0.25">
      <c r="A1887" s="6">
        <v>1886</v>
      </c>
      <c r="B1887" s="7">
        <v>45380</v>
      </c>
      <c r="C1887" s="8" t="s">
        <v>106</v>
      </c>
      <c r="D1887" s="8" t="s">
        <v>93</v>
      </c>
      <c r="E1887" s="8" t="s">
        <v>102</v>
      </c>
      <c r="F1887" s="8" t="s">
        <v>103</v>
      </c>
      <c r="G1887" s="6">
        <v>2</v>
      </c>
      <c r="H1887" s="25">
        <v>11200</v>
      </c>
      <c r="I1887" s="6">
        <v>0</v>
      </c>
      <c r="J1887" s="6">
        <f t="shared" si="58"/>
        <v>22400</v>
      </c>
      <c r="K1887" s="6">
        <f t="shared" si="59"/>
        <v>22400</v>
      </c>
      <c r="L1887" s="8" t="s">
        <v>76</v>
      </c>
      <c r="M1887" s="8" t="s">
        <v>81</v>
      </c>
      <c r="N1887">
        <v>3</v>
      </c>
      <c r="O1887">
        <v>2024</v>
      </c>
      <c r="P1887" s="29" t="s">
        <v>711</v>
      </c>
      <c r="Q1887" t="s">
        <v>735</v>
      </c>
      <c r="R1887" t="s">
        <v>738</v>
      </c>
    </row>
    <row r="1888" spans="1:18" x14ac:dyDescent="0.25">
      <c r="A1888" s="9">
        <v>1887</v>
      </c>
      <c r="B1888" s="10">
        <v>45517</v>
      </c>
      <c r="C1888" s="11" t="s">
        <v>124</v>
      </c>
      <c r="D1888" s="11" t="s">
        <v>93</v>
      </c>
      <c r="E1888" s="11" t="s">
        <v>84</v>
      </c>
      <c r="F1888" s="11" t="s">
        <v>148</v>
      </c>
      <c r="G1888" s="9">
        <v>7</v>
      </c>
      <c r="H1888" s="26">
        <v>5400</v>
      </c>
      <c r="I1888" s="9">
        <v>15</v>
      </c>
      <c r="J1888" s="9">
        <f t="shared" si="58"/>
        <v>37800</v>
      </c>
      <c r="K1888" s="9">
        <f t="shared" si="59"/>
        <v>32130</v>
      </c>
      <c r="L1888" s="11" t="s">
        <v>187</v>
      </c>
      <c r="M1888" s="11" t="s">
        <v>96</v>
      </c>
      <c r="N1888">
        <v>8</v>
      </c>
      <c r="O1888">
        <v>2024</v>
      </c>
      <c r="P1888" s="29" t="s">
        <v>710</v>
      </c>
      <c r="Q1888" t="s">
        <v>734</v>
      </c>
      <c r="R1888" t="s">
        <v>738</v>
      </c>
    </row>
    <row r="1889" spans="1:18" x14ac:dyDescent="0.25">
      <c r="A1889" s="6">
        <v>1888</v>
      </c>
      <c r="B1889" s="7">
        <v>45526</v>
      </c>
      <c r="C1889" s="8" t="s">
        <v>97</v>
      </c>
      <c r="D1889" s="8" t="s">
        <v>117</v>
      </c>
      <c r="E1889" s="8" t="s">
        <v>84</v>
      </c>
      <c r="F1889" s="8" t="s">
        <v>128</v>
      </c>
      <c r="G1889" s="6">
        <v>11</v>
      </c>
      <c r="H1889" s="25">
        <v>4000</v>
      </c>
      <c r="I1889" s="6">
        <v>15</v>
      </c>
      <c r="J1889" s="6">
        <f t="shared" si="58"/>
        <v>44000</v>
      </c>
      <c r="K1889" s="6">
        <f t="shared" si="59"/>
        <v>37400</v>
      </c>
      <c r="L1889" s="8" t="s">
        <v>76</v>
      </c>
      <c r="M1889" s="8" t="s">
        <v>96</v>
      </c>
      <c r="N1889">
        <v>8</v>
      </c>
      <c r="O1889">
        <v>2024</v>
      </c>
      <c r="P1889" s="29" t="s">
        <v>710</v>
      </c>
      <c r="Q1889" t="s">
        <v>734</v>
      </c>
      <c r="R1889" t="s">
        <v>738</v>
      </c>
    </row>
    <row r="1890" spans="1:18" x14ac:dyDescent="0.25">
      <c r="A1890" s="9">
        <v>1889</v>
      </c>
      <c r="B1890" s="10">
        <v>45147</v>
      </c>
      <c r="C1890" s="11" t="s">
        <v>124</v>
      </c>
      <c r="D1890" s="11" t="s">
        <v>93</v>
      </c>
      <c r="E1890" s="11" t="s">
        <v>84</v>
      </c>
      <c r="F1890" s="11" t="s">
        <v>200</v>
      </c>
      <c r="G1890" s="9">
        <v>20</v>
      </c>
      <c r="H1890" s="26">
        <v>3300</v>
      </c>
      <c r="I1890" s="9">
        <v>5</v>
      </c>
      <c r="J1890" s="9">
        <f t="shared" si="58"/>
        <v>66000</v>
      </c>
      <c r="K1890" s="9">
        <f t="shared" si="59"/>
        <v>62700</v>
      </c>
      <c r="L1890" s="11" t="s">
        <v>76</v>
      </c>
      <c r="M1890" s="11" t="s">
        <v>77</v>
      </c>
      <c r="N1890">
        <v>8</v>
      </c>
      <c r="O1890">
        <v>2023</v>
      </c>
      <c r="P1890" s="29" t="s">
        <v>713</v>
      </c>
      <c r="Q1890" t="s">
        <v>734</v>
      </c>
      <c r="R1890" t="s">
        <v>739</v>
      </c>
    </row>
    <row r="1891" spans="1:18" x14ac:dyDescent="0.25">
      <c r="A1891" s="6">
        <v>1890</v>
      </c>
      <c r="B1891" s="7">
        <v>45587</v>
      </c>
      <c r="C1891" s="8" t="s">
        <v>119</v>
      </c>
      <c r="D1891" s="8" t="s">
        <v>83</v>
      </c>
      <c r="E1891" s="8" t="s">
        <v>84</v>
      </c>
      <c r="F1891" s="8" t="s">
        <v>128</v>
      </c>
      <c r="G1891" s="12">
        <v>19</v>
      </c>
      <c r="H1891" s="25">
        <v>4600</v>
      </c>
      <c r="I1891" s="6">
        <v>10</v>
      </c>
      <c r="J1891" s="6">
        <f t="shared" si="58"/>
        <v>87400</v>
      </c>
      <c r="K1891" s="6">
        <f t="shared" si="59"/>
        <v>78660</v>
      </c>
      <c r="L1891" s="8" t="s">
        <v>76</v>
      </c>
      <c r="M1891" s="8" t="s">
        <v>77</v>
      </c>
      <c r="N1891">
        <v>10</v>
      </c>
      <c r="O1891">
        <v>2024</v>
      </c>
      <c r="P1891" s="29" t="s">
        <v>709</v>
      </c>
      <c r="Q1891" t="s">
        <v>733</v>
      </c>
      <c r="R1891" t="s">
        <v>739</v>
      </c>
    </row>
    <row r="1892" spans="1:18" x14ac:dyDescent="0.25">
      <c r="A1892" s="9">
        <v>1891</v>
      </c>
      <c r="B1892" s="10">
        <v>45119</v>
      </c>
      <c r="C1892" s="11" t="s">
        <v>101</v>
      </c>
      <c r="D1892" s="11" t="s">
        <v>117</v>
      </c>
      <c r="E1892" s="11" t="s">
        <v>102</v>
      </c>
      <c r="F1892" s="11" t="s">
        <v>197</v>
      </c>
      <c r="G1892" s="9">
        <v>47</v>
      </c>
      <c r="H1892" s="26">
        <v>4000</v>
      </c>
      <c r="I1892" s="9">
        <v>10</v>
      </c>
      <c r="J1892" s="9">
        <f t="shared" si="58"/>
        <v>188000</v>
      </c>
      <c r="K1892" s="9">
        <f t="shared" si="59"/>
        <v>169200</v>
      </c>
      <c r="L1892" s="11" t="s">
        <v>76</v>
      </c>
      <c r="M1892" s="11" t="s">
        <v>91</v>
      </c>
      <c r="N1892">
        <v>7</v>
      </c>
      <c r="O1892">
        <v>2023</v>
      </c>
      <c r="P1892" s="29" t="s">
        <v>724</v>
      </c>
      <c r="Q1892" t="s">
        <v>734</v>
      </c>
      <c r="R1892" t="s">
        <v>739</v>
      </c>
    </row>
    <row r="1893" spans="1:18" x14ac:dyDescent="0.25">
      <c r="A1893" s="6">
        <v>1892</v>
      </c>
      <c r="B1893" s="7">
        <v>45523</v>
      </c>
      <c r="C1893" s="8" t="s">
        <v>119</v>
      </c>
      <c r="D1893" s="8" t="s">
        <v>73</v>
      </c>
      <c r="E1893" s="8" t="s">
        <v>84</v>
      </c>
      <c r="F1893" s="8" t="s">
        <v>128</v>
      </c>
      <c r="G1893" s="6">
        <v>11</v>
      </c>
      <c r="H1893" s="25">
        <v>4200</v>
      </c>
      <c r="I1893" s="6">
        <v>15</v>
      </c>
      <c r="J1893" s="6">
        <f t="shared" si="58"/>
        <v>46200</v>
      </c>
      <c r="K1893" s="6">
        <f t="shared" si="59"/>
        <v>39270</v>
      </c>
      <c r="L1893" s="8" t="s">
        <v>76</v>
      </c>
      <c r="M1893" s="8" t="s">
        <v>81</v>
      </c>
      <c r="N1893">
        <v>8</v>
      </c>
      <c r="O1893">
        <v>2024</v>
      </c>
      <c r="P1893" s="29" t="s">
        <v>710</v>
      </c>
      <c r="Q1893" t="s">
        <v>734</v>
      </c>
      <c r="R1893" t="s">
        <v>738</v>
      </c>
    </row>
    <row r="1894" spans="1:18" x14ac:dyDescent="0.25">
      <c r="A1894" s="9">
        <v>1893</v>
      </c>
      <c r="B1894" s="10">
        <v>45331</v>
      </c>
      <c r="C1894" s="11" t="s">
        <v>119</v>
      </c>
      <c r="D1894" s="11" t="s">
        <v>93</v>
      </c>
      <c r="E1894" s="11" t="s">
        <v>111</v>
      </c>
      <c r="F1894" s="11" t="s">
        <v>112</v>
      </c>
      <c r="G1894" s="9">
        <v>46</v>
      </c>
      <c r="H1894" s="26">
        <v>62000</v>
      </c>
      <c r="I1894" s="9">
        <v>0</v>
      </c>
      <c r="J1894" s="9">
        <f t="shared" si="58"/>
        <v>2852000</v>
      </c>
      <c r="K1894" s="9">
        <f t="shared" si="59"/>
        <v>2852000</v>
      </c>
      <c r="L1894" s="11" t="s">
        <v>107</v>
      </c>
      <c r="M1894" s="11" t="s">
        <v>96</v>
      </c>
      <c r="N1894">
        <v>2</v>
      </c>
      <c r="O1894">
        <v>2024</v>
      </c>
      <c r="P1894" s="29" t="s">
        <v>729</v>
      </c>
      <c r="Q1894" t="s">
        <v>735</v>
      </c>
      <c r="R1894" t="s">
        <v>737</v>
      </c>
    </row>
    <row r="1895" spans="1:18" x14ac:dyDescent="0.25">
      <c r="A1895" s="6">
        <v>1894</v>
      </c>
      <c r="B1895" s="7">
        <v>45520</v>
      </c>
      <c r="C1895" s="8" t="s">
        <v>82</v>
      </c>
      <c r="D1895" s="8" t="s">
        <v>93</v>
      </c>
      <c r="E1895" s="8" t="s">
        <v>84</v>
      </c>
      <c r="F1895" s="8" t="s">
        <v>128</v>
      </c>
      <c r="G1895" s="6">
        <v>44</v>
      </c>
      <c r="H1895" s="25">
        <v>3900</v>
      </c>
      <c r="I1895" s="6">
        <v>0</v>
      </c>
      <c r="J1895" s="6">
        <f t="shared" si="58"/>
        <v>171600</v>
      </c>
      <c r="K1895" s="6">
        <f t="shared" si="59"/>
        <v>171600</v>
      </c>
      <c r="L1895" s="8" t="s">
        <v>187</v>
      </c>
      <c r="M1895" s="8" t="s">
        <v>77</v>
      </c>
      <c r="N1895">
        <v>8</v>
      </c>
      <c r="O1895">
        <v>2024</v>
      </c>
      <c r="P1895" s="29" t="s">
        <v>710</v>
      </c>
      <c r="Q1895" t="s">
        <v>734</v>
      </c>
      <c r="R1895" t="s">
        <v>739</v>
      </c>
    </row>
    <row r="1896" spans="1:18" x14ac:dyDescent="0.25">
      <c r="A1896" s="9">
        <v>1895</v>
      </c>
      <c r="B1896" s="10">
        <v>45536</v>
      </c>
      <c r="C1896" s="11" t="s">
        <v>114</v>
      </c>
      <c r="D1896" s="11" t="s">
        <v>73</v>
      </c>
      <c r="E1896" s="11" t="s">
        <v>102</v>
      </c>
      <c r="F1896" s="11" t="s">
        <v>181</v>
      </c>
      <c r="G1896" s="9">
        <v>3</v>
      </c>
      <c r="H1896" s="26">
        <v>4200</v>
      </c>
      <c r="I1896" s="9">
        <v>10</v>
      </c>
      <c r="J1896" s="9">
        <f t="shared" si="58"/>
        <v>12600</v>
      </c>
      <c r="K1896" s="9">
        <f t="shared" si="59"/>
        <v>11340</v>
      </c>
      <c r="L1896" s="11" t="s">
        <v>76</v>
      </c>
      <c r="M1896" s="11" t="s">
        <v>91</v>
      </c>
      <c r="N1896">
        <v>9</v>
      </c>
      <c r="O1896">
        <v>2024</v>
      </c>
      <c r="P1896" s="29" t="s">
        <v>731</v>
      </c>
      <c r="Q1896" t="s">
        <v>734</v>
      </c>
      <c r="R1896" t="s">
        <v>738</v>
      </c>
    </row>
    <row r="1897" spans="1:18" x14ac:dyDescent="0.25">
      <c r="A1897" s="6">
        <v>1896</v>
      </c>
      <c r="B1897" s="7">
        <v>45363</v>
      </c>
      <c r="C1897" s="8" t="s">
        <v>119</v>
      </c>
      <c r="D1897" s="8" t="s">
        <v>93</v>
      </c>
      <c r="E1897" s="8" t="s">
        <v>102</v>
      </c>
      <c r="F1897" s="8" t="s">
        <v>197</v>
      </c>
      <c r="G1897" s="6">
        <v>14</v>
      </c>
      <c r="H1897" s="25">
        <v>3800</v>
      </c>
      <c r="I1897" s="6">
        <v>15</v>
      </c>
      <c r="J1897" s="6">
        <f t="shared" si="58"/>
        <v>53200</v>
      </c>
      <c r="K1897" s="6">
        <f t="shared" si="59"/>
        <v>45220</v>
      </c>
      <c r="L1897" s="8" t="s">
        <v>187</v>
      </c>
      <c r="M1897" s="8" t="s">
        <v>96</v>
      </c>
      <c r="N1897">
        <v>3</v>
      </c>
      <c r="O1897">
        <v>2024</v>
      </c>
      <c r="P1897" s="29" t="s">
        <v>711</v>
      </c>
      <c r="Q1897" t="s">
        <v>735</v>
      </c>
      <c r="R1897" t="s">
        <v>738</v>
      </c>
    </row>
    <row r="1898" spans="1:18" x14ac:dyDescent="0.25">
      <c r="A1898" s="9">
        <v>1897</v>
      </c>
      <c r="B1898" s="10">
        <v>45571</v>
      </c>
      <c r="C1898" s="11" t="s">
        <v>88</v>
      </c>
      <c r="D1898" s="11" t="s">
        <v>109</v>
      </c>
      <c r="E1898" s="11" t="s">
        <v>84</v>
      </c>
      <c r="F1898" s="11" t="s">
        <v>148</v>
      </c>
      <c r="G1898" s="9">
        <v>49</v>
      </c>
      <c r="H1898" s="26">
        <v>5400</v>
      </c>
      <c r="I1898" s="9">
        <v>0</v>
      </c>
      <c r="J1898" s="9">
        <f t="shared" si="58"/>
        <v>264600</v>
      </c>
      <c r="K1898" s="9">
        <f t="shared" si="59"/>
        <v>264600</v>
      </c>
      <c r="L1898" s="11" t="s">
        <v>187</v>
      </c>
      <c r="M1898" s="11" t="s">
        <v>77</v>
      </c>
      <c r="N1898">
        <v>10</v>
      </c>
      <c r="O1898">
        <v>2024</v>
      </c>
      <c r="P1898" s="29" t="s">
        <v>709</v>
      </c>
      <c r="Q1898" t="s">
        <v>733</v>
      </c>
      <c r="R1898" t="s">
        <v>737</v>
      </c>
    </row>
    <row r="1899" spans="1:18" x14ac:dyDescent="0.25">
      <c r="A1899" s="6">
        <v>1898</v>
      </c>
      <c r="B1899" s="7">
        <v>44944</v>
      </c>
      <c r="C1899" s="8" t="s">
        <v>101</v>
      </c>
      <c r="D1899" s="8" t="s">
        <v>117</v>
      </c>
      <c r="E1899" s="8" t="s">
        <v>84</v>
      </c>
      <c r="F1899" s="8" t="s">
        <v>148</v>
      </c>
      <c r="G1899" s="6">
        <v>37</v>
      </c>
      <c r="H1899" s="25">
        <v>5100</v>
      </c>
      <c r="I1899" s="6">
        <v>0</v>
      </c>
      <c r="J1899" s="6">
        <f t="shared" si="58"/>
        <v>188700</v>
      </c>
      <c r="K1899" s="6">
        <f t="shared" si="59"/>
        <v>188700</v>
      </c>
      <c r="L1899" s="8" t="s">
        <v>107</v>
      </c>
      <c r="M1899" s="8" t="s">
        <v>96</v>
      </c>
      <c r="N1899">
        <v>1</v>
      </c>
      <c r="O1899">
        <v>2023</v>
      </c>
      <c r="P1899" s="29" t="s">
        <v>721</v>
      </c>
      <c r="Q1899" t="s">
        <v>735</v>
      </c>
      <c r="R1899" t="s">
        <v>739</v>
      </c>
    </row>
    <row r="1900" spans="1:18" x14ac:dyDescent="0.25">
      <c r="A1900" s="9">
        <v>1899</v>
      </c>
      <c r="B1900" s="10">
        <v>45398</v>
      </c>
      <c r="C1900" s="11" t="s">
        <v>97</v>
      </c>
      <c r="D1900" s="11" t="s">
        <v>117</v>
      </c>
      <c r="E1900" s="11" t="s">
        <v>84</v>
      </c>
      <c r="F1900" s="11" t="s">
        <v>90</v>
      </c>
      <c r="G1900" s="9">
        <v>37</v>
      </c>
      <c r="H1900" s="26">
        <v>2000</v>
      </c>
      <c r="I1900" s="9">
        <v>0</v>
      </c>
      <c r="J1900" s="9">
        <f t="shared" si="58"/>
        <v>74000</v>
      </c>
      <c r="K1900" s="9">
        <f t="shared" si="59"/>
        <v>74000</v>
      </c>
      <c r="L1900" s="11" t="s">
        <v>107</v>
      </c>
      <c r="M1900" s="11" t="s">
        <v>77</v>
      </c>
      <c r="N1900">
        <v>4</v>
      </c>
      <c r="O1900">
        <v>2024</v>
      </c>
      <c r="P1900" s="29" t="s">
        <v>722</v>
      </c>
      <c r="Q1900" t="s">
        <v>736</v>
      </c>
      <c r="R1900" t="s">
        <v>739</v>
      </c>
    </row>
    <row r="1901" spans="1:18" x14ac:dyDescent="0.25">
      <c r="A1901" s="6">
        <v>1900</v>
      </c>
      <c r="B1901" s="7">
        <v>44963</v>
      </c>
      <c r="C1901" s="8" t="s">
        <v>124</v>
      </c>
      <c r="D1901" s="8" t="s">
        <v>109</v>
      </c>
      <c r="E1901" s="8" t="s">
        <v>102</v>
      </c>
      <c r="F1901" s="8" t="s">
        <v>157</v>
      </c>
      <c r="G1901" s="6">
        <v>6</v>
      </c>
      <c r="H1901" s="25">
        <v>12800</v>
      </c>
      <c r="I1901" s="6">
        <v>0</v>
      </c>
      <c r="J1901" s="6">
        <f t="shared" si="58"/>
        <v>76800</v>
      </c>
      <c r="K1901" s="6">
        <f t="shared" si="59"/>
        <v>76800</v>
      </c>
      <c r="L1901" s="8" t="s">
        <v>76</v>
      </c>
      <c r="M1901" s="8" t="s">
        <v>91</v>
      </c>
      <c r="N1901">
        <v>2</v>
      </c>
      <c r="O1901">
        <v>2023</v>
      </c>
      <c r="P1901" s="29" t="s">
        <v>717</v>
      </c>
      <c r="Q1901" t="s">
        <v>735</v>
      </c>
      <c r="R1901" t="s">
        <v>739</v>
      </c>
    </row>
    <row r="1902" spans="1:18" x14ac:dyDescent="0.25">
      <c r="A1902" s="9">
        <v>1901</v>
      </c>
      <c r="B1902" s="10">
        <v>45596</v>
      </c>
      <c r="C1902" s="11" t="s">
        <v>82</v>
      </c>
      <c r="D1902" s="11" t="s">
        <v>109</v>
      </c>
      <c r="E1902" s="11" t="s">
        <v>79</v>
      </c>
      <c r="F1902" s="11" t="s">
        <v>80</v>
      </c>
      <c r="G1902" s="9">
        <v>37</v>
      </c>
      <c r="H1902" s="26">
        <v>9600</v>
      </c>
      <c r="I1902" s="9">
        <v>0</v>
      </c>
      <c r="J1902" s="9">
        <f t="shared" si="58"/>
        <v>355200</v>
      </c>
      <c r="K1902" s="9">
        <f t="shared" si="59"/>
        <v>355200</v>
      </c>
      <c r="L1902" s="11" t="s">
        <v>76</v>
      </c>
      <c r="M1902" s="11" t="s">
        <v>91</v>
      </c>
      <c r="N1902">
        <v>10</v>
      </c>
      <c r="O1902">
        <v>2024</v>
      </c>
      <c r="P1902" s="29" t="s">
        <v>709</v>
      </c>
      <c r="Q1902" t="s">
        <v>733</v>
      </c>
      <c r="R1902" t="s">
        <v>737</v>
      </c>
    </row>
    <row r="1903" spans="1:18" x14ac:dyDescent="0.25">
      <c r="A1903" s="6">
        <v>1902</v>
      </c>
      <c r="B1903" s="7">
        <v>45024</v>
      </c>
      <c r="C1903" s="8" t="s">
        <v>124</v>
      </c>
      <c r="D1903" s="8" t="s">
        <v>83</v>
      </c>
      <c r="E1903" s="8" t="s">
        <v>79</v>
      </c>
      <c r="F1903" s="8" t="s">
        <v>131</v>
      </c>
      <c r="G1903" s="6">
        <v>4</v>
      </c>
      <c r="H1903" s="25">
        <v>112400</v>
      </c>
      <c r="I1903" s="6">
        <v>0</v>
      </c>
      <c r="J1903" s="6">
        <f t="shared" si="58"/>
        <v>449600</v>
      </c>
      <c r="K1903" s="6">
        <f t="shared" si="59"/>
        <v>449600</v>
      </c>
      <c r="L1903" s="8" t="s">
        <v>76</v>
      </c>
      <c r="M1903" s="8" t="s">
        <v>81</v>
      </c>
      <c r="N1903">
        <v>4</v>
      </c>
      <c r="O1903">
        <v>2023</v>
      </c>
      <c r="P1903" s="29" t="s">
        <v>716</v>
      </c>
      <c r="Q1903" t="s">
        <v>736</v>
      </c>
      <c r="R1903" t="s">
        <v>737</v>
      </c>
    </row>
    <row r="1904" spans="1:18" x14ac:dyDescent="0.25">
      <c r="A1904" s="9">
        <v>1903</v>
      </c>
      <c r="B1904" s="10">
        <v>44934</v>
      </c>
      <c r="C1904" s="11" t="s">
        <v>108</v>
      </c>
      <c r="D1904" s="11" t="s">
        <v>73</v>
      </c>
      <c r="E1904" s="11" t="s">
        <v>111</v>
      </c>
      <c r="F1904" s="11" t="s">
        <v>165</v>
      </c>
      <c r="G1904" s="9">
        <v>43</v>
      </c>
      <c r="H1904" s="26">
        <v>18300</v>
      </c>
      <c r="I1904" s="9">
        <v>10</v>
      </c>
      <c r="J1904" s="9">
        <f t="shared" si="58"/>
        <v>786900</v>
      </c>
      <c r="K1904" s="9">
        <f t="shared" si="59"/>
        <v>708210</v>
      </c>
      <c r="L1904" s="11" t="s">
        <v>76</v>
      </c>
      <c r="M1904" s="11" t="s">
        <v>77</v>
      </c>
      <c r="N1904">
        <v>1</v>
      </c>
      <c r="O1904">
        <v>2023</v>
      </c>
      <c r="P1904" s="29" t="s">
        <v>721</v>
      </c>
      <c r="Q1904" t="s">
        <v>735</v>
      </c>
      <c r="R1904" t="s">
        <v>737</v>
      </c>
    </row>
    <row r="1905" spans="1:18" x14ac:dyDescent="0.25">
      <c r="A1905" s="6">
        <v>1904</v>
      </c>
      <c r="B1905" s="7">
        <v>45616</v>
      </c>
      <c r="C1905" s="8" t="s">
        <v>97</v>
      </c>
      <c r="D1905" s="8" t="s">
        <v>73</v>
      </c>
      <c r="E1905" s="8" t="s">
        <v>79</v>
      </c>
      <c r="F1905" s="8" t="s">
        <v>115</v>
      </c>
      <c r="G1905" s="6">
        <v>9</v>
      </c>
      <c r="H1905" s="25">
        <v>9000</v>
      </c>
      <c r="I1905" s="6">
        <v>0</v>
      </c>
      <c r="J1905" s="6">
        <f t="shared" si="58"/>
        <v>81000</v>
      </c>
      <c r="K1905" s="6">
        <f t="shared" si="59"/>
        <v>81000</v>
      </c>
      <c r="L1905" s="8" t="s">
        <v>107</v>
      </c>
      <c r="M1905" s="8" t="s">
        <v>77</v>
      </c>
      <c r="N1905">
        <v>11</v>
      </c>
      <c r="O1905">
        <v>2024</v>
      </c>
      <c r="P1905" s="29" t="s">
        <v>714</v>
      </c>
      <c r="Q1905" t="s">
        <v>733</v>
      </c>
      <c r="R1905" t="s">
        <v>739</v>
      </c>
    </row>
    <row r="1906" spans="1:18" x14ac:dyDescent="0.25">
      <c r="A1906" s="9">
        <v>1905</v>
      </c>
      <c r="B1906" s="10">
        <v>45559</v>
      </c>
      <c r="C1906" s="11" t="s">
        <v>78</v>
      </c>
      <c r="D1906" s="11" t="s">
        <v>83</v>
      </c>
      <c r="E1906" s="11" t="s">
        <v>84</v>
      </c>
      <c r="F1906" s="11" t="s">
        <v>200</v>
      </c>
      <c r="G1906" s="9">
        <v>34</v>
      </c>
      <c r="H1906" s="26">
        <v>3400</v>
      </c>
      <c r="I1906" s="9">
        <v>0</v>
      </c>
      <c r="J1906" s="9">
        <f t="shared" si="58"/>
        <v>115600</v>
      </c>
      <c r="K1906" s="9">
        <f t="shared" si="59"/>
        <v>115600</v>
      </c>
      <c r="L1906" s="11" t="s">
        <v>187</v>
      </c>
      <c r="M1906" s="11" t="s">
        <v>81</v>
      </c>
      <c r="N1906">
        <v>9</v>
      </c>
      <c r="O1906">
        <v>2024</v>
      </c>
      <c r="P1906" s="29" t="s">
        <v>731</v>
      </c>
      <c r="Q1906" t="s">
        <v>734</v>
      </c>
      <c r="R1906" t="s">
        <v>739</v>
      </c>
    </row>
    <row r="1907" spans="1:18" x14ac:dyDescent="0.25">
      <c r="A1907" s="6">
        <v>1906</v>
      </c>
      <c r="B1907" s="7">
        <v>45564</v>
      </c>
      <c r="C1907" s="8" t="s">
        <v>106</v>
      </c>
      <c r="D1907" s="8" t="s">
        <v>73</v>
      </c>
      <c r="E1907" s="8" t="s">
        <v>74</v>
      </c>
      <c r="F1907" s="8" t="s">
        <v>75</v>
      </c>
      <c r="G1907" s="6">
        <v>22</v>
      </c>
      <c r="H1907" s="25">
        <v>22200</v>
      </c>
      <c r="I1907" s="6">
        <v>15</v>
      </c>
      <c r="J1907" s="6">
        <f t="shared" si="58"/>
        <v>488400</v>
      </c>
      <c r="K1907" s="6">
        <f t="shared" si="59"/>
        <v>415140</v>
      </c>
      <c r="L1907" s="8" t="s">
        <v>76</v>
      </c>
      <c r="M1907" s="8" t="s">
        <v>77</v>
      </c>
      <c r="N1907">
        <v>9</v>
      </c>
      <c r="O1907">
        <v>2024</v>
      </c>
      <c r="P1907" s="29" t="s">
        <v>731</v>
      </c>
      <c r="Q1907" t="s">
        <v>734</v>
      </c>
      <c r="R1907" t="s">
        <v>737</v>
      </c>
    </row>
    <row r="1908" spans="1:18" x14ac:dyDescent="0.25">
      <c r="A1908" s="9">
        <v>1907</v>
      </c>
      <c r="B1908" s="10">
        <v>44992</v>
      </c>
      <c r="C1908" s="11" t="s">
        <v>119</v>
      </c>
      <c r="D1908" s="11" t="s">
        <v>117</v>
      </c>
      <c r="E1908" s="11" t="s">
        <v>102</v>
      </c>
      <c r="F1908" s="11" t="s">
        <v>137</v>
      </c>
      <c r="G1908" s="9">
        <v>19</v>
      </c>
      <c r="H1908" s="26">
        <v>2100</v>
      </c>
      <c r="I1908" s="6">
        <v>0</v>
      </c>
      <c r="J1908" s="9">
        <f t="shared" si="58"/>
        <v>39900</v>
      </c>
      <c r="K1908" s="9">
        <f t="shared" si="59"/>
        <v>39900</v>
      </c>
      <c r="L1908" s="11" t="s">
        <v>76</v>
      </c>
      <c r="M1908" s="11" t="s">
        <v>77</v>
      </c>
      <c r="N1908">
        <v>3</v>
      </c>
      <c r="O1908">
        <v>2023</v>
      </c>
      <c r="P1908" s="29" t="s">
        <v>719</v>
      </c>
      <c r="Q1908" t="s">
        <v>735</v>
      </c>
      <c r="R1908" t="s">
        <v>738</v>
      </c>
    </row>
    <row r="1909" spans="1:18" x14ac:dyDescent="0.25">
      <c r="A1909" s="6">
        <v>1908</v>
      </c>
      <c r="B1909" s="7">
        <v>44950</v>
      </c>
      <c r="C1909" s="8" t="s">
        <v>82</v>
      </c>
      <c r="D1909" s="8" t="s">
        <v>83</v>
      </c>
      <c r="E1909" s="8" t="s">
        <v>102</v>
      </c>
      <c r="F1909" s="8" t="s">
        <v>103</v>
      </c>
      <c r="G1909" s="6">
        <v>1</v>
      </c>
      <c r="H1909" s="25">
        <v>11100</v>
      </c>
      <c r="I1909" s="6">
        <v>0</v>
      </c>
      <c r="J1909" s="6">
        <f t="shared" si="58"/>
        <v>11100</v>
      </c>
      <c r="K1909" s="6">
        <f t="shared" si="59"/>
        <v>11100</v>
      </c>
      <c r="L1909" s="8" t="s">
        <v>76</v>
      </c>
      <c r="M1909" s="8" t="s">
        <v>96</v>
      </c>
      <c r="N1909">
        <v>1</v>
      </c>
      <c r="O1909">
        <v>2023</v>
      </c>
      <c r="P1909" s="29" t="s">
        <v>721</v>
      </c>
      <c r="Q1909" t="s">
        <v>735</v>
      </c>
      <c r="R1909" t="s">
        <v>738</v>
      </c>
    </row>
    <row r="1910" spans="1:18" x14ac:dyDescent="0.25">
      <c r="A1910" s="9">
        <v>1909</v>
      </c>
      <c r="B1910" s="10">
        <v>44991</v>
      </c>
      <c r="C1910" s="11" t="s">
        <v>124</v>
      </c>
      <c r="D1910" s="11" t="s">
        <v>117</v>
      </c>
      <c r="E1910" s="11" t="s">
        <v>111</v>
      </c>
      <c r="F1910" s="11" t="s">
        <v>166</v>
      </c>
      <c r="G1910" s="9">
        <v>38</v>
      </c>
      <c r="H1910" s="26">
        <v>25300</v>
      </c>
      <c r="I1910" s="9">
        <v>0</v>
      </c>
      <c r="J1910" s="9">
        <f t="shared" si="58"/>
        <v>961400</v>
      </c>
      <c r="K1910" s="9">
        <f t="shared" si="59"/>
        <v>961400</v>
      </c>
      <c r="L1910" s="11" t="s">
        <v>76</v>
      </c>
      <c r="M1910" s="11" t="s">
        <v>96</v>
      </c>
      <c r="N1910">
        <v>3</v>
      </c>
      <c r="O1910">
        <v>2023</v>
      </c>
      <c r="P1910" s="29" t="s">
        <v>719</v>
      </c>
      <c r="Q1910" t="s">
        <v>735</v>
      </c>
      <c r="R1910" t="s">
        <v>737</v>
      </c>
    </row>
    <row r="1911" spans="1:18" x14ac:dyDescent="0.25">
      <c r="A1911" s="6">
        <v>1910</v>
      </c>
      <c r="B1911" s="7">
        <v>45316</v>
      </c>
      <c r="C1911" s="8" t="s">
        <v>97</v>
      </c>
      <c r="D1911" s="8" t="s">
        <v>73</v>
      </c>
      <c r="E1911" s="8" t="s">
        <v>84</v>
      </c>
      <c r="F1911" s="8" t="s">
        <v>200</v>
      </c>
      <c r="G1911" s="6">
        <v>45</v>
      </c>
      <c r="H1911" s="25">
        <v>3000</v>
      </c>
      <c r="I1911" s="6">
        <v>20</v>
      </c>
      <c r="J1911" s="6">
        <f t="shared" si="58"/>
        <v>135000</v>
      </c>
      <c r="K1911" s="6">
        <f t="shared" si="59"/>
        <v>108000</v>
      </c>
      <c r="L1911" s="8" t="s">
        <v>76</v>
      </c>
      <c r="M1911" s="8" t="s">
        <v>77</v>
      </c>
      <c r="N1911">
        <v>1</v>
      </c>
      <c r="O1911">
        <v>2024</v>
      </c>
      <c r="P1911" s="29" t="s">
        <v>727</v>
      </c>
      <c r="Q1911" t="s">
        <v>735</v>
      </c>
      <c r="R1911" t="s">
        <v>739</v>
      </c>
    </row>
    <row r="1912" spans="1:18" x14ac:dyDescent="0.25">
      <c r="A1912" s="9">
        <v>1911</v>
      </c>
      <c r="B1912" s="10">
        <v>45203</v>
      </c>
      <c r="C1912" s="11" t="s">
        <v>106</v>
      </c>
      <c r="D1912" s="11" t="s">
        <v>83</v>
      </c>
      <c r="E1912" s="11" t="s">
        <v>79</v>
      </c>
      <c r="F1912" s="11" t="s">
        <v>122</v>
      </c>
      <c r="G1912" s="9">
        <v>28</v>
      </c>
      <c r="H1912" s="26">
        <v>17400</v>
      </c>
      <c r="I1912" s="9">
        <v>10</v>
      </c>
      <c r="J1912" s="9">
        <f t="shared" si="58"/>
        <v>487200</v>
      </c>
      <c r="K1912" s="9">
        <f t="shared" si="59"/>
        <v>438480</v>
      </c>
      <c r="L1912" s="11" t="s">
        <v>123</v>
      </c>
      <c r="M1912" s="11" t="s">
        <v>96</v>
      </c>
      <c r="N1912">
        <v>10</v>
      </c>
      <c r="O1912">
        <v>2023</v>
      </c>
      <c r="P1912" s="29" t="s">
        <v>726</v>
      </c>
      <c r="Q1912" t="s">
        <v>733</v>
      </c>
      <c r="R1912" t="s">
        <v>737</v>
      </c>
    </row>
    <row r="1913" spans="1:18" x14ac:dyDescent="0.25">
      <c r="A1913" s="6">
        <v>1912</v>
      </c>
      <c r="B1913" s="7">
        <v>45302</v>
      </c>
      <c r="C1913" s="8" t="s">
        <v>114</v>
      </c>
      <c r="D1913" s="8" t="s">
        <v>117</v>
      </c>
      <c r="E1913" s="8" t="s">
        <v>84</v>
      </c>
      <c r="F1913" s="8" t="s">
        <v>90</v>
      </c>
      <c r="G1913" s="6">
        <v>17</v>
      </c>
      <c r="H1913" s="25">
        <v>2000</v>
      </c>
      <c r="I1913" s="6">
        <v>0</v>
      </c>
      <c r="J1913" s="6">
        <f t="shared" si="58"/>
        <v>34000</v>
      </c>
      <c r="K1913" s="6">
        <f t="shared" si="59"/>
        <v>34000</v>
      </c>
      <c r="L1913" s="8" t="s">
        <v>123</v>
      </c>
      <c r="M1913" s="8" t="s">
        <v>81</v>
      </c>
      <c r="N1913">
        <v>1</v>
      </c>
      <c r="O1913">
        <v>2024</v>
      </c>
      <c r="P1913" s="29" t="s">
        <v>727</v>
      </c>
      <c r="Q1913" t="s">
        <v>735</v>
      </c>
      <c r="R1913" t="s">
        <v>738</v>
      </c>
    </row>
    <row r="1914" spans="1:18" x14ac:dyDescent="0.25">
      <c r="A1914" s="9">
        <v>1913</v>
      </c>
      <c r="B1914" s="10">
        <v>45071</v>
      </c>
      <c r="C1914" s="11" t="s">
        <v>119</v>
      </c>
      <c r="D1914" s="11" t="s">
        <v>73</v>
      </c>
      <c r="E1914" s="11" t="s">
        <v>111</v>
      </c>
      <c r="F1914" s="11" t="s">
        <v>112</v>
      </c>
      <c r="G1914" s="9">
        <v>11</v>
      </c>
      <c r="H1914" s="26">
        <v>64400</v>
      </c>
      <c r="I1914" s="9">
        <v>0</v>
      </c>
      <c r="J1914" s="9">
        <f t="shared" si="58"/>
        <v>708400</v>
      </c>
      <c r="K1914" s="9">
        <f t="shared" si="59"/>
        <v>708400</v>
      </c>
      <c r="L1914" s="11" t="s">
        <v>76</v>
      </c>
      <c r="M1914" s="11" t="s">
        <v>91</v>
      </c>
      <c r="N1914">
        <v>5</v>
      </c>
      <c r="O1914">
        <v>2023</v>
      </c>
      <c r="P1914" s="29" t="s">
        <v>730</v>
      </c>
      <c r="Q1914" t="s">
        <v>736</v>
      </c>
      <c r="R1914" t="s">
        <v>737</v>
      </c>
    </row>
    <row r="1915" spans="1:18" x14ac:dyDescent="0.25">
      <c r="A1915" s="6">
        <v>1914</v>
      </c>
      <c r="B1915" s="7">
        <v>44988</v>
      </c>
      <c r="C1915" s="8" t="s">
        <v>108</v>
      </c>
      <c r="D1915" s="8" t="s">
        <v>93</v>
      </c>
      <c r="E1915" s="8" t="s">
        <v>102</v>
      </c>
      <c r="F1915" s="8" t="s">
        <v>138</v>
      </c>
      <c r="G1915" s="6">
        <v>47</v>
      </c>
      <c r="H1915" s="25">
        <v>6600</v>
      </c>
      <c r="I1915" s="6">
        <v>5</v>
      </c>
      <c r="J1915" s="6">
        <f t="shared" si="58"/>
        <v>310200</v>
      </c>
      <c r="K1915" s="6">
        <f t="shared" si="59"/>
        <v>294690</v>
      </c>
      <c r="L1915" s="8" t="s">
        <v>123</v>
      </c>
      <c r="M1915" s="8" t="s">
        <v>91</v>
      </c>
      <c r="N1915">
        <v>3</v>
      </c>
      <c r="O1915">
        <v>2023</v>
      </c>
      <c r="P1915" s="29" t="s">
        <v>719</v>
      </c>
      <c r="Q1915" t="s">
        <v>735</v>
      </c>
      <c r="R1915" t="s">
        <v>737</v>
      </c>
    </row>
    <row r="1916" spans="1:18" x14ac:dyDescent="0.25">
      <c r="A1916" s="9">
        <v>1915</v>
      </c>
      <c r="B1916" s="10">
        <v>45531</v>
      </c>
      <c r="C1916" s="11" t="s">
        <v>78</v>
      </c>
      <c r="D1916" s="11" t="s">
        <v>83</v>
      </c>
      <c r="E1916" s="11" t="s">
        <v>84</v>
      </c>
      <c r="F1916" s="11" t="s">
        <v>128</v>
      </c>
      <c r="G1916" s="9">
        <v>19</v>
      </c>
      <c r="H1916" s="26">
        <v>3900</v>
      </c>
      <c r="I1916" s="9">
        <v>0</v>
      </c>
      <c r="J1916" s="9">
        <f t="shared" si="58"/>
        <v>74100</v>
      </c>
      <c r="K1916" s="9">
        <f t="shared" si="59"/>
        <v>74100</v>
      </c>
      <c r="L1916" s="11" t="s">
        <v>76</v>
      </c>
      <c r="M1916" s="11" t="s">
        <v>77</v>
      </c>
      <c r="N1916">
        <v>8</v>
      </c>
      <c r="O1916">
        <v>2024</v>
      </c>
      <c r="P1916" s="29" t="s">
        <v>710</v>
      </c>
      <c r="Q1916" t="s">
        <v>734</v>
      </c>
      <c r="R1916" t="s">
        <v>739</v>
      </c>
    </row>
    <row r="1917" spans="1:18" x14ac:dyDescent="0.25">
      <c r="A1917" s="6">
        <v>1916</v>
      </c>
      <c r="B1917" s="7">
        <v>45254</v>
      </c>
      <c r="C1917" s="8" t="s">
        <v>101</v>
      </c>
      <c r="D1917" s="8" t="s">
        <v>109</v>
      </c>
      <c r="E1917" s="8" t="s">
        <v>79</v>
      </c>
      <c r="F1917" s="8" t="s">
        <v>80</v>
      </c>
      <c r="G1917" s="6">
        <v>19</v>
      </c>
      <c r="H1917" s="25">
        <v>9100</v>
      </c>
      <c r="I1917" s="6">
        <v>0</v>
      </c>
      <c r="J1917" s="6">
        <f t="shared" si="58"/>
        <v>172900</v>
      </c>
      <c r="K1917" s="6">
        <f t="shared" si="59"/>
        <v>172900</v>
      </c>
      <c r="L1917" s="8" t="s">
        <v>76</v>
      </c>
      <c r="M1917" s="8" t="s">
        <v>77</v>
      </c>
      <c r="N1917">
        <v>11</v>
      </c>
      <c r="O1917">
        <v>2023</v>
      </c>
      <c r="P1917" s="29" t="s">
        <v>718</v>
      </c>
      <c r="Q1917" t="s">
        <v>733</v>
      </c>
      <c r="R1917" t="s">
        <v>739</v>
      </c>
    </row>
    <row r="1918" spans="1:18" x14ac:dyDescent="0.25">
      <c r="A1918" s="9">
        <v>1917</v>
      </c>
      <c r="B1918" s="10">
        <v>44944</v>
      </c>
      <c r="C1918" s="11" t="s">
        <v>124</v>
      </c>
      <c r="D1918" s="11" t="s">
        <v>117</v>
      </c>
      <c r="E1918" s="11" t="s">
        <v>111</v>
      </c>
      <c r="F1918" s="11" t="s">
        <v>159</v>
      </c>
      <c r="G1918" s="9">
        <v>50</v>
      </c>
      <c r="H1918" s="26">
        <v>12500</v>
      </c>
      <c r="I1918" s="9">
        <v>5</v>
      </c>
      <c r="J1918" s="9">
        <f t="shared" si="58"/>
        <v>625000</v>
      </c>
      <c r="K1918" s="9">
        <f t="shared" si="59"/>
        <v>593750</v>
      </c>
      <c r="L1918" s="11" t="s">
        <v>76</v>
      </c>
      <c r="M1918" s="11" t="s">
        <v>96</v>
      </c>
      <c r="N1918">
        <v>1</v>
      </c>
      <c r="O1918">
        <v>2023</v>
      </c>
      <c r="P1918" s="29" t="s">
        <v>721</v>
      </c>
      <c r="Q1918" t="s">
        <v>735</v>
      </c>
      <c r="R1918" t="s">
        <v>737</v>
      </c>
    </row>
    <row r="1919" spans="1:18" x14ac:dyDescent="0.25">
      <c r="A1919" s="6">
        <v>1918</v>
      </c>
      <c r="B1919" s="7">
        <v>45242</v>
      </c>
      <c r="C1919" s="8" t="s">
        <v>124</v>
      </c>
      <c r="D1919" s="8" t="s">
        <v>73</v>
      </c>
      <c r="E1919" s="8" t="s">
        <v>74</v>
      </c>
      <c r="F1919" s="8" t="s">
        <v>99</v>
      </c>
      <c r="G1919" s="6">
        <v>50</v>
      </c>
      <c r="H1919" s="25">
        <v>3700</v>
      </c>
      <c r="I1919" s="6">
        <v>0</v>
      </c>
      <c r="J1919" s="6">
        <f t="shared" si="58"/>
        <v>185000</v>
      </c>
      <c r="K1919" s="6">
        <f t="shared" si="59"/>
        <v>185000</v>
      </c>
      <c r="L1919" s="8" t="s">
        <v>123</v>
      </c>
      <c r="M1919" s="8" t="s">
        <v>96</v>
      </c>
      <c r="N1919">
        <v>11</v>
      </c>
      <c r="O1919">
        <v>2023</v>
      </c>
      <c r="P1919" s="29" t="s">
        <v>718</v>
      </c>
      <c r="Q1919" t="s">
        <v>733</v>
      </c>
      <c r="R1919" t="s">
        <v>739</v>
      </c>
    </row>
    <row r="1920" spans="1:18" x14ac:dyDescent="0.25">
      <c r="A1920" s="9">
        <v>1919</v>
      </c>
      <c r="B1920" s="10">
        <v>45599</v>
      </c>
      <c r="C1920" s="11" t="s">
        <v>108</v>
      </c>
      <c r="D1920" s="11" t="s">
        <v>109</v>
      </c>
      <c r="E1920" s="11" t="s">
        <v>74</v>
      </c>
      <c r="F1920" s="11" t="s">
        <v>99</v>
      </c>
      <c r="G1920" s="9">
        <v>9</v>
      </c>
      <c r="H1920" s="26">
        <v>3900</v>
      </c>
      <c r="I1920" s="9">
        <v>5</v>
      </c>
      <c r="J1920" s="9">
        <f t="shared" si="58"/>
        <v>35100</v>
      </c>
      <c r="K1920" s="9">
        <f t="shared" si="59"/>
        <v>33345</v>
      </c>
      <c r="L1920" s="11" t="s">
        <v>187</v>
      </c>
      <c r="M1920" s="11" t="s">
        <v>96</v>
      </c>
      <c r="N1920">
        <v>11</v>
      </c>
      <c r="O1920">
        <v>2024</v>
      </c>
      <c r="P1920" s="29" t="s">
        <v>714</v>
      </c>
      <c r="Q1920" t="s">
        <v>733</v>
      </c>
      <c r="R1920" t="s">
        <v>738</v>
      </c>
    </row>
    <row r="1921" spans="1:18" x14ac:dyDescent="0.25">
      <c r="A1921" s="6">
        <v>1920</v>
      </c>
      <c r="B1921" s="7">
        <v>45371</v>
      </c>
      <c r="C1921" s="8" t="s">
        <v>78</v>
      </c>
      <c r="D1921" s="8" t="s">
        <v>73</v>
      </c>
      <c r="E1921" s="8" t="s">
        <v>79</v>
      </c>
      <c r="F1921" s="8" t="s">
        <v>136</v>
      </c>
      <c r="G1921" s="6">
        <v>33</v>
      </c>
      <c r="H1921" s="25">
        <v>92800</v>
      </c>
      <c r="I1921" s="6">
        <v>0</v>
      </c>
      <c r="J1921" s="6">
        <f t="shared" si="58"/>
        <v>3062400</v>
      </c>
      <c r="K1921" s="6">
        <f t="shared" si="59"/>
        <v>3062400</v>
      </c>
      <c r="L1921" s="8" t="s">
        <v>76</v>
      </c>
      <c r="M1921" s="8" t="s">
        <v>81</v>
      </c>
      <c r="N1921">
        <v>3</v>
      </c>
      <c r="O1921">
        <v>2024</v>
      </c>
      <c r="P1921" s="29" t="s">
        <v>711</v>
      </c>
      <c r="Q1921" t="s">
        <v>735</v>
      </c>
      <c r="R1921" t="s">
        <v>737</v>
      </c>
    </row>
    <row r="1922" spans="1:18" x14ac:dyDescent="0.25">
      <c r="A1922" s="9">
        <v>1921</v>
      </c>
      <c r="B1922" s="10">
        <v>45349</v>
      </c>
      <c r="C1922" s="11" t="s">
        <v>82</v>
      </c>
      <c r="D1922" s="11" t="s">
        <v>109</v>
      </c>
      <c r="E1922" s="11" t="s">
        <v>79</v>
      </c>
      <c r="F1922" s="11" t="s">
        <v>172</v>
      </c>
      <c r="G1922" s="9">
        <v>49</v>
      </c>
      <c r="H1922" s="26">
        <v>25000</v>
      </c>
      <c r="I1922" s="9">
        <v>0</v>
      </c>
      <c r="J1922" s="9">
        <f t="shared" ref="J1922:J1985" si="60">G1922*H1922</f>
        <v>1225000</v>
      </c>
      <c r="K1922" s="9">
        <f t="shared" ref="K1922:K1985" si="61">J1922*(1-I1922/100)</f>
        <v>1225000</v>
      </c>
      <c r="L1922" s="11" t="s">
        <v>123</v>
      </c>
      <c r="M1922" s="11" t="s">
        <v>91</v>
      </c>
      <c r="N1922">
        <v>2</v>
      </c>
      <c r="O1922">
        <v>2024</v>
      </c>
      <c r="P1922" s="29" t="s">
        <v>729</v>
      </c>
      <c r="Q1922" t="s">
        <v>735</v>
      </c>
      <c r="R1922" t="s">
        <v>737</v>
      </c>
    </row>
    <row r="1923" spans="1:18" x14ac:dyDescent="0.25">
      <c r="A1923" s="6">
        <v>1922</v>
      </c>
      <c r="B1923" s="7">
        <v>45538</v>
      </c>
      <c r="C1923" s="8" t="s">
        <v>82</v>
      </c>
      <c r="D1923" s="8" t="s">
        <v>73</v>
      </c>
      <c r="E1923" s="8" t="s">
        <v>102</v>
      </c>
      <c r="F1923" s="8" t="s">
        <v>138</v>
      </c>
      <c r="G1923" s="6">
        <v>47</v>
      </c>
      <c r="H1923" s="25">
        <v>6700</v>
      </c>
      <c r="I1923" s="6">
        <v>0</v>
      </c>
      <c r="J1923" s="6">
        <f t="shared" si="60"/>
        <v>314900</v>
      </c>
      <c r="K1923" s="6">
        <f t="shared" si="61"/>
        <v>314900</v>
      </c>
      <c r="L1923" s="8" t="s">
        <v>187</v>
      </c>
      <c r="M1923" s="8" t="s">
        <v>91</v>
      </c>
      <c r="N1923">
        <v>9</v>
      </c>
      <c r="O1923">
        <v>2024</v>
      </c>
      <c r="P1923" s="29" t="s">
        <v>731</v>
      </c>
      <c r="Q1923" t="s">
        <v>734</v>
      </c>
      <c r="R1923" t="s">
        <v>737</v>
      </c>
    </row>
    <row r="1924" spans="1:18" x14ac:dyDescent="0.25">
      <c r="A1924" s="9">
        <v>1923</v>
      </c>
      <c r="B1924" s="10">
        <v>44932</v>
      </c>
      <c r="C1924" s="11" t="s">
        <v>124</v>
      </c>
      <c r="D1924" s="11" t="s">
        <v>73</v>
      </c>
      <c r="E1924" s="11" t="s">
        <v>79</v>
      </c>
      <c r="F1924" s="11" t="s">
        <v>120</v>
      </c>
      <c r="G1924" s="9">
        <v>30</v>
      </c>
      <c r="H1924" s="26">
        <v>6500</v>
      </c>
      <c r="I1924" s="9">
        <v>5</v>
      </c>
      <c r="J1924" s="9">
        <f t="shared" si="60"/>
        <v>195000</v>
      </c>
      <c r="K1924" s="9">
        <f t="shared" si="61"/>
        <v>185250</v>
      </c>
      <c r="L1924" s="11" t="s">
        <v>76</v>
      </c>
      <c r="M1924" s="11" t="s">
        <v>77</v>
      </c>
      <c r="N1924">
        <v>1</v>
      </c>
      <c r="O1924">
        <v>2023</v>
      </c>
      <c r="P1924" s="29" t="s">
        <v>721</v>
      </c>
      <c r="Q1924" t="s">
        <v>735</v>
      </c>
      <c r="R1924" t="s">
        <v>739</v>
      </c>
    </row>
    <row r="1925" spans="1:18" x14ac:dyDescent="0.25">
      <c r="A1925" s="6">
        <v>1924</v>
      </c>
      <c r="B1925" s="7">
        <v>45508</v>
      </c>
      <c r="C1925" s="8" t="s">
        <v>97</v>
      </c>
      <c r="D1925" s="8" t="s">
        <v>109</v>
      </c>
      <c r="E1925" s="8" t="s">
        <v>79</v>
      </c>
      <c r="F1925" s="8" t="s">
        <v>172</v>
      </c>
      <c r="G1925" s="6">
        <v>22</v>
      </c>
      <c r="H1925" s="25">
        <v>27000</v>
      </c>
      <c r="I1925" s="6">
        <v>20</v>
      </c>
      <c r="J1925" s="6">
        <f t="shared" si="60"/>
        <v>594000</v>
      </c>
      <c r="K1925" s="6">
        <f t="shared" si="61"/>
        <v>475200</v>
      </c>
      <c r="L1925" s="8" t="s">
        <v>76</v>
      </c>
      <c r="M1925" s="8" t="s">
        <v>77</v>
      </c>
      <c r="N1925">
        <v>8</v>
      </c>
      <c r="O1925">
        <v>2024</v>
      </c>
      <c r="P1925" s="29" t="s">
        <v>710</v>
      </c>
      <c r="Q1925" t="s">
        <v>734</v>
      </c>
      <c r="R1925" t="s">
        <v>737</v>
      </c>
    </row>
    <row r="1926" spans="1:18" x14ac:dyDescent="0.25">
      <c r="A1926" s="6">
        <v>1925</v>
      </c>
      <c r="B1926" s="7">
        <v>45221</v>
      </c>
      <c r="C1926" s="8" t="s">
        <v>88</v>
      </c>
      <c r="D1926" s="8" t="s">
        <v>93</v>
      </c>
      <c r="E1926" s="8" t="s">
        <v>74</v>
      </c>
      <c r="F1926" s="8" t="s">
        <v>99</v>
      </c>
      <c r="G1926" s="6">
        <v>26</v>
      </c>
      <c r="H1926" s="25">
        <v>3400</v>
      </c>
      <c r="I1926" s="6">
        <v>0</v>
      </c>
      <c r="J1926" s="6">
        <f t="shared" si="60"/>
        <v>88400</v>
      </c>
      <c r="K1926" s="6">
        <f t="shared" si="61"/>
        <v>88400</v>
      </c>
      <c r="L1926" s="8" t="s">
        <v>76</v>
      </c>
      <c r="M1926" s="8" t="s">
        <v>81</v>
      </c>
      <c r="N1926">
        <v>10</v>
      </c>
      <c r="O1926">
        <v>2023</v>
      </c>
      <c r="P1926" s="29" t="s">
        <v>726</v>
      </c>
      <c r="Q1926" t="s">
        <v>733</v>
      </c>
      <c r="R1926" t="s">
        <v>739</v>
      </c>
    </row>
    <row r="1927" spans="1:18" x14ac:dyDescent="0.25">
      <c r="A1927" s="9">
        <v>1926</v>
      </c>
      <c r="B1927" s="10">
        <v>44944</v>
      </c>
      <c r="C1927" s="11" t="s">
        <v>124</v>
      </c>
      <c r="D1927" s="11" t="s">
        <v>83</v>
      </c>
      <c r="E1927" s="11" t="s">
        <v>84</v>
      </c>
      <c r="F1927" s="11" t="s">
        <v>200</v>
      </c>
      <c r="G1927" s="9">
        <v>34</v>
      </c>
      <c r="H1927" s="26">
        <v>3300</v>
      </c>
      <c r="I1927" s="9">
        <v>5</v>
      </c>
      <c r="J1927" s="9">
        <f t="shared" si="60"/>
        <v>112200</v>
      </c>
      <c r="K1927" s="9">
        <f t="shared" si="61"/>
        <v>106590</v>
      </c>
      <c r="L1927" s="11" t="s">
        <v>187</v>
      </c>
      <c r="M1927" s="11" t="s">
        <v>91</v>
      </c>
      <c r="N1927">
        <v>1</v>
      </c>
      <c r="O1927">
        <v>2023</v>
      </c>
      <c r="P1927" s="29" t="s">
        <v>721</v>
      </c>
      <c r="Q1927" t="s">
        <v>735</v>
      </c>
      <c r="R1927" t="s">
        <v>739</v>
      </c>
    </row>
    <row r="1928" spans="1:18" x14ac:dyDescent="0.25">
      <c r="A1928" s="6">
        <v>1927</v>
      </c>
      <c r="B1928" s="7">
        <v>45647</v>
      </c>
      <c r="C1928" s="8" t="s">
        <v>114</v>
      </c>
      <c r="D1928" s="8" t="s">
        <v>93</v>
      </c>
      <c r="E1928" s="8" t="s">
        <v>74</v>
      </c>
      <c r="F1928" s="8" t="s">
        <v>99</v>
      </c>
      <c r="G1928" s="6">
        <v>8</v>
      </c>
      <c r="H1928" s="25">
        <v>3200</v>
      </c>
      <c r="I1928" s="6">
        <v>0</v>
      </c>
      <c r="J1928" s="6">
        <f t="shared" si="60"/>
        <v>25600</v>
      </c>
      <c r="K1928" s="6">
        <f t="shared" si="61"/>
        <v>25600</v>
      </c>
      <c r="L1928" s="8" t="s">
        <v>76</v>
      </c>
      <c r="M1928" s="8" t="s">
        <v>96</v>
      </c>
      <c r="N1928">
        <v>12</v>
      </c>
      <c r="O1928">
        <v>2024</v>
      </c>
      <c r="P1928" s="29" t="s">
        <v>728</v>
      </c>
      <c r="Q1928" t="s">
        <v>733</v>
      </c>
      <c r="R1928" t="s">
        <v>738</v>
      </c>
    </row>
    <row r="1929" spans="1:18" x14ac:dyDescent="0.25">
      <c r="A1929" s="9">
        <v>1928</v>
      </c>
      <c r="B1929" s="10">
        <v>45614</v>
      </c>
      <c r="C1929" s="11" t="s">
        <v>106</v>
      </c>
      <c r="D1929" s="11" t="s">
        <v>93</v>
      </c>
      <c r="E1929" s="11" t="s">
        <v>111</v>
      </c>
      <c r="F1929" s="11" t="s">
        <v>166</v>
      </c>
      <c r="G1929" s="9">
        <v>29</v>
      </c>
      <c r="H1929" s="26">
        <v>31000</v>
      </c>
      <c r="I1929" s="9">
        <v>5</v>
      </c>
      <c r="J1929" s="9">
        <f t="shared" si="60"/>
        <v>899000</v>
      </c>
      <c r="K1929" s="9">
        <f t="shared" si="61"/>
        <v>854050</v>
      </c>
      <c r="L1929" s="11" t="s">
        <v>107</v>
      </c>
      <c r="M1929" s="11" t="s">
        <v>91</v>
      </c>
      <c r="N1929">
        <v>11</v>
      </c>
      <c r="O1929">
        <v>2024</v>
      </c>
      <c r="P1929" s="29" t="s">
        <v>714</v>
      </c>
      <c r="Q1929" t="s">
        <v>733</v>
      </c>
      <c r="R1929" t="s">
        <v>737</v>
      </c>
    </row>
    <row r="1930" spans="1:18" x14ac:dyDescent="0.25">
      <c r="A1930" s="6">
        <v>1929</v>
      </c>
      <c r="B1930" s="7">
        <v>45374</v>
      </c>
      <c r="C1930" s="8" t="s">
        <v>108</v>
      </c>
      <c r="D1930" s="8" t="s">
        <v>73</v>
      </c>
      <c r="E1930" s="8" t="s">
        <v>74</v>
      </c>
      <c r="F1930" s="8" t="s">
        <v>118</v>
      </c>
      <c r="G1930" s="6">
        <v>9</v>
      </c>
      <c r="H1930" s="25">
        <v>28900</v>
      </c>
      <c r="I1930" s="6">
        <v>0</v>
      </c>
      <c r="J1930" s="6">
        <f t="shared" si="60"/>
        <v>260100</v>
      </c>
      <c r="K1930" s="6">
        <f t="shared" si="61"/>
        <v>260100</v>
      </c>
      <c r="L1930" s="8" t="s">
        <v>187</v>
      </c>
      <c r="M1930" s="31" t="s">
        <v>695</v>
      </c>
      <c r="N1930">
        <v>3</v>
      </c>
      <c r="O1930">
        <v>2024</v>
      </c>
      <c r="P1930" s="29" t="s">
        <v>711</v>
      </c>
      <c r="Q1930" t="s">
        <v>735</v>
      </c>
      <c r="R1930" t="s">
        <v>737</v>
      </c>
    </row>
    <row r="1931" spans="1:18" x14ac:dyDescent="0.25">
      <c r="A1931" s="9">
        <v>1930</v>
      </c>
      <c r="B1931" s="10">
        <v>44959</v>
      </c>
      <c r="C1931" s="11" t="s">
        <v>78</v>
      </c>
      <c r="D1931" s="11" t="s">
        <v>117</v>
      </c>
      <c r="E1931" s="11" t="s">
        <v>111</v>
      </c>
      <c r="F1931" s="11" t="s">
        <v>165</v>
      </c>
      <c r="G1931" s="9">
        <v>20</v>
      </c>
      <c r="H1931" s="26">
        <v>18100</v>
      </c>
      <c r="I1931" s="9">
        <v>20</v>
      </c>
      <c r="J1931" s="9">
        <f t="shared" si="60"/>
        <v>362000</v>
      </c>
      <c r="K1931" s="9">
        <f t="shared" si="61"/>
        <v>289600</v>
      </c>
      <c r="L1931" s="11" t="s">
        <v>123</v>
      </c>
      <c r="M1931" s="11" t="s">
        <v>77</v>
      </c>
      <c r="N1931">
        <v>2</v>
      </c>
      <c r="O1931">
        <v>2023</v>
      </c>
      <c r="P1931" s="29" t="s">
        <v>717</v>
      </c>
      <c r="Q1931" t="s">
        <v>735</v>
      </c>
      <c r="R1931" t="s">
        <v>737</v>
      </c>
    </row>
    <row r="1932" spans="1:18" x14ac:dyDescent="0.25">
      <c r="A1932" s="6">
        <v>1931</v>
      </c>
      <c r="B1932" s="7">
        <v>45233</v>
      </c>
      <c r="C1932" s="8" t="s">
        <v>97</v>
      </c>
      <c r="D1932" s="8" t="s">
        <v>73</v>
      </c>
      <c r="E1932" s="8" t="s">
        <v>111</v>
      </c>
      <c r="F1932" s="8" t="s">
        <v>159</v>
      </c>
      <c r="G1932" s="6">
        <v>8</v>
      </c>
      <c r="H1932" s="25">
        <v>12800</v>
      </c>
      <c r="I1932" s="6">
        <v>0</v>
      </c>
      <c r="J1932" s="6">
        <f t="shared" si="60"/>
        <v>102400</v>
      </c>
      <c r="K1932" s="6">
        <f t="shared" si="61"/>
        <v>102400</v>
      </c>
      <c r="L1932" s="8" t="s">
        <v>107</v>
      </c>
      <c r="M1932" s="8" t="s">
        <v>77</v>
      </c>
      <c r="N1932">
        <v>11</v>
      </c>
      <c r="O1932">
        <v>2023</v>
      </c>
      <c r="P1932" s="29" t="s">
        <v>718</v>
      </c>
      <c r="Q1932" t="s">
        <v>733</v>
      </c>
      <c r="R1932" t="s">
        <v>739</v>
      </c>
    </row>
    <row r="1933" spans="1:18" x14ac:dyDescent="0.25">
      <c r="A1933" s="9">
        <v>1932</v>
      </c>
      <c r="B1933" s="10">
        <v>45302</v>
      </c>
      <c r="C1933" s="11" t="s">
        <v>101</v>
      </c>
      <c r="D1933" s="11" t="s">
        <v>93</v>
      </c>
      <c r="E1933" s="11" t="s">
        <v>84</v>
      </c>
      <c r="F1933" s="11" t="s">
        <v>150</v>
      </c>
      <c r="G1933" s="9">
        <v>37</v>
      </c>
      <c r="H1933" s="26">
        <v>6100</v>
      </c>
      <c r="I1933" s="9">
        <v>10</v>
      </c>
      <c r="J1933" s="9">
        <f t="shared" si="60"/>
        <v>225700</v>
      </c>
      <c r="K1933" s="9">
        <f t="shared" si="61"/>
        <v>203130</v>
      </c>
      <c r="L1933" s="11" t="s">
        <v>187</v>
      </c>
      <c r="M1933" s="11" t="s">
        <v>96</v>
      </c>
      <c r="N1933">
        <v>1</v>
      </c>
      <c r="O1933">
        <v>2024</v>
      </c>
      <c r="P1933" s="29" t="s">
        <v>727</v>
      </c>
      <c r="Q1933" t="s">
        <v>735</v>
      </c>
      <c r="R1933" t="s">
        <v>737</v>
      </c>
    </row>
    <row r="1934" spans="1:18" x14ac:dyDescent="0.25">
      <c r="A1934" s="6">
        <v>1933</v>
      </c>
      <c r="B1934" s="7">
        <v>45017</v>
      </c>
      <c r="C1934" s="8" t="s">
        <v>88</v>
      </c>
      <c r="D1934" s="8" t="s">
        <v>109</v>
      </c>
      <c r="E1934" s="8" t="s">
        <v>79</v>
      </c>
      <c r="F1934" s="8" t="s">
        <v>120</v>
      </c>
      <c r="G1934" s="6">
        <v>3</v>
      </c>
      <c r="H1934" s="25">
        <v>6600</v>
      </c>
      <c r="I1934" s="6">
        <v>20</v>
      </c>
      <c r="J1934" s="6">
        <f t="shared" si="60"/>
        <v>19800</v>
      </c>
      <c r="K1934" s="6">
        <f t="shared" si="61"/>
        <v>15840</v>
      </c>
      <c r="L1934" s="8" t="s">
        <v>76</v>
      </c>
      <c r="M1934" s="8" t="s">
        <v>77</v>
      </c>
      <c r="N1934">
        <v>4</v>
      </c>
      <c r="O1934">
        <v>2023</v>
      </c>
      <c r="P1934" s="29" t="s">
        <v>716</v>
      </c>
      <c r="Q1934" t="s">
        <v>736</v>
      </c>
      <c r="R1934" t="s">
        <v>738</v>
      </c>
    </row>
    <row r="1935" spans="1:18" x14ac:dyDescent="0.25">
      <c r="A1935" s="9">
        <v>1934</v>
      </c>
      <c r="B1935" s="10">
        <v>45530</v>
      </c>
      <c r="C1935" s="11" t="s">
        <v>101</v>
      </c>
      <c r="D1935" s="11" t="s">
        <v>93</v>
      </c>
      <c r="E1935" s="11" t="s">
        <v>111</v>
      </c>
      <c r="F1935" s="11" t="s">
        <v>165</v>
      </c>
      <c r="G1935" s="9">
        <v>34</v>
      </c>
      <c r="H1935" s="26">
        <v>19700</v>
      </c>
      <c r="I1935" s="9">
        <v>15</v>
      </c>
      <c r="J1935" s="9">
        <f t="shared" si="60"/>
        <v>669800</v>
      </c>
      <c r="K1935" s="9">
        <f t="shared" si="61"/>
        <v>569330</v>
      </c>
      <c r="L1935" s="11" t="s">
        <v>123</v>
      </c>
      <c r="M1935" s="11" t="s">
        <v>81</v>
      </c>
      <c r="N1935">
        <v>8</v>
      </c>
      <c r="O1935">
        <v>2024</v>
      </c>
      <c r="P1935" s="29" t="s">
        <v>710</v>
      </c>
      <c r="Q1935" t="s">
        <v>734</v>
      </c>
      <c r="R1935" t="s">
        <v>737</v>
      </c>
    </row>
    <row r="1936" spans="1:18" x14ac:dyDescent="0.25">
      <c r="A1936" s="6">
        <v>1935</v>
      </c>
      <c r="B1936" s="7">
        <v>45141</v>
      </c>
      <c r="C1936" s="8" t="s">
        <v>106</v>
      </c>
      <c r="D1936" s="8" t="s">
        <v>83</v>
      </c>
      <c r="E1936" s="8" t="s">
        <v>102</v>
      </c>
      <c r="F1936" s="8" t="s">
        <v>197</v>
      </c>
      <c r="G1936" s="6">
        <v>27</v>
      </c>
      <c r="H1936" s="25">
        <v>4100</v>
      </c>
      <c r="I1936" s="6">
        <v>0</v>
      </c>
      <c r="J1936" s="6">
        <f t="shared" si="60"/>
        <v>110700</v>
      </c>
      <c r="K1936" s="6">
        <f t="shared" si="61"/>
        <v>110700</v>
      </c>
      <c r="L1936" s="8" t="s">
        <v>76</v>
      </c>
      <c r="M1936" s="8" t="s">
        <v>96</v>
      </c>
      <c r="N1936">
        <v>8</v>
      </c>
      <c r="O1936">
        <v>2023</v>
      </c>
      <c r="P1936" s="29" t="s">
        <v>713</v>
      </c>
      <c r="Q1936" t="s">
        <v>734</v>
      </c>
      <c r="R1936" t="s">
        <v>739</v>
      </c>
    </row>
    <row r="1937" spans="1:18" x14ac:dyDescent="0.25">
      <c r="A1937" s="9">
        <v>1936</v>
      </c>
      <c r="B1937" s="10">
        <v>45347</v>
      </c>
      <c r="C1937" s="11" t="s">
        <v>114</v>
      </c>
      <c r="D1937" s="11" t="s">
        <v>73</v>
      </c>
      <c r="E1937" s="11" t="s">
        <v>84</v>
      </c>
      <c r="F1937" s="11" t="s">
        <v>90</v>
      </c>
      <c r="G1937" s="9">
        <v>4</v>
      </c>
      <c r="H1937" s="26">
        <v>1800</v>
      </c>
      <c r="I1937" s="6">
        <v>0</v>
      </c>
      <c r="J1937" s="9">
        <f t="shared" si="60"/>
        <v>7200</v>
      </c>
      <c r="K1937" s="9">
        <f t="shared" si="61"/>
        <v>7200</v>
      </c>
      <c r="L1937" s="11" t="s">
        <v>76</v>
      </c>
      <c r="M1937" s="11" t="s">
        <v>96</v>
      </c>
      <c r="N1937">
        <v>2</v>
      </c>
      <c r="O1937">
        <v>2024</v>
      </c>
      <c r="P1937" s="29" t="s">
        <v>729</v>
      </c>
      <c r="Q1937" t="s">
        <v>735</v>
      </c>
      <c r="R1937" t="s">
        <v>738</v>
      </c>
    </row>
    <row r="1938" spans="1:18" x14ac:dyDescent="0.25">
      <c r="A1938" s="6">
        <v>1937</v>
      </c>
      <c r="B1938" s="7">
        <v>45165</v>
      </c>
      <c r="C1938" s="8" t="s">
        <v>108</v>
      </c>
      <c r="D1938" s="8" t="s">
        <v>117</v>
      </c>
      <c r="E1938" s="8" t="s">
        <v>111</v>
      </c>
      <c r="F1938" s="8" t="s">
        <v>166</v>
      </c>
      <c r="G1938" s="6">
        <v>45</v>
      </c>
      <c r="H1938" s="25">
        <v>26700</v>
      </c>
      <c r="I1938" s="6">
        <v>10</v>
      </c>
      <c r="J1938" s="6">
        <f t="shared" si="60"/>
        <v>1201500</v>
      </c>
      <c r="K1938" s="6">
        <f t="shared" si="61"/>
        <v>1081350</v>
      </c>
      <c r="L1938" s="8" t="s">
        <v>123</v>
      </c>
      <c r="M1938" s="8" t="s">
        <v>96</v>
      </c>
      <c r="N1938">
        <v>8</v>
      </c>
      <c r="O1938">
        <v>2023</v>
      </c>
      <c r="P1938" s="29" t="s">
        <v>713</v>
      </c>
      <c r="Q1938" t="s">
        <v>734</v>
      </c>
      <c r="R1938" t="s">
        <v>737</v>
      </c>
    </row>
    <row r="1939" spans="1:18" x14ac:dyDescent="0.25">
      <c r="A1939" s="6">
        <v>1938</v>
      </c>
      <c r="B1939" s="7">
        <v>45420</v>
      </c>
      <c r="C1939" s="8" t="s">
        <v>97</v>
      </c>
      <c r="D1939" s="8" t="s">
        <v>93</v>
      </c>
      <c r="E1939" s="8" t="s">
        <v>111</v>
      </c>
      <c r="F1939" s="8" t="s">
        <v>192</v>
      </c>
      <c r="G1939" s="6">
        <v>17</v>
      </c>
      <c r="H1939" s="25">
        <v>87100</v>
      </c>
      <c r="I1939" s="6">
        <v>20</v>
      </c>
      <c r="J1939" s="6">
        <f t="shared" si="60"/>
        <v>1480700</v>
      </c>
      <c r="K1939" s="6">
        <f t="shared" si="61"/>
        <v>1184560</v>
      </c>
      <c r="L1939" s="8" t="s">
        <v>76</v>
      </c>
      <c r="M1939" s="8" t="s">
        <v>91</v>
      </c>
      <c r="N1939">
        <v>5</v>
      </c>
      <c r="O1939">
        <v>2024</v>
      </c>
      <c r="P1939" s="29" t="s">
        <v>732</v>
      </c>
      <c r="Q1939" t="s">
        <v>736</v>
      </c>
      <c r="R1939" t="s">
        <v>737</v>
      </c>
    </row>
    <row r="1940" spans="1:18" x14ac:dyDescent="0.25">
      <c r="A1940" s="9">
        <v>1939</v>
      </c>
      <c r="B1940" s="10">
        <v>45484</v>
      </c>
      <c r="C1940" s="11" t="s">
        <v>108</v>
      </c>
      <c r="D1940" s="11" t="s">
        <v>73</v>
      </c>
      <c r="E1940" s="11" t="s">
        <v>84</v>
      </c>
      <c r="F1940" s="11" t="s">
        <v>85</v>
      </c>
      <c r="G1940" s="9">
        <v>30</v>
      </c>
      <c r="H1940" s="26">
        <v>4900</v>
      </c>
      <c r="I1940" s="9">
        <v>0</v>
      </c>
      <c r="J1940" s="9">
        <f t="shared" si="60"/>
        <v>147000</v>
      </c>
      <c r="K1940" s="9">
        <f t="shared" si="61"/>
        <v>147000</v>
      </c>
      <c r="L1940" s="11" t="s">
        <v>187</v>
      </c>
      <c r="M1940" s="11" t="s">
        <v>81</v>
      </c>
      <c r="N1940">
        <v>7</v>
      </c>
      <c r="O1940">
        <v>2024</v>
      </c>
      <c r="P1940" s="29" t="s">
        <v>712</v>
      </c>
      <c r="Q1940" t="s">
        <v>734</v>
      </c>
      <c r="R1940" t="s">
        <v>739</v>
      </c>
    </row>
    <row r="1941" spans="1:18" x14ac:dyDescent="0.25">
      <c r="A1941" s="6">
        <v>1940</v>
      </c>
      <c r="B1941" s="7">
        <v>44961</v>
      </c>
      <c r="C1941" s="8" t="s">
        <v>114</v>
      </c>
      <c r="D1941" s="8" t="s">
        <v>73</v>
      </c>
      <c r="E1941" s="8" t="s">
        <v>84</v>
      </c>
      <c r="F1941" s="8" t="s">
        <v>206</v>
      </c>
      <c r="G1941" s="6">
        <v>43</v>
      </c>
      <c r="H1941" s="25">
        <v>14800</v>
      </c>
      <c r="I1941" s="6">
        <v>20</v>
      </c>
      <c r="J1941" s="6">
        <f t="shared" si="60"/>
        <v>636400</v>
      </c>
      <c r="K1941" s="6">
        <f t="shared" si="61"/>
        <v>509120</v>
      </c>
      <c r="L1941" s="8" t="s">
        <v>76</v>
      </c>
      <c r="M1941" s="8" t="s">
        <v>77</v>
      </c>
      <c r="N1941">
        <v>2</v>
      </c>
      <c r="O1941">
        <v>2023</v>
      </c>
      <c r="P1941" s="29" t="s">
        <v>717</v>
      </c>
      <c r="Q1941" t="s">
        <v>735</v>
      </c>
      <c r="R1941" t="s">
        <v>737</v>
      </c>
    </row>
    <row r="1942" spans="1:18" x14ac:dyDescent="0.25">
      <c r="A1942" s="9">
        <v>1941</v>
      </c>
      <c r="B1942" s="10">
        <v>45633</v>
      </c>
      <c r="C1942" s="11" t="s">
        <v>97</v>
      </c>
      <c r="D1942" s="11" t="s">
        <v>109</v>
      </c>
      <c r="E1942" s="11" t="s">
        <v>74</v>
      </c>
      <c r="F1942" s="11" t="s">
        <v>99</v>
      </c>
      <c r="G1942" s="9">
        <v>8</v>
      </c>
      <c r="H1942" s="26">
        <v>3900</v>
      </c>
      <c r="I1942" s="9">
        <v>0</v>
      </c>
      <c r="J1942" s="9">
        <f t="shared" si="60"/>
        <v>31200</v>
      </c>
      <c r="K1942" s="9">
        <f t="shared" si="61"/>
        <v>31200</v>
      </c>
      <c r="L1942" s="11" t="s">
        <v>76</v>
      </c>
      <c r="M1942" s="11" t="s">
        <v>91</v>
      </c>
      <c r="N1942">
        <v>12</v>
      </c>
      <c r="O1942">
        <v>2024</v>
      </c>
      <c r="P1942" s="29" t="s">
        <v>728</v>
      </c>
      <c r="Q1942" t="s">
        <v>733</v>
      </c>
      <c r="R1942" t="s">
        <v>738</v>
      </c>
    </row>
    <row r="1943" spans="1:18" x14ac:dyDescent="0.25">
      <c r="A1943" s="6">
        <v>1942</v>
      </c>
      <c r="B1943" s="7">
        <v>45389</v>
      </c>
      <c r="C1943" s="8" t="s">
        <v>82</v>
      </c>
      <c r="D1943" s="8" t="s">
        <v>93</v>
      </c>
      <c r="E1943" s="8" t="s">
        <v>74</v>
      </c>
      <c r="F1943" s="8" t="s">
        <v>94</v>
      </c>
      <c r="G1943" s="6">
        <v>5</v>
      </c>
      <c r="H1943" s="25">
        <v>38600</v>
      </c>
      <c r="I1943" s="6">
        <v>0</v>
      </c>
      <c r="J1943" s="6">
        <f t="shared" si="60"/>
        <v>193000</v>
      </c>
      <c r="K1943" s="6">
        <f t="shared" si="61"/>
        <v>193000</v>
      </c>
      <c r="L1943" s="8" t="s">
        <v>123</v>
      </c>
      <c r="M1943" s="8" t="s">
        <v>91</v>
      </c>
      <c r="N1943">
        <v>4</v>
      </c>
      <c r="O1943">
        <v>2024</v>
      </c>
      <c r="P1943" s="29" t="s">
        <v>722</v>
      </c>
      <c r="Q1943" t="s">
        <v>736</v>
      </c>
      <c r="R1943" t="s">
        <v>739</v>
      </c>
    </row>
    <row r="1944" spans="1:18" x14ac:dyDescent="0.25">
      <c r="A1944" s="9">
        <v>1943</v>
      </c>
      <c r="B1944" s="10">
        <v>45149</v>
      </c>
      <c r="C1944" s="11" t="s">
        <v>82</v>
      </c>
      <c r="D1944" s="11" t="s">
        <v>109</v>
      </c>
      <c r="E1944" s="11" t="s">
        <v>84</v>
      </c>
      <c r="F1944" s="11" t="s">
        <v>150</v>
      </c>
      <c r="G1944" s="9">
        <v>23</v>
      </c>
      <c r="H1944" s="26">
        <v>5600</v>
      </c>
      <c r="I1944" s="9">
        <v>10</v>
      </c>
      <c r="J1944" s="9">
        <f t="shared" si="60"/>
        <v>128800</v>
      </c>
      <c r="K1944" s="9">
        <f t="shared" si="61"/>
        <v>115920</v>
      </c>
      <c r="L1944" s="11" t="s">
        <v>76</v>
      </c>
      <c r="M1944" s="11" t="s">
        <v>81</v>
      </c>
      <c r="N1944">
        <v>8</v>
      </c>
      <c r="O1944">
        <v>2023</v>
      </c>
      <c r="P1944" s="29" t="s">
        <v>713</v>
      </c>
      <c r="Q1944" t="s">
        <v>734</v>
      </c>
      <c r="R1944" t="s">
        <v>739</v>
      </c>
    </row>
    <row r="1945" spans="1:18" x14ac:dyDescent="0.25">
      <c r="A1945" s="6">
        <v>1944</v>
      </c>
      <c r="B1945" s="7">
        <v>45377</v>
      </c>
      <c r="C1945" s="8" t="s">
        <v>82</v>
      </c>
      <c r="D1945" s="8" t="s">
        <v>117</v>
      </c>
      <c r="E1945" s="8" t="s">
        <v>111</v>
      </c>
      <c r="F1945" s="8" t="s">
        <v>192</v>
      </c>
      <c r="G1945" s="6">
        <v>4</v>
      </c>
      <c r="H1945" s="25">
        <v>98300</v>
      </c>
      <c r="I1945" s="6">
        <v>10</v>
      </c>
      <c r="J1945" s="6">
        <f t="shared" si="60"/>
        <v>393200</v>
      </c>
      <c r="K1945" s="6">
        <f t="shared" si="61"/>
        <v>353880</v>
      </c>
      <c r="L1945" s="8" t="s">
        <v>187</v>
      </c>
      <c r="M1945" s="8" t="s">
        <v>96</v>
      </c>
      <c r="N1945">
        <v>3</v>
      </c>
      <c r="O1945">
        <v>2024</v>
      </c>
      <c r="P1945" s="29" t="s">
        <v>711</v>
      </c>
      <c r="Q1945" t="s">
        <v>735</v>
      </c>
      <c r="R1945" t="s">
        <v>737</v>
      </c>
    </row>
    <row r="1946" spans="1:18" x14ac:dyDescent="0.25">
      <c r="A1946" s="9">
        <v>1945</v>
      </c>
      <c r="B1946" s="10">
        <v>44974</v>
      </c>
      <c r="C1946" s="11" t="s">
        <v>114</v>
      </c>
      <c r="D1946" s="11" t="s">
        <v>83</v>
      </c>
      <c r="E1946" s="11" t="s">
        <v>74</v>
      </c>
      <c r="F1946" s="11" t="s">
        <v>99</v>
      </c>
      <c r="G1946" s="9">
        <v>12</v>
      </c>
      <c r="H1946" s="26">
        <v>3700</v>
      </c>
      <c r="I1946" s="9">
        <v>10</v>
      </c>
      <c r="J1946" s="9">
        <f t="shared" si="60"/>
        <v>44400</v>
      </c>
      <c r="K1946" s="9">
        <f t="shared" si="61"/>
        <v>39960</v>
      </c>
      <c r="L1946" s="11" t="s">
        <v>187</v>
      </c>
      <c r="M1946" s="11" t="s">
        <v>91</v>
      </c>
      <c r="N1946">
        <v>2</v>
      </c>
      <c r="O1946">
        <v>2023</v>
      </c>
      <c r="P1946" s="29" t="s">
        <v>717</v>
      </c>
      <c r="Q1946" t="s">
        <v>735</v>
      </c>
      <c r="R1946" t="s">
        <v>738</v>
      </c>
    </row>
    <row r="1947" spans="1:18" x14ac:dyDescent="0.25">
      <c r="A1947" s="6">
        <v>1946</v>
      </c>
      <c r="B1947" s="7">
        <v>45014</v>
      </c>
      <c r="C1947" s="8" t="s">
        <v>101</v>
      </c>
      <c r="D1947" s="8" t="s">
        <v>93</v>
      </c>
      <c r="E1947" s="8" t="s">
        <v>111</v>
      </c>
      <c r="F1947" s="8" t="s">
        <v>112</v>
      </c>
      <c r="G1947" s="6">
        <v>43</v>
      </c>
      <c r="H1947" s="25">
        <v>70900</v>
      </c>
      <c r="I1947" s="6">
        <v>10</v>
      </c>
      <c r="J1947" s="6">
        <f t="shared" si="60"/>
        <v>3048700</v>
      </c>
      <c r="K1947" s="6">
        <f t="shared" si="61"/>
        <v>2743830</v>
      </c>
      <c r="L1947" s="8" t="s">
        <v>76</v>
      </c>
      <c r="M1947" s="8" t="s">
        <v>81</v>
      </c>
      <c r="N1947">
        <v>3</v>
      </c>
      <c r="O1947">
        <v>2023</v>
      </c>
      <c r="P1947" s="29" t="s">
        <v>719</v>
      </c>
      <c r="Q1947" t="s">
        <v>735</v>
      </c>
      <c r="R1947" t="s">
        <v>737</v>
      </c>
    </row>
    <row r="1948" spans="1:18" x14ac:dyDescent="0.25">
      <c r="A1948" s="9">
        <v>1947</v>
      </c>
      <c r="B1948" s="10">
        <v>45438</v>
      </c>
      <c r="C1948" s="11" t="s">
        <v>124</v>
      </c>
      <c r="D1948" s="11" t="s">
        <v>117</v>
      </c>
      <c r="E1948" s="11" t="s">
        <v>84</v>
      </c>
      <c r="F1948" s="11" t="s">
        <v>148</v>
      </c>
      <c r="G1948" s="9">
        <v>33</v>
      </c>
      <c r="H1948" s="26">
        <v>5000</v>
      </c>
      <c r="I1948" s="9">
        <v>10</v>
      </c>
      <c r="J1948" s="9">
        <f t="shared" si="60"/>
        <v>165000</v>
      </c>
      <c r="K1948" s="9">
        <f t="shared" si="61"/>
        <v>148500</v>
      </c>
      <c r="L1948" s="11" t="s">
        <v>76</v>
      </c>
      <c r="M1948" s="11" t="s">
        <v>91</v>
      </c>
      <c r="N1948">
        <v>5</v>
      </c>
      <c r="O1948">
        <v>2024</v>
      </c>
      <c r="P1948" s="29" t="s">
        <v>732</v>
      </c>
      <c r="Q1948" t="s">
        <v>736</v>
      </c>
      <c r="R1948" t="s">
        <v>739</v>
      </c>
    </row>
    <row r="1949" spans="1:18" x14ac:dyDescent="0.25">
      <c r="A1949" s="6">
        <v>1948</v>
      </c>
      <c r="B1949" s="7">
        <v>45613</v>
      </c>
      <c r="C1949" s="8" t="s">
        <v>119</v>
      </c>
      <c r="D1949" s="8" t="s">
        <v>73</v>
      </c>
      <c r="E1949" s="8" t="s">
        <v>74</v>
      </c>
      <c r="F1949" s="8" t="s">
        <v>94</v>
      </c>
      <c r="G1949" s="6">
        <v>15</v>
      </c>
      <c r="H1949" s="25">
        <v>36700</v>
      </c>
      <c r="I1949" s="6">
        <v>20</v>
      </c>
      <c r="J1949" s="6">
        <f t="shared" si="60"/>
        <v>550500</v>
      </c>
      <c r="K1949" s="6">
        <f t="shared" si="61"/>
        <v>440400</v>
      </c>
      <c r="L1949" s="8" t="s">
        <v>187</v>
      </c>
      <c r="M1949" s="8" t="s">
        <v>96</v>
      </c>
      <c r="N1949">
        <v>11</v>
      </c>
      <c r="O1949">
        <v>2024</v>
      </c>
      <c r="P1949" s="29" t="s">
        <v>714</v>
      </c>
      <c r="Q1949" t="s">
        <v>733</v>
      </c>
      <c r="R1949" t="s">
        <v>737</v>
      </c>
    </row>
    <row r="1950" spans="1:18" x14ac:dyDescent="0.25">
      <c r="A1950" s="9">
        <v>1949</v>
      </c>
      <c r="B1950" s="10">
        <v>44930</v>
      </c>
      <c r="C1950" s="11" t="s">
        <v>124</v>
      </c>
      <c r="D1950" s="11" t="s">
        <v>83</v>
      </c>
      <c r="E1950" s="11" t="s">
        <v>79</v>
      </c>
      <c r="F1950" s="11" t="s">
        <v>120</v>
      </c>
      <c r="G1950" s="9">
        <v>32</v>
      </c>
      <c r="H1950" s="26">
        <v>6000</v>
      </c>
      <c r="I1950" s="9">
        <v>0</v>
      </c>
      <c r="J1950" s="9">
        <f t="shared" si="60"/>
        <v>192000</v>
      </c>
      <c r="K1950" s="9">
        <f t="shared" si="61"/>
        <v>192000</v>
      </c>
      <c r="L1950" s="11" t="s">
        <v>107</v>
      </c>
      <c r="M1950" s="11" t="s">
        <v>81</v>
      </c>
      <c r="N1950">
        <v>1</v>
      </c>
      <c r="O1950">
        <v>2023</v>
      </c>
      <c r="P1950" s="29" t="s">
        <v>721</v>
      </c>
      <c r="Q1950" t="s">
        <v>735</v>
      </c>
      <c r="R1950" t="s">
        <v>739</v>
      </c>
    </row>
    <row r="1951" spans="1:18" x14ac:dyDescent="0.25">
      <c r="A1951" s="6">
        <v>1950</v>
      </c>
      <c r="B1951" s="7">
        <v>45426</v>
      </c>
      <c r="C1951" s="8" t="s">
        <v>101</v>
      </c>
      <c r="D1951" s="8" t="s">
        <v>93</v>
      </c>
      <c r="E1951" s="8" t="s">
        <v>102</v>
      </c>
      <c r="F1951" s="8" t="s">
        <v>181</v>
      </c>
      <c r="G1951" s="6">
        <v>25</v>
      </c>
      <c r="H1951" s="25">
        <v>4400</v>
      </c>
      <c r="I1951" s="6">
        <v>10</v>
      </c>
      <c r="J1951" s="6">
        <f t="shared" si="60"/>
        <v>110000</v>
      </c>
      <c r="K1951" s="6">
        <f t="shared" si="61"/>
        <v>99000</v>
      </c>
      <c r="L1951" s="8" t="s">
        <v>76</v>
      </c>
      <c r="M1951" s="8" t="s">
        <v>91</v>
      </c>
      <c r="N1951">
        <v>5</v>
      </c>
      <c r="O1951">
        <v>2024</v>
      </c>
      <c r="P1951" s="29" t="s">
        <v>732</v>
      </c>
      <c r="Q1951" t="s">
        <v>736</v>
      </c>
      <c r="R1951" t="s">
        <v>739</v>
      </c>
    </row>
    <row r="1952" spans="1:18" x14ac:dyDescent="0.25">
      <c r="A1952" s="9">
        <v>1951</v>
      </c>
      <c r="B1952" s="10">
        <v>45423</v>
      </c>
      <c r="C1952" s="11" t="s">
        <v>114</v>
      </c>
      <c r="D1952" s="11" t="s">
        <v>109</v>
      </c>
      <c r="E1952" s="11" t="s">
        <v>74</v>
      </c>
      <c r="F1952" s="11" t="s">
        <v>94</v>
      </c>
      <c r="G1952" s="9">
        <v>27</v>
      </c>
      <c r="H1952" s="26">
        <v>39200</v>
      </c>
      <c r="I1952" s="9">
        <v>20</v>
      </c>
      <c r="J1952" s="9">
        <f t="shared" si="60"/>
        <v>1058400</v>
      </c>
      <c r="K1952" s="9">
        <f t="shared" si="61"/>
        <v>846720</v>
      </c>
      <c r="L1952" s="11" t="s">
        <v>187</v>
      </c>
      <c r="M1952" s="11" t="s">
        <v>96</v>
      </c>
      <c r="N1952">
        <v>5</v>
      </c>
      <c r="O1952">
        <v>2024</v>
      </c>
      <c r="P1952" s="29" t="s">
        <v>732</v>
      </c>
      <c r="Q1952" t="s">
        <v>736</v>
      </c>
      <c r="R1952" t="s">
        <v>737</v>
      </c>
    </row>
    <row r="1953" spans="1:18" x14ac:dyDescent="0.25">
      <c r="A1953" s="6">
        <v>1952</v>
      </c>
      <c r="B1953" s="7">
        <v>45551</v>
      </c>
      <c r="C1953" s="8" t="s">
        <v>114</v>
      </c>
      <c r="D1953" s="8" t="s">
        <v>83</v>
      </c>
      <c r="E1953" s="8" t="s">
        <v>102</v>
      </c>
      <c r="F1953" s="8" t="s">
        <v>181</v>
      </c>
      <c r="G1953" s="6">
        <v>40</v>
      </c>
      <c r="H1953" s="25">
        <v>4900</v>
      </c>
      <c r="I1953" s="6">
        <v>5</v>
      </c>
      <c r="J1953" s="6">
        <f t="shared" si="60"/>
        <v>196000</v>
      </c>
      <c r="K1953" s="6">
        <f t="shared" si="61"/>
        <v>186200</v>
      </c>
      <c r="L1953" s="8" t="s">
        <v>76</v>
      </c>
      <c r="M1953" s="8" t="s">
        <v>96</v>
      </c>
      <c r="N1953">
        <v>9</v>
      </c>
      <c r="O1953">
        <v>2024</v>
      </c>
      <c r="P1953" s="29" t="s">
        <v>731</v>
      </c>
      <c r="Q1953" t="s">
        <v>734</v>
      </c>
      <c r="R1953" t="s">
        <v>739</v>
      </c>
    </row>
    <row r="1954" spans="1:18" x14ac:dyDescent="0.25">
      <c r="A1954" s="9">
        <v>1953</v>
      </c>
      <c r="B1954" s="10">
        <v>45479</v>
      </c>
      <c r="C1954" s="11" t="s">
        <v>101</v>
      </c>
      <c r="D1954" s="11" t="s">
        <v>109</v>
      </c>
      <c r="E1954" s="11" t="s">
        <v>79</v>
      </c>
      <c r="F1954" s="11" t="s">
        <v>172</v>
      </c>
      <c r="G1954" s="9">
        <v>36</v>
      </c>
      <c r="H1954" s="26">
        <v>22600</v>
      </c>
      <c r="I1954" s="9">
        <v>0</v>
      </c>
      <c r="J1954" s="9">
        <f t="shared" si="60"/>
        <v>813600</v>
      </c>
      <c r="K1954" s="9">
        <f t="shared" si="61"/>
        <v>813600</v>
      </c>
      <c r="L1954" s="11" t="s">
        <v>76</v>
      </c>
      <c r="M1954" s="11" t="s">
        <v>91</v>
      </c>
      <c r="N1954">
        <v>7</v>
      </c>
      <c r="O1954">
        <v>2024</v>
      </c>
      <c r="P1954" s="29" t="s">
        <v>712</v>
      </c>
      <c r="Q1954" t="s">
        <v>734</v>
      </c>
      <c r="R1954" t="s">
        <v>737</v>
      </c>
    </row>
    <row r="1955" spans="1:18" x14ac:dyDescent="0.25">
      <c r="A1955" s="6">
        <v>1954</v>
      </c>
      <c r="B1955" s="7">
        <v>45090</v>
      </c>
      <c r="C1955" s="8" t="s">
        <v>88</v>
      </c>
      <c r="D1955" s="8" t="s">
        <v>93</v>
      </c>
      <c r="E1955" s="8" t="s">
        <v>84</v>
      </c>
      <c r="F1955" s="8" t="s">
        <v>148</v>
      </c>
      <c r="G1955" s="6">
        <v>35</v>
      </c>
      <c r="H1955" s="25">
        <v>4700</v>
      </c>
      <c r="I1955" s="6">
        <v>0</v>
      </c>
      <c r="J1955" s="6">
        <f t="shared" si="60"/>
        <v>164500</v>
      </c>
      <c r="K1955" s="6">
        <f t="shared" si="61"/>
        <v>164500</v>
      </c>
      <c r="L1955" s="8" t="s">
        <v>76</v>
      </c>
      <c r="M1955" s="8" t="s">
        <v>81</v>
      </c>
      <c r="N1955">
        <v>6</v>
      </c>
      <c r="O1955">
        <v>2023</v>
      </c>
      <c r="P1955" s="29" t="s">
        <v>723</v>
      </c>
      <c r="Q1955" t="s">
        <v>736</v>
      </c>
      <c r="R1955" t="s">
        <v>739</v>
      </c>
    </row>
    <row r="1956" spans="1:18" x14ac:dyDescent="0.25">
      <c r="A1956" s="9">
        <v>1955</v>
      </c>
      <c r="B1956" s="10">
        <v>45298</v>
      </c>
      <c r="C1956" s="11" t="s">
        <v>114</v>
      </c>
      <c r="D1956" s="11" t="s">
        <v>93</v>
      </c>
      <c r="E1956" s="11" t="s">
        <v>102</v>
      </c>
      <c r="F1956" s="11" t="s">
        <v>181</v>
      </c>
      <c r="G1956" s="9">
        <v>28</v>
      </c>
      <c r="H1956" s="26">
        <v>4700</v>
      </c>
      <c r="I1956" s="9">
        <v>5</v>
      </c>
      <c r="J1956" s="9">
        <f t="shared" si="60"/>
        <v>131600</v>
      </c>
      <c r="K1956" s="9">
        <f t="shared" si="61"/>
        <v>125020</v>
      </c>
      <c r="L1956" s="11" t="s">
        <v>76</v>
      </c>
      <c r="M1956" s="11" t="s">
        <v>96</v>
      </c>
      <c r="N1956">
        <v>1</v>
      </c>
      <c r="O1956">
        <v>2024</v>
      </c>
      <c r="P1956" s="29" t="s">
        <v>727</v>
      </c>
      <c r="Q1956" t="s">
        <v>735</v>
      </c>
      <c r="R1956" t="s">
        <v>739</v>
      </c>
    </row>
    <row r="1957" spans="1:18" x14ac:dyDescent="0.25">
      <c r="A1957" s="6">
        <v>1956</v>
      </c>
      <c r="B1957" s="7">
        <v>45448</v>
      </c>
      <c r="C1957" s="8" t="s">
        <v>108</v>
      </c>
      <c r="D1957" s="8" t="s">
        <v>93</v>
      </c>
      <c r="E1957" s="8" t="s">
        <v>111</v>
      </c>
      <c r="F1957" s="8" t="s">
        <v>112</v>
      </c>
      <c r="G1957" s="6">
        <v>40</v>
      </c>
      <c r="H1957" s="25">
        <v>65400</v>
      </c>
      <c r="I1957" s="6">
        <v>0</v>
      </c>
      <c r="J1957" s="6">
        <f t="shared" si="60"/>
        <v>2616000</v>
      </c>
      <c r="K1957" s="6">
        <f t="shared" si="61"/>
        <v>2616000</v>
      </c>
      <c r="L1957" s="8" t="s">
        <v>187</v>
      </c>
      <c r="M1957" s="8" t="s">
        <v>77</v>
      </c>
      <c r="N1957">
        <v>6</v>
      </c>
      <c r="O1957">
        <v>2024</v>
      </c>
      <c r="P1957" s="29" t="s">
        <v>720</v>
      </c>
      <c r="Q1957" t="s">
        <v>736</v>
      </c>
      <c r="R1957" t="s">
        <v>737</v>
      </c>
    </row>
    <row r="1958" spans="1:18" x14ac:dyDescent="0.25">
      <c r="A1958" s="9">
        <v>1957</v>
      </c>
      <c r="B1958" s="10">
        <v>45002</v>
      </c>
      <c r="C1958" s="11" t="s">
        <v>106</v>
      </c>
      <c r="D1958" s="11" t="s">
        <v>73</v>
      </c>
      <c r="E1958" s="11" t="s">
        <v>102</v>
      </c>
      <c r="F1958" s="11" t="s">
        <v>181</v>
      </c>
      <c r="G1958" s="9">
        <v>49</v>
      </c>
      <c r="H1958" s="26">
        <v>4500</v>
      </c>
      <c r="I1958" s="9">
        <v>20</v>
      </c>
      <c r="J1958" s="9">
        <f t="shared" si="60"/>
        <v>220500</v>
      </c>
      <c r="K1958" s="9">
        <f t="shared" si="61"/>
        <v>176400</v>
      </c>
      <c r="L1958" s="11" t="s">
        <v>123</v>
      </c>
      <c r="M1958" s="11" t="s">
        <v>81</v>
      </c>
      <c r="N1958">
        <v>3</v>
      </c>
      <c r="O1958">
        <v>2023</v>
      </c>
      <c r="P1958" s="29" t="s">
        <v>719</v>
      </c>
      <c r="Q1958" t="s">
        <v>735</v>
      </c>
      <c r="R1958" t="s">
        <v>739</v>
      </c>
    </row>
    <row r="1959" spans="1:18" x14ac:dyDescent="0.25">
      <c r="A1959" s="6">
        <v>1958</v>
      </c>
      <c r="B1959" s="7">
        <v>45136</v>
      </c>
      <c r="C1959" s="8" t="s">
        <v>114</v>
      </c>
      <c r="D1959" s="8" t="s">
        <v>73</v>
      </c>
      <c r="E1959" s="8" t="s">
        <v>84</v>
      </c>
      <c r="F1959" s="8" t="s">
        <v>90</v>
      </c>
      <c r="G1959" s="6">
        <v>27</v>
      </c>
      <c r="H1959" s="25">
        <v>1800</v>
      </c>
      <c r="I1959" s="6">
        <v>0</v>
      </c>
      <c r="J1959" s="6">
        <f t="shared" si="60"/>
        <v>48600</v>
      </c>
      <c r="K1959" s="6">
        <f t="shared" si="61"/>
        <v>48600</v>
      </c>
      <c r="L1959" s="8" t="s">
        <v>107</v>
      </c>
      <c r="M1959" s="8" t="s">
        <v>96</v>
      </c>
      <c r="N1959">
        <v>7</v>
      </c>
      <c r="O1959">
        <v>2023</v>
      </c>
      <c r="P1959" s="29" t="s">
        <v>724</v>
      </c>
      <c r="Q1959" t="s">
        <v>734</v>
      </c>
      <c r="R1959" t="s">
        <v>738</v>
      </c>
    </row>
    <row r="1960" spans="1:18" x14ac:dyDescent="0.25">
      <c r="A1960" s="9">
        <v>1959</v>
      </c>
      <c r="B1960" s="10">
        <v>45269</v>
      </c>
      <c r="C1960" s="11" t="s">
        <v>78</v>
      </c>
      <c r="D1960" s="11" t="s">
        <v>117</v>
      </c>
      <c r="E1960" s="11" t="s">
        <v>74</v>
      </c>
      <c r="F1960" s="11" t="s">
        <v>118</v>
      </c>
      <c r="G1960" s="9">
        <v>50</v>
      </c>
      <c r="H1960" s="26">
        <v>28000</v>
      </c>
      <c r="I1960" s="9">
        <v>0</v>
      </c>
      <c r="J1960" s="9">
        <f t="shared" si="60"/>
        <v>1400000</v>
      </c>
      <c r="K1960" s="9">
        <f t="shared" si="61"/>
        <v>1400000</v>
      </c>
      <c r="L1960" s="11" t="s">
        <v>187</v>
      </c>
      <c r="M1960" s="11" t="s">
        <v>77</v>
      </c>
      <c r="N1960">
        <v>12</v>
      </c>
      <c r="O1960">
        <v>2023</v>
      </c>
      <c r="P1960" s="29" t="s">
        <v>725</v>
      </c>
      <c r="Q1960" t="s">
        <v>733</v>
      </c>
      <c r="R1960" t="s">
        <v>737</v>
      </c>
    </row>
    <row r="1961" spans="1:18" x14ac:dyDescent="0.25">
      <c r="A1961" s="6">
        <v>1960</v>
      </c>
      <c r="B1961" s="7">
        <v>45383</v>
      </c>
      <c r="C1961" s="8" t="s">
        <v>101</v>
      </c>
      <c r="D1961" s="8" t="s">
        <v>117</v>
      </c>
      <c r="E1961" s="8" t="s">
        <v>111</v>
      </c>
      <c r="F1961" s="8" t="s">
        <v>166</v>
      </c>
      <c r="G1961" s="6">
        <v>40</v>
      </c>
      <c r="H1961" s="25">
        <v>27000</v>
      </c>
      <c r="I1961" s="6">
        <v>15</v>
      </c>
      <c r="J1961" s="6">
        <f t="shared" si="60"/>
        <v>1080000</v>
      </c>
      <c r="K1961" s="6">
        <f t="shared" si="61"/>
        <v>918000</v>
      </c>
      <c r="L1961" s="8" t="s">
        <v>76</v>
      </c>
      <c r="M1961" s="8" t="s">
        <v>96</v>
      </c>
      <c r="N1961">
        <v>4</v>
      </c>
      <c r="O1961">
        <v>2024</v>
      </c>
      <c r="P1961" s="29" t="s">
        <v>722</v>
      </c>
      <c r="Q1961" t="s">
        <v>736</v>
      </c>
      <c r="R1961" t="s">
        <v>737</v>
      </c>
    </row>
    <row r="1962" spans="1:18" x14ac:dyDescent="0.25">
      <c r="A1962" s="9">
        <v>1961</v>
      </c>
      <c r="B1962" s="10">
        <v>44959</v>
      </c>
      <c r="C1962" s="11" t="s">
        <v>106</v>
      </c>
      <c r="D1962" s="11" t="s">
        <v>117</v>
      </c>
      <c r="E1962" s="11" t="s">
        <v>74</v>
      </c>
      <c r="F1962" s="11" t="s">
        <v>94</v>
      </c>
      <c r="G1962" s="9">
        <v>27</v>
      </c>
      <c r="H1962" s="26">
        <v>38400</v>
      </c>
      <c r="I1962" s="9">
        <v>5</v>
      </c>
      <c r="J1962" s="9">
        <f t="shared" si="60"/>
        <v>1036800</v>
      </c>
      <c r="K1962" s="9">
        <f t="shared" si="61"/>
        <v>984960</v>
      </c>
      <c r="L1962" s="11" t="s">
        <v>76</v>
      </c>
      <c r="M1962" s="11" t="s">
        <v>77</v>
      </c>
      <c r="N1962">
        <v>2</v>
      </c>
      <c r="O1962">
        <v>2023</v>
      </c>
      <c r="P1962" s="29" t="s">
        <v>717</v>
      </c>
      <c r="Q1962" t="s">
        <v>735</v>
      </c>
      <c r="R1962" t="s">
        <v>737</v>
      </c>
    </row>
    <row r="1963" spans="1:18" x14ac:dyDescent="0.25">
      <c r="A1963" s="6">
        <v>1962</v>
      </c>
      <c r="B1963" s="7">
        <v>45570</v>
      </c>
      <c r="C1963" s="8" t="s">
        <v>97</v>
      </c>
      <c r="D1963" s="8" t="s">
        <v>93</v>
      </c>
      <c r="E1963" s="8" t="s">
        <v>84</v>
      </c>
      <c r="F1963" s="8" t="s">
        <v>134</v>
      </c>
      <c r="G1963" s="6">
        <v>37</v>
      </c>
      <c r="H1963" s="25">
        <v>10100</v>
      </c>
      <c r="I1963" s="6">
        <v>10</v>
      </c>
      <c r="J1963" s="6">
        <f t="shared" si="60"/>
        <v>373700</v>
      </c>
      <c r="K1963" s="6">
        <f t="shared" si="61"/>
        <v>336330</v>
      </c>
      <c r="L1963" s="8" t="s">
        <v>187</v>
      </c>
      <c r="M1963" s="8" t="s">
        <v>77</v>
      </c>
      <c r="N1963">
        <v>10</v>
      </c>
      <c r="O1963">
        <v>2024</v>
      </c>
      <c r="P1963" s="29" t="s">
        <v>709</v>
      </c>
      <c r="Q1963" t="s">
        <v>733</v>
      </c>
      <c r="R1963" t="s">
        <v>737</v>
      </c>
    </row>
    <row r="1964" spans="1:18" x14ac:dyDescent="0.25">
      <c r="A1964" s="9">
        <v>1963</v>
      </c>
      <c r="B1964" s="10">
        <v>45511</v>
      </c>
      <c r="C1964" s="11" t="s">
        <v>78</v>
      </c>
      <c r="D1964" s="11" t="s">
        <v>83</v>
      </c>
      <c r="E1964" s="11" t="s">
        <v>111</v>
      </c>
      <c r="F1964" s="11" t="s">
        <v>166</v>
      </c>
      <c r="G1964" s="9">
        <v>6</v>
      </c>
      <c r="H1964" s="26">
        <v>25900</v>
      </c>
      <c r="I1964" s="9">
        <v>10</v>
      </c>
      <c r="J1964" s="9">
        <f t="shared" si="60"/>
        <v>155400</v>
      </c>
      <c r="K1964" s="9">
        <f t="shared" si="61"/>
        <v>139860</v>
      </c>
      <c r="L1964" s="11" t="s">
        <v>76</v>
      </c>
      <c r="M1964" s="11" t="s">
        <v>91</v>
      </c>
      <c r="N1964">
        <v>8</v>
      </c>
      <c r="O1964">
        <v>2024</v>
      </c>
      <c r="P1964" s="29" t="s">
        <v>710</v>
      </c>
      <c r="Q1964" t="s">
        <v>734</v>
      </c>
      <c r="R1964" t="s">
        <v>739</v>
      </c>
    </row>
    <row r="1965" spans="1:18" x14ac:dyDescent="0.25">
      <c r="A1965" s="6">
        <v>1964</v>
      </c>
      <c r="B1965" s="7">
        <v>45034</v>
      </c>
      <c r="C1965" s="8" t="s">
        <v>106</v>
      </c>
      <c r="D1965" s="8" t="s">
        <v>117</v>
      </c>
      <c r="E1965" s="8" t="s">
        <v>102</v>
      </c>
      <c r="F1965" s="8" t="s">
        <v>103</v>
      </c>
      <c r="G1965" s="6">
        <v>41</v>
      </c>
      <c r="H1965" s="25">
        <v>11100</v>
      </c>
      <c r="I1965" s="6">
        <v>10</v>
      </c>
      <c r="J1965" s="6">
        <f t="shared" si="60"/>
        <v>455100</v>
      </c>
      <c r="K1965" s="6">
        <f t="shared" si="61"/>
        <v>409590</v>
      </c>
      <c r="L1965" s="8" t="s">
        <v>76</v>
      </c>
      <c r="M1965" s="8" t="s">
        <v>96</v>
      </c>
      <c r="N1965">
        <v>4</v>
      </c>
      <c r="O1965">
        <v>2023</v>
      </c>
      <c r="P1965" s="29" t="s">
        <v>716</v>
      </c>
      <c r="Q1965" t="s">
        <v>736</v>
      </c>
      <c r="R1965" t="s">
        <v>737</v>
      </c>
    </row>
    <row r="1966" spans="1:18" x14ac:dyDescent="0.25">
      <c r="A1966" s="9">
        <v>1965</v>
      </c>
      <c r="B1966" s="10">
        <v>45507</v>
      </c>
      <c r="C1966" s="11" t="s">
        <v>124</v>
      </c>
      <c r="D1966" s="11" t="s">
        <v>93</v>
      </c>
      <c r="E1966" s="11" t="s">
        <v>102</v>
      </c>
      <c r="F1966" s="11" t="s">
        <v>181</v>
      </c>
      <c r="G1966" s="9">
        <v>38</v>
      </c>
      <c r="H1966" s="26">
        <v>4800</v>
      </c>
      <c r="I1966" s="9">
        <v>0</v>
      </c>
      <c r="J1966" s="9">
        <f t="shared" si="60"/>
        <v>182400</v>
      </c>
      <c r="K1966" s="9">
        <f t="shared" si="61"/>
        <v>182400</v>
      </c>
      <c r="L1966" s="11" t="s">
        <v>76</v>
      </c>
      <c r="M1966" s="11" t="s">
        <v>91</v>
      </c>
      <c r="N1966">
        <v>8</v>
      </c>
      <c r="O1966">
        <v>2024</v>
      </c>
      <c r="P1966" s="29" t="s">
        <v>710</v>
      </c>
      <c r="Q1966" t="s">
        <v>734</v>
      </c>
      <c r="R1966" t="s">
        <v>739</v>
      </c>
    </row>
    <row r="1967" spans="1:18" x14ac:dyDescent="0.25">
      <c r="A1967" s="6">
        <v>1966</v>
      </c>
      <c r="B1967" s="7">
        <v>45328</v>
      </c>
      <c r="C1967" s="8" t="s">
        <v>114</v>
      </c>
      <c r="D1967" s="8" t="s">
        <v>93</v>
      </c>
      <c r="E1967" s="8" t="s">
        <v>74</v>
      </c>
      <c r="F1967" s="8" t="s">
        <v>118</v>
      </c>
      <c r="G1967" s="6">
        <v>38</v>
      </c>
      <c r="H1967" s="25">
        <v>27500</v>
      </c>
      <c r="I1967" s="6">
        <v>20</v>
      </c>
      <c r="J1967" s="6">
        <f t="shared" si="60"/>
        <v>1045000</v>
      </c>
      <c r="K1967" s="6">
        <f t="shared" si="61"/>
        <v>836000</v>
      </c>
      <c r="L1967" s="8" t="s">
        <v>76</v>
      </c>
      <c r="M1967" s="8" t="s">
        <v>96</v>
      </c>
      <c r="N1967">
        <v>2</v>
      </c>
      <c r="O1967">
        <v>2024</v>
      </c>
      <c r="P1967" s="29" t="s">
        <v>729</v>
      </c>
      <c r="Q1967" t="s">
        <v>735</v>
      </c>
      <c r="R1967" t="s">
        <v>737</v>
      </c>
    </row>
    <row r="1968" spans="1:18" x14ac:dyDescent="0.25">
      <c r="A1968" s="9">
        <v>1967</v>
      </c>
      <c r="B1968" s="10">
        <v>45454</v>
      </c>
      <c r="C1968" s="11" t="s">
        <v>78</v>
      </c>
      <c r="D1968" s="11" t="s">
        <v>73</v>
      </c>
      <c r="E1968" s="11" t="s">
        <v>79</v>
      </c>
      <c r="F1968" s="11" t="s">
        <v>122</v>
      </c>
      <c r="G1968" s="9">
        <v>44</v>
      </c>
      <c r="H1968" s="26">
        <v>19500</v>
      </c>
      <c r="I1968" s="9">
        <v>0</v>
      </c>
      <c r="J1968" s="9">
        <f t="shared" si="60"/>
        <v>858000</v>
      </c>
      <c r="K1968" s="9">
        <f t="shared" si="61"/>
        <v>858000</v>
      </c>
      <c r="L1968" s="11" t="s">
        <v>76</v>
      </c>
      <c r="M1968" s="11" t="s">
        <v>91</v>
      </c>
      <c r="N1968">
        <v>6</v>
      </c>
      <c r="O1968">
        <v>2024</v>
      </c>
      <c r="P1968" s="29" t="s">
        <v>720</v>
      </c>
      <c r="Q1968" t="s">
        <v>736</v>
      </c>
      <c r="R1968" t="s">
        <v>737</v>
      </c>
    </row>
    <row r="1969" spans="1:18" x14ac:dyDescent="0.25">
      <c r="A1969" s="6">
        <v>1968</v>
      </c>
      <c r="B1969" s="7">
        <v>45208</v>
      </c>
      <c r="C1969" s="8" t="s">
        <v>114</v>
      </c>
      <c r="D1969" s="8" t="s">
        <v>73</v>
      </c>
      <c r="E1969" s="8" t="s">
        <v>74</v>
      </c>
      <c r="F1969" s="8" t="s">
        <v>118</v>
      </c>
      <c r="G1969" s="6">
        <v>6</v>
      </c>
      <c r="H1969" s="25">
        <v>25700</v>
      </c>
      <c r="I1969" s="6">
        <v>0</v>
      </c>
      <c r="J1969" s="6">
        <f t="shared" si="60"/>
        <v>154200</v>
      </c>
      <c r="K1969" s="6">
        <f t="shared" si="61"/>
        <v>154200</v>
      </c>
      <c r="L1969" s="8" t="s">
        <v>76</v>
      </c>
      <c r="M1969" s="8" t="s">
        <v>77</v>
      </c>
      <c r="N1969">
        <v>10</v>
      </c>
      <c r="O1969">
        <v>2023</v>
      </c>
      <c r="P1969" s="29" t="s">
        <v>726</v>
      </c>
      <c r="Q1969" t="s">
        <v>733</v>
      </c>
      <c r="R1969" t="s">
        <v>739</v>
      </c>
    </row>
    <row r="1970" spans="1:18" x14ac:dyDescent="0.25">
      <c r="A1970" s="9">
        <v>1969</v>
      </c>
      <c r="B1970" s="10">
        <v>45331</v>
      </c>
      <c r="C1970" s="11" t="s">
        <v>82</v>
      </c>
      <c r="D1970" s="11" t="s">
        <v>93</v>
      </c>
      <c r="E1970" s="11" t="s">
        <v>111</v>
      </c>
      <c r="F1970" s="11" t="s">
        <v>156</v>
      </c>
      <c r="G1970" s="9">
        <v>16</v>
      </c>
      <c r="H1970" s="26">
        <v>42200</v>
      </c>
      <c r="I1970" s="9">
        <v>0</v>
      </c>
      <c r="J1970" s="9">
        <f t="shared" si="60"/>
        <v>675200</v>
      </c>
      <c r="K1970" s="9">
        <f t="shared" si="61"/>
        <v>675200</v>
      </c>
      <c r="L1970" s="11" t="s">
        <v>76</v>
      </c>
      <c r="M1970" s="11" t="s">
        <v>81</v>
      </c>
      <c r="N1970">
        <v>2</v>
      </c>
      <c r="O1970">
        <v>2024</v>
      </c>
      <c r="P1970" s="29" t="s">
        <v>729</v>
      </c>
      <c r="Q1970" t="s">
        <v>735</v>
      </c>
      <c r="R1970" t="s">
        <v>737</v>
      </c>
    </row>
    <row r="1971" spans="1:18" x14ac:dyDescent="0.25">
      <c r="A1971" s="6">
        <v>1970</v>
      </c>
      <c r="B1971" s="7">
        <v>45602</v>
      </c>
      <c r="C1971" s="8" t="s">
        <v>124</v>
      </c>
      <c r="D1971" s="8" t="s">
        <v>117</v>
      </c>
      <c r="E1971" s="8" t="s">
        <v>74</v>
      </c>
      <c r="F1971" s="8" t="s">
        <v>212</v>
      </c>
      <c r="G1971" s="6">
        <v>25</v>
      </c>
      <c r="H1971" s="25">
        <v>8400</v>
      </c>
      <c r="I1971" s="6">
        <v>0</v>
      </c>
      <c r="J1971" s="6">
        <f t="shared" si="60"/>
        <v>210000</v>
      </c>
      <c r="K1971" s="6">
        <f t="shared" si="61"/>
        <v>210000</v>
      </c>
      <c r="L1971" s="8" t="s">
        <v>76</v>
      </c>
      <c r="M1971" s="8" t="s">
        <v>77</v>
      </c>
      <c r="N1971">
        <v>11</v>
      </c>
      <c r="O1971">
        <v>2024</v>
      </c>
      <c r="P1971" s="29" t="s">
        <v>714</v>
      </c>
      <c r="Q1971" t="s">
        <v>733</v>
      </c>
      <c r="R1971" t="s">
        <v>737</v>
      </c>
    </row>
    <row r="1972" spans="1:18" x14ac:dyDescent="0.25">
      <c r="A1972" s="9">
        <v>1971</v>
      </c>
      <c r="B1972" s="10">
        <v>45535</v>
      </c>
      <c r="C1972" s="11" t="s">
        <v>124</v>
      </c>
      <c r="D1972" s="11" t="s">
        <v>117</v>
      </c>
      <c r="E1972" s="11" t="s">
        <v>84</v>
      </c>
      <c r="F1972" s="11" t="s">
        <v>134</v>
      </c>
      <c r="G1972" s="9">
        <v>38</v>
      </c>
      <c r="H1972" s="26">
        <v>9900</v>
      </c>
      <c r="I1972" s="9">
        <v>0</v>
      </c>
      <c r="J1972" s="9">
        <f t="shared" si="60"/>
        <v>376200</v>
      </c>
      <c r="K1972" s="9">
        <f t="shared" si="61"/>
        <v>376200</v>
      </c>
      <c r="L1972" s="11" t="s">
        <v>76</v>
      </c>
      <c r="M1972" s="11" t="s">
        <v>77</v>
      </c>
      <c r="N1972">
        <v>8</v>
      </c>
      <c r="O1972">
        <v>2024</v>
      </c>
      <c r="P1972" s="29" t="s">
        <v>710</v>
      </c>
      <c r="Q1972" t="s">
        <v>734</v>
      </c>
      <c r="R1972" t="s">
        <v>737</v>
      </c>
    </row>
    <row r="1973" spans="1:18" x14ac:dyDescent="0.25">
      <c r="A1973" s="6">
        <v>1972</v>
      </c>
      <c r="B1973" s="7">
        <v>45312</v>
      </c>
      <c r="C1973" s="8" t="s">
        <v>114</v>
      </c>
      <c r="D1973" s="8" t="s">
        <v>117</v>
      </c>
      <c r="E1973" s="8" t="s">
        <v>102</v>
      </c>
      <c r="F1973" s="8" t="s">
        <v>151</v>
      </c>
      <c r="G1973" s="6">
        <v>27</v>
      </c>
      <c r="H1973" s="25">
        <v>7600</v>
      </c>
      <c r="I1973" s="6">
        <v>0</v>
      </c>
      <c r="J1973" s="6">
        <f t="shared" si="60"/>
        <v>205200</v>
      </c>
      <c r="K1973" s="6">
        <f t="shared" si="61"/>
        <v>205200</v>
      </c>
      <c r="L1973" s="8" t="s">
        <v>76</v>
      </c>
      <c r="M1973" s="8" t="s">
        <v>91</v>
      </c>
      <c r="N1973">
        <v>1</v>
      </c>
      <c r="O1973">
        <v>2024</v>
      </c>
      <c r="P1973" s="29" t="s">
        <v>727</v>
      </c>
      <c r="Q1973" t="s">
        <v>735</v>
      </c>
      <c r="R1973" t="s">
        <v>737</v>
      </c>
    </row>
    <row r="1974" spans="1:18" x14ac:dyDescent="0.25">
      <c r="A1974" s="9">
        <v>1973</v>
      </c>
      <c r="B1974" s="10">
        <v>45092</v>
      </c>
      <c r="C1974" s="11" t="s">
        <v>78</v>
      </c>
      <c r="D1974" s="11" t="s">
        <v>117</v>
      </c>
      <c r="E1974" s="11" t="s">
        <v>74</v>
      </c>
      <c r="F1974" s="11" t="s">
        <v>140</v>
      </c>
      <c r="G1974" s="9">
        <v>32</v>
      </c>
      <c r="H1974" s="26">
        <v>5000</v>
      </c>
      <c r="I1974" s="9">
        <v>10</v>
      </c>
      <c r="J1974" s="9">
        <f t="shared" si="60"/>
        <v>160000</v>
      </c>
      <c r="K1974" s="9">
        <f t="shared" si="61"/>
        <v>144000</v>
      </c>
      <c r="L1974" s="11" t="s">
        <v>187</v>
      </c>
      <c r="M1974" s="11" t="s">
        <v>96</v>
      </c>
      <c r="N1974">
        <v>6</v>
      </c>
      <c r="O1974">
        <v>2023</v>
      </c>
      <c r="P1974" s="29" t="s">
        <v>723</v>
      </c>
      <c r="Q1974" t="s">
        <v>736</v>
      </c>
      <c r="R1974" t="s">
        <v>739</v>
      </c>
    </row>
    <row r="1975" spans="1:18" x14ac:dyDescent="0.25">
      <c r="A1975" s="6">
        <v>1974</v>
      </c>
      <c r="B1975" s="7">
        <v>44956</v>
      </c>
      <c r="C1975" s="8" t="s">
        <v>124</v>
      </c>
      <c r="D1975" s="8" t="s">
        <v>83</v>
      </c>
      <c r="E1975" s="8" t="s">
        <v>74</v>
      </c>
      <c r="F1975" s="8" t="s">
        <v>212</v>
      </c>
      <c r="G1975" s="6">
        <v>13</v>
      </c>
      <c r="H1975" s="25">
        <v>9100</v>
      </c>
      <c r="I1975" s="6">
        <v>5</v>
      </c>
      <c r="J1975" s="6">
        <f t="shared" si="60"/>
        <v>118300</v>
      </c>
      <c r="K1975" s="6">
        <f t="shared" si="61"/>
        <v>112385</v>
      </c>
      <c r="L1975" s="8" t="s">
        <v>187</v>
      </c>
      <c r="M1975" s="8" t="s">
        <v>77</v>
      </c>
      <c r="N1975">
        <v>1</v>
      </c>
      <c r="O1975">
        <v>2023</v>
      </c>
      <c r="P1975" s="29" t="s">
        <v>721</v>
      </c>
      <c r="Q1975" t="s">
        <v>735</v>
      </c>
      <c r="R1975" t="s">
        <v>739</v>
      </c>
    </row>
    <row r="1976" spans="1:18" x14ac:dyDescent="0.25">
      <c r="A1976" s="9">
        <v>1975</v>
      </c>
      <c r="B1976" s="10">
        <v>45060</v>
      </c>
      <c r="C1976" s="11" t="s">
        <v>106</v>
      </c>
      <c r="D1976" s="11" t="s">
        <v>117</v>
      </c>
      <c r="E1976" s="11" t="s">
        <v>74</v>
      </c>
      <c r="F1976" s="11" t="s">
        <v>140</v>
      </c>
      <c r="G1976" s="9">
        <v>9</v>
      </c>
      <c r="H1976" s="26">
        <v>5000</v>
      </c>
      <c r="I1976" s="9">
        <v>20</v>
      </c>
      <c r="J1976" s="9">
        <f t="shared" si="60"/>
        <v>45000</v>
      </c>
      <c r="K1976" s="9">
        <f t="shared" si="61"/>
        <v>36000</v>
      </c>
      <c r="L1976" s="11" t="s">
        <v>107</v>
      </c>
      <c r="M1976" s="11" t="s">
        <v>81</v>
      </c>
      <c r="N1976">
        <v>5</v>
      </c>
      <c r="O1976">
        <v>2023</v>
      </c>
      <c r="P1976" s="29" t="s">
        <v>730</v>
      </c>
      <c r="Q1976" t="s">
        <v>736</v>
      </c>
      <c r="R1976" t="s">
        <v>738</v>
      </c>
    </row>
    <row r="1977" spans="1:18" x14ac:dyDescent="0.25">
      <c r="A1977" s="6">
        <v>1976</v>
      </c>
      <c r="B1977" s="7">
        <v>45385</v>
      </c>
      <c r="C1977" s="8" t="s">
        <v>88</v>
      </c>
      <c r="D1977" s="8" t="s">
        <v>117</v>
      </c>
      <c r="E1977" s="8" t="s">
        <v>79</v>
      </c>
      <c r="F1977" s="8" t="s">
        <v>131</v>
      </c>
      <c r="G1977" s="6">
        <v>22</v>
      </c>
      <c r="H1977" s="25">
        <v>119900</v>
      </c>
      <c r="I1977" s="6">
        <v>0</v>
      </c>
      <c r="J1977" s="6">
        <f t="shared" si="60"/>
        <v>2637800</v>
      </c>
      <c r="K1977" s="6">
        <f t="shared" si="61"/>
        <v>2637800</v>
      </c>
      <c r="L1977" s="8" t="s">
        <v>76</v>
      </c>
      <c r="M1977" s="8" t="s">
        <v>96</v>
      </c>
      <c r="N1977">
        <v>4</v>
      </c>
      <c r="O1977">
        <v>2024</v>
      </c>
      <c r="P1977" s="29" t="s">
        <v>722</v>
      </c>
      <c r="Q1977" t="s">
        <v>736</v>
      </c>
      <c r="R1977" t="s">
        <v>737</v>
      </c>
    </row>
    <row r="1978" spans="1:18" x14ac:dyDescent="0.25">
      <c r="A1978" s="9">
        <v>1977</v>
      </c>
      <c r="B1978" s="10">
        <v>44981</v>
      </c>
      <c r="C1978" s="11" t="s">
        <v>78</v>
      </c>
      <c r="D1978" s="11" t="s">
        <v>83</v>
      </c>
      <c r="E1978" s="11" t="s">
        <v>84</v>
      </c>
      <c r="F1978" s="11" t="s">
        <v>128</v>
      </c>
      <c r="G1978" s="9">
        <v>10</v>
      </c>
      <c r="H1978" s="26">
        <v>3900</v>
      </c>
      <c r="I1978" s="9">
        <v>5</v>
      </c>
      <c r="J1978" s="9">
        <f t="shared" si="60"/>
        <v>39000</v>
      </c>
      <c r="K1978" s="9">
        <f t="shared" si="61"/>
        <v>37050</v>
      </c>
      <c r="L1978" s="11" t="s">
        <v>76</v>
      </c>
      <c r="M1978" s="11" t="s">
        <v>91</v>
      </c>
      <c r="N1978">
        <v>2</v>
      </c>
      <c r="O1978">
        <v>2023</v>
      </c>
      <c r="P1978" s="29" t="s">
        <v>717</v>
      </c>
      <c r="Q1978" t="s">
        <v>735</v>
      </c>
      <c r="R1978" t="s">
        <v>738</v>
      </c>
    </row>
    <row r="1979" spans="1:18" x14ac:dyDescent="0.25">
      <c r="A1979" s="6">
        <v>1978</v>
      </c>
      <c r="B1979" s="7">
        <v>45387</v>
      </c>
      <c r="C1979" s="8" t="s">
        <v>119</v>
      </c>
      <c r="D1979" s="8" t="s">
        <v>117</v>
      </c>
      <c r="E1979" s="8" t="s">
        <v>111</v>
      </c>
      <c r="F1979" s="8" t="s">
        <v>166</v>
      </c>
      <c r="G1979" s="6">
        <v>40</v>
      </c>
      <c r="H1979" s="25">
        <v>30500</v>
      </c>
      <c r="I1979" s="6">
        <v>0</v>
      </c>
      <c r="J1979" s="6">
        <f t="shared" si="60"/>
        <v>1220000</v>
      </c>
      <c r="K1979" s="6">
        <f t="shared" si="61"/>
        <v>1220000</v>
      </c>
      <c r="L1979" s="8" t="s">
        <v>76</v>
      </c>
      <c r="M1979" s="8" t="s">
        <v>77</v>
      </c>
      <c r="N1979">
        <v>4</v>
      </c>
      <c r="O1979">
        <v>2024</v>
      </c>
      <c r="P1979" s="29" t="s">
        <v>722</v>
      </c>
      <c r="Q1979" t="s">
        <v>736</v>
      </c>
      <c r="R1979" t="s">
        <v>737</v>
      </c>
    </row>
    <row r="1980" spans="1:18" x14ac:dyDescent="0.25">
      <c r="A1980" s="9">
        <v>1979</v>
      </c>
      <c r="B1980" s="10">
        <v>45007</v>
      </c>
      <c r="C1980" s="11" t="s">
        <v>108</v>
      </c>
      <c r="D1980" s="11" t="s">
        <v>117</v>
      </c>
      <c r="E1980" s="11" t="s">
        <v>79</v>
      </c>
      <c r="F1980" s="11" t="s">
        <v>131</v>
      </c>
      <c r="G1980" s="9">
        <v>33</v>
      </c>
      <c r="H1980" s="26">
        <v>119200</v>
      </c>
      <c r="I1980" s="9">
        <v>10</v>
      </c>
      <c r="J1980" s="9">
        <f t="shared" si="60"/>
        <v>3933600</v>
      </c>
      <c r="K1980" s="9">
        <f t="shared" si="61"/>
        <v>3540240</v>
      </c>
      <c r="L1980" s="11" t="s">
        <v>187</v>
      </c>
      <c r="M1980" s="11" t="s">
        <v>96</v>
      </c>
      <c r="N1980">
        <v>3</v>
      </c>
      <c r="O1980">
        <v>2023</v>
      </c>
      <c r="P1980" s="29" t="s">
        <v>719</v>
      </c>
      <c r="Q1980" t="s">
        <v>735</v>
      </c>
      <c r="R1980" t="s">
        <v>737</v>
      </c>
    </row>
    <row r="1981" spans="1:18" x14ac:dyDescent="0.25">
      <c r="A1981" s="6">
        <v>1980</v>
      </c>
      <c r="B1981" s="7">
        <v>45456</v>
      </c>
      <c r="C1981" s="8" t="s">
        <v>114</v>
      </c>
      <c r="D1981" s="8" t="s">
        <v>73</v>
      </c>
      <c r="E1981" s="8" t="s">
        <v>79</v>
      </c>
      <c r="F1981" s="8" t="s">
        <v>136</v>
      </c>
      <c r="G1981" s="6">
        <v>38</v>
      </c>
      <c r="H1981" s="25">
        <v>78800</v>
      </c>
      <c r="I1981" s="6">
        <v>5</v>
      </c>
      <c r="J1981" s="6">
        <f t="shared" si="60"/>
        <v>2994400</v>
      </c>
      <c r="K1981" s="6">
        <f t="shared" si="61"/>
        <v>2844680</v>
      </c>
      <c r="L1981" s="8" t="s">
        <v>76</v>
      </c>
      <c r="M1981" s="8" t="s">
        <v>91</v>
      </c>
      <c r="N1981">
        <v>6</v>
      </c>
      <c r="O1981">
        <v>2024</v>
      </c>
      <c r="P1981" s="29" t="s">
        <v>720</v>
      </c>
      <c r="Q1981" t="s">
        <v>736</v>
      </c>
      <c r="R1981" t="s">
        <v>737</v>
      </c>
    </row>
    <row r="1982" spans="1:18" x14ac:dyDescent="0.25">
      <c r="A1982" s="9">
        <v>1981</v>
      </c>
      <c r="B1982" s="10">
        <v>45655</v>
      </c>
      <c r="C1982" s="11" t="s">
        <v>119</v>
      </c>
      <c r="D1982" s="11" t="s">
        <v>93</v>
      </c>
      <c r="E1982" s="11" t="s">
        <v>84</v>
      </c>
      <c r="F1982" s="11" t="s">
        <v>90</v>
      </c>
      <c r="G1982" s="9">
        <v>12</v>
      </c>
      <c r="H1982" s="26">
        <v>2000</v>
      </c>
      <c r="I1982" s="9">
        <v>5</v>
      </c>
      <c r="J1982" s="9">
        <f t="shared" si="60"/>
        <v>24000</v>
      </c>
      <c r="K1982" s="9">
        <f t="shared" si="61"/>
        <v>22800</v>
      </c>
      <c r="L1982" s="11" t="s">
        <v>76</v>
      </c>
      <c r="M1982" s="11" t="s">
        <v>96</v>
      </c>
      <c r="N1982">
        <v>12</v>
      </c>
      <c r="O1982">
        <v>2024</v>
      </c>
      <c r="P1982" s="29" t="s">
        <v>728</v>
      </c>
      <c r="Q1982" t="s">
        <v>733</v>
      </c>
      <c r="R1982" t="s">
        <v>738</v>
      </c>
    </row>
    <row r="1983" spans="1:18" x14ac:dyDescent="0.25">
      <c r="A1983" s="6">
        <v>1982</v>
      </c>
      <c r="B1983" s="7">
        <v>44940</v>
      </c>
      <c r="C1983" s="8" t="s">
        <v>101</v>
      </c>
      <c r="D1983" s="8" t="s">
        <v>83</v>
      </c>
      <c r="E1983" s="8" t="s">
        <v>84</v>
      </c>
      <c r="F1983" s="8" t="s">
        <v>148</v>
      </c>
      <c r="G1983" s="6">
        <v>11</v>
      </c>
      <c r="H1983" s="25">
        <v>5300</v>
      </c>
      <c r="I1983" s="6">
        <v>0</v>
      </c>
      <c r="J1983" s="6">
        <f t="shared" si="60"/>
        <v>58300</v>
      </c>
      <c r="K1983" s="6">
        <f t="shared" si="61"/>
        <v>58300</v>
      </c>
      <c r="L1983" s="8" t="s">
        <v>76</v>
      </c>
      <c r="M1983" s="8" t="s">
        <v>91</v>
      </c>
      <c r="N1983">
        <v>1</v>
      </c>
      <c r="O1983">
        <v>2023</v>
      </c>
      <c r="P1983" s="29" t="s">
        <v>721</v>
      </c>
      <c r="Q1983" t="s">
        <v>735</v>
      </c>
      <c r="R1983" t="s">
        <v>739</v>
      </c>
    </row>
    <row r="1984" spans="1:18" x14ac:dyDescent="0.25">
      <c r="A1984" s="9">
        <v>1983</v>
      </c>
      <c r="B1984" s="10">
        <v>45077</v>
      </c>
      <c r="C1984" s="11" t="s">
        <v>97</v>
      </c>
      <c r="D1984" s="11" t="s">
        <v>109</v>
      </c>
      <c r="E1984" s="11" t="s">
        <v>79</v>
      </c>
      <c r="F1984" s="11" t="s">
        <v>80</v>
      </c>
      <c r="G1984" s="9">
        <v>15</v>
      </c>
      <c r="H1984" s="26">
        <v>8800</v>
      </c>
      <c r="I1984" s="9">
        <v>0</v>
      </c>
      <c r="J1984" s="9">
        <f t="shared" si="60"/>
        <v>132000</v>
      </c>
      <c r="K1984" s="9">
        <f t="shared" si="61"/>
        <v>132000</v>
      </c>
      <c r="L1984" s="11" t="s">
        <v>187</v>
      </c>
      <c r="M1984" s="11" t="s">
        <v>91</v>
      </c>
      <c r="N1984">
        <v>5</v>
      </c>
      <c r="O1984">
        <v>2023</v>
      </c>
      <c r="P1984" s="29" t="s">
        <v>730</v>
      </c>
      <c r="Q1984" t="s">
        <v>736</v>
      </c>
      <c r="R1984" t="s">
        <v>739</v>
      </c>
    </row>
    <row r="1985" spans="1:18" x14ac:dyDescent="0.25">
      <c r="A1985" s="6">
        <v>1984</v>
      </c>
      <c r="B1985" s="7">
        <v>45160</v>
      </c>
      <c r="C1985" s="8" t="s">
        <v>114</v>
      </c>
      <c r="D1985" s="8" t="s">
        <v>117</v>
      </c>
      <c r="E1985" s="8" t="s">
        <v>102</v>
      </c>
      <c r="F1985" s="8" t="s">
        <v>151</v>
      </c>
      <c r="G1985" s="6">
        <v>35</v>
      </c>
      <c r="H1985" s="25">
        <v>8400</v>
      </c>
      <c r="I1985" s="6">
        <v>20</v>
      </c>
      <c r="J1985" s="6">
        <f t="shared" si="60"/>
        <v>294000</v>
      </c>
      <c r="K1985" s="6">
        <f t="shared" si="61"/>
        <v>235200</v>
      </c>
      <c r="L1985" s="8" t="s">
        <v>76</v>
      </c>
      <c r="M1985" s="8" t="s">
        <v>96</v>
      </c>
      <c r="N1985">
        <v>8</v>
      </c>
      <c r="O1985">
        <v>2023</v>
      </c>
      <c r="P1985" s="29" t="s">
        <v>713</v>
      </c>
      <c r="Q1985" t="s">
        <v>734</v>
      </c>
      <c r="R1985" t="s">
        <v>737</v>
      </c>
    </row>
    <row r="1986" spans="1:18" x14ac:dyDescent="0.25">
      <c r="A1986" s="9">
        <v>1985</v>
      </c>
      <c r="B1986" s="10">
        <v>45636</v>
      </c>
      <c r="C1986" s="11" t="s">
        <v>108</v>
      </c>
      <c r="D1986" s="11" t="s">
        <v>117</v>
      </c>
      <c r="E1986" s="11" t="s">
        <v>74</v>
      </c>
      <c r="F1986" s="11" t="s">
        <v>142</v>
      </c>
      <c r="G1986" s="9">
        <v>8</v>
      </c>
      <c r="H1986" s="26">
        <v>11700</v>
      </c>
      <c r="I1986" s="9">
        <v>10</v>
      </c>
      <c r="J1986" s="9">
        <f t="shared" ref="J1986:J2001" si="62">G1986*H1986</f>
        <v>93600</v>
      </c>
      <c r="K1986" s="9">
        <f t="shared" ref="K1986:K2001" si="63">J1986*(1-I1986/100)</f>
        <v>84240</v>
      </c>
      <c r="L1986" s="11" t="s">
        <v>187</v>
      </c>
      <c r="M1986" s="11" t="s">
        <v>81</v>
      </c>
      <c r="N1986">
        <v>12</v>
      </c>
      <c r="O1986">
        <v>2024</v>
      </c>
      <c r="P1986" s="29" t="s">
        <v>728</v>
      </c>
      <c r="Q1986" t="s">
        <v>733</v>
      </c>
      <c r="R1986" t="s">
        <v>739</v>
      </c>
    </row>
    <row r="1987" spans="1:18" x14ac:dyDescent="0.25">
      <c r="A1987" s="6">
        <v>1986</v>
      </c>
      <c r="B1987" s="7">
        <v>45259</v>
      </c>
      <c r="C1987" s="8" t="s">
        <v>101</v>
      </c>
      <c r="D1987" s="8" t="s">
        <v>117</v>
      </c>
      <c r="E1987" s="8" t="s">
        <v>74</v>
      </c>
      <c r="F1987" s="8" t="s">
        <v>94</v>
      </c>
      <c r="G1987" s="6">
        <v>28</v>
      </c>
      <c r="H1987" s="25">
        <v>31800</v>
      </c>
      <c r="I1987" s="6">
        <v>0</v>
      </c>
      <c r="J1987" s="6">
        <f t="shared" si="62"/>
        <v>890400</v>
      </c>
      <c r="K1987" s="6">
        <f t="shared" si="63"/>
        <v>890400</v>
      </c>
      <c r="L1987" s="8" t="s">
        <v>76</v>
      </c>
      <c r="M1987" s="8" t="s">
        <v>96</v>
      </c>
      <c r="N1987">
        <v>11</v>
      </c>
      <c r="O1987">
        <v>2023</v>
      </c>
      <c r="P1987" s="29" t="s">
        <v>718</v>
      </c>
      <c r="Q1987" t="s">
        <v>733</v>
      </c>
      <c r="R1987" t="s">
        <v>737</v>
      </c>
    </row>
    <row r="1988" spans="1:18" x14ac:dyDescent="0.25">
      <c r="A1988" s="9">
        <v>1987</v>
      </c>
      <c r="B1988" s="10">
        <v>45594</v>
      </c>
      <c r="C1988" s="11" t="s">
        <v>119</v>
      </c>
      <c r="D1988" s="11" t="s">
        <v>117</v>
      </c>
      <c r="E1988" s="11" t="s">
        <v>84</v>
      </c>
      <c r="F1988" s="11" t="s">
        <v>90</v>
      </c>
      <c r="G1988" s="9">
        <v>5</v>
      </c>
      <c r="H1988" s="26">
        <v>2000</v>
      </c>
      <c r="I1988" s="9">
        <v>0</v>
      </c>
      <c r="J1988" s="9">
        <f t="shared" si="62"/>
        <v>10000</v>
      </c>
      <c r="K1988" s="9">
        <f t="shared" si="63"/>
        <v>10000</v>
      </c>
      <c r="L1988" s="11" t="s">
        <v>76</v>
      </c>
      <c r="M1988" s="11" t="s">
        <v>81</v>
      </c>
      <c r="N1988">
        <v>10</v>
      </c>
      <c r="O1988">
        <v>2024</v>
      </c>
      <c r="P1988" s="29" t="s">
        <v>709</v>
      </c>
      <c r="Q1988" t="s">
        <v>733</v>
      </c>
      <c r="R1988" t="s">
        <v>738</v>
      </c>
    </row>
    <row r="1989" spans="1:18" x14ac:dyDescent="0.25">
      <c r="A1989" s="6">
        <v>1988</v>
      </c>
      <c r="B1989" s="7">
        <v>45657</v>
      </c>
      <c r="C1989" s="8" t="s">
        <v>119</v>
      </c>
      <c r="D1989" s="8" t="s">
        <v>117</v>
      </c>
      <c r="E1989" s="8" t="s">
        <v>102</v>
      </c>
      <c r="F1989" s="8" t="s">
        <v>197</v>
      </c>
      <c r="G1989" s="6">
        <v>40</v>
      </c>
      <c r="H1989" s="25">
        <v>4100</v>
      </c>
      <c r="I1989" s="6">
        <v>5</v>
      </c>
      <c r="J1989" s="6">
        <f t="shared" si="62"/>
        <v>164000</v>
      </c>
      <c r="K1989" s="6">
        <f t="shared" si="63"/>
        <v>155800</v>
      </c>
      <c r="L1989" s="8" t="s">
        <v>187</v>
      </c>
      <c r="M1989" s="8" t="s">
        <v>77</v>
      </c>
      <c r="N1989">
        <v>12</v>
      </c>
      <c r="O1989">
        <v>2024</v>
      </c>
      <c r="P1989" s="29" t="s">
        <v>728</v>
      </c>
      <c r="Q1989" t="s">
        <v>733</v>
      </c>
      <c r="R1989" t="s">
        <v>739</v>
      </c>
    </row>
    <row r="1990" spans="1:18" x14ac:dyDescent="0.25">
      <c r="A1990" s="9">
        <v>1989</v>
      </c>
      <c r="B1990" s="10">
        <v>45375</v>
      </c>
      <c r="C1990" s="11" t="s">
        <v>114</v>
      </c>
      <c r="D1990" s="11" t="s">
        <v>109</v>
      </c>
      <c r="E1990" s="11" t="s">
        <v>84</v>
      </c>
      <c r="F1990" s="11" t="s">
        <v>134</v>
      </c>
      <c r="G1990" s="9">
        <v>44</v>
      </c>
      <c r="H1990" s="26">
        <v>10200</v>
      </c>
      <c r="I1990" s="9">
        <v>0</v>
      </c>
      <c r="J1990" s="9">
        <f t="shared" si="62"/>
        <v>448800</v>
      </c>
      <c r="K1990" s="9">
        <f t="shared" si="63"/>
        <v>448800</v>
      </c>
      <c r="L1990" s="11" t="s">
        <v>187</v>
      </c>
      <c r="M1990" s="11" t="s">
        <v>91</v>
      </c>
      <c r="N1990">
        <v>3</v>
      </c>
      <c r="O1990">
        <v>2024</v>
      </c>
      <c r="P1990" s="29" t="s">
        <v>711</v>
      </c>
      <c r="Q1990" t="s">
        <v>735</v>
      </c>
      <c r="R1990" t="s">
        <v>737</v>
      </c>
    </row>
    <row r="1991" spans="1:18" x14ac:dyDescent="0.25">
      <c r="A1991" s="6">
        <v>1990</v>
      </c>
      <c r="B1991" s="7">
        <v>44928</v>
      </c>
      <c r="C1991" s="8" t="s">
        <v>106</v>
      </c>
      <c r="D1991" s="8" t="s">
        <v>93</v>
      </c>
      <c r="E1991" s="8" t="s">
        <v>102</v>
      </c>
      <c r="F1991" s="8" t="s">
        <v>151</v>
      </c>
      <c r="G1991" s="6">
        <v>5</v>
      </c>
      <c r="H1991" s="25">
        <v>8000</v>
      </c>
      <c r="I1991" s="6">
        <v>15</v>
      </c>
      <c r="J1991" s="6">
        <f t="shared" si="62"/>
        <v>40000</v>
      </c>
      <c r="K1991" s="6">
        <f t="shared" si="63"/>
        <v>34000</v>
      </c>
      <c r="L1991" s="8" t="s">
        <v>107</v>
      </c>
      <c r="M1991" s="8" t="s">
        <v>96</v>
      </c>
      <c r="N1991">
        <v>1</v>
      </c>
      <c r="O1991">
        <v>2023</v>
      </c>
      <c r="P1991" s="29" t="s">
        <v>721</v>
      </c>
      <c r="Q1991" t="s">
        <v>735</v>
      </c>
      <c r="R1991" t="s">
        <v>738</v>
      </c>
    </row>
    <row r="1992" spans="1:18" x14ac:dyDescent="0.25">
      <c r="A1992" s="9">
        <v>1991</v>
      </c>
      <c r="B1992" s="10">
        <v>44939</v>
      </c>
      <c r="C1992" s="11" t="s">
        <v>82</v>
      </c>
      <c r="D1992" s="11" t="s">
        <v>73</v>
      </c>
      <c r="E1992" s="11" t="s">
        <v>79</v>
      </c>
      <c r="F1992" s="11" t="s">
        <v>115</v>
      </c>
      <c r="G1992" s="9">
        <v>3</v>
      </c>
      <c r="H1992" s="26">
        <v>10300</v>
      </c>
      <c r="I1992" s="9">
        <v>0</v>
      </c>
      <c r="J1992" s="9">
        <f t="shared" si="62"/>
        <v>30900</v>
      </c>
      <c r="K1992" s="9">
        <f t="shared" si="63"/>
        <v>30900</v>
      </c>
      <c r="L1992" s="11" t="s">
        <v>76</v>
      </c>
      <c r="M1992" s="11" t="s">
        <v>81</v>
      </c>
      <c r="N1992">
        <v>1</v>
      </c>
      <c r="O1992">
        <v>2023</v>
      </c>
      <c r="P1992" s="29" t="s">
        <v>721</v>
      </c>
      <c r="Q1992" t="s">
        <v>735</v>
      </c>
      <c r="R1992" t="s">
        <v>738</v>
      </c>
    </row>
    <row r="1993" spans="1:18" x14ac:dyDescent="0.25">
      <c r="A1993" s="6">
        <v>1992</v>
      </c>
      <c r="B1993" s="7">
        <v>45322</v>
      </c>
      <c r="C1993" s="8" t="s">
        <v>124</v>
      </c>
      <c r="D1993" s="8" t="s">
        <v>109</v>
      </c>
      <c r="E1993" s="8" t="s">
        <v>74</v>
      </c>
      <c r="F1993" s="8" t="s">
        <v>142</v>
      </c>
      <c r="G1993" s="6">
        <v>15</v>
      </c>
      <c r="H1993" s="25">
        <v>11600</v>
      </c>
      <c r="I1993" s="6">
        <v>0</v>
      </c>
      <c r="J1993" s="6">
        <f t="shared" si="62"/>
        <v>174000</v>
      </c>
      <c r="K1993" s="6">
        <f t="shared" si="63"/>
        <v>174000</v>
      </c>
      <c r="L1993" s="8" t="s">
        <v>76</v>
      </c>
      <c r="M1993" s="8" t="s">
        <v>81</v>
      </c>
      <c r="N1993">
        <v>1</v>
      </c>
      <c r="O1993">
        <v>2024</v>
      </c>
      <c r="P1993" s="29" t="s">
        <v>727</v>
      </c>
      <c r="Q1993" t="s">
        <v>735</v>
      </c>
      <c r="R1993" t="s">
        <v>739</v>
      </c>
    </row>
    <row r="1994" spans="1:18" x14ac:dyDescent="0.25">
      <c r="A1994" s="9">
        <v>1993</v>
      </c>
      <c r="B1994" s="10">
        <v>44939</v>
      </c>
      <c r="C1994" s="11" t="s">
        <v>78</v>
      </c>
      <c r="D1994" s="30" t="s">
        <v>703</v>
      </c>
      <c r="E1994" s="11" t="s">
        <v>102</v>
      </c>
      <c r="F1994" s="11" t="s">
        <v>137</v>
      </c>
      <c r="G1994" s="9">
        <v>26</v>
      </c>
      <c r="H1994" s="26">
        <v>2400</v>
      </c>
      <c r="I1994" s="9">
        <v>10</v>
      </c>
      <c r="J1994" s="9">
        <f t="shared" si="62"/>
        <v>62400</v>
      </c>
      <c r="K1994" s="9">
        <f t="shared" si="63"/>
        <v>56160</v>
      </c>
      <c r="L1994" s="11" t="s">
        <v>76</v>
      </c>
      <c r="M1994" s="11" t="s">
        <v>96</v>
      </c>
      <c r="N1994">
        <v>1</v>
      </c>
      <c r="O1994">
        <v>2023</v>
      </c>
      <c r="P1994" s="29" t="s">
        <v>721</v>
      </c>
      <c r="Q1994" t="s">
        <v>735</v>
      </c>
      <c r="R1994" t="s">
        <v>739</v>
      </c>
    </row>
    <row r="1995" spans="1:18" x14ac:dyDescent="0.25">
      <c r="A1995" s="6">
        <v>1994</v>
      </c>
      <c r="B1995" s="7">
        <v>45202</v>
      </c>
      <c r="C1995" s="8" t="s">
        <v>114</v>
      </c>
      <c r="D1995" s="8" t="s">
        <v>117</v>
      </c>
      <c r="E1995" s="8" t="s">
        <v>84</v>
      </c>
      <c r="F1995" s="8" t="s">
        <v>134</v>
      </c>
      <c r="G1995" s="6">
        <v>43</v>
      </c>
      <c r="H1995" s="25">
        <v>9200</v>
      </c>
      <c r="I1995" s="6">
        <v>0</v>
      </c>
      <c r="J1995" s="6">
        <f t="shared" si="62"/>
        <v>395600</v>
      </c>
      <c r="K1995" s="6">
        <f t="shared" si="63"/>
        <v>395600</v>
      </c>
      <c r="L1995" s="8" t="s">
        <v>123</v>
      </c>
      <c r="M1995" s="8" t="s">
        <v>96</v>
      </c>
      <c r="N1995">
        <v>10</v>
      </c>
      <c r="O1995">
        <v>2023</v>
      </c>
      <c r="P1995" s="29" t="s">
        <v>726</v>
      </c>
      <c r="Q1995" t="s">
        <v>733</v>
      </c>
      <c r="R1995" t="s">
        <v>737</v>
      </c>
    </row>
    <row r="1996" spans="1:18" x14ac:dyDescent="0.25">
      <c r="A1996" s="9">
        <v>1995</v>
      </c>
      <c r="B1996" s="10">
        <v>45364</v>
      </c>
      <c r="C1996" s="11" t="s">
        <v>78</v>
      </c>
      <c r="D1996" s="11" t="s">
        <v>93</v>
      </c>
      <c r="E1996" s="11" t="s">
        <v>84</v>
      </c>
      <c r="F1996" s="11" t="s">
        <v>200</v>
      </c>
      <c r="G1996" s="9">
        <v>31</v>
      </c>
      <c r="H1996" s="26">
        <v>3400</v>
      </c>
      <c r="I1996" s="9">
        <v>5</v>
      </c>
      <c r="J1996" s="9">
        <f t="shared" si="62"/>
        <v>105400</v>
      </c>
      <c r="K1996" s="9">
        <f t="shared" si="63"/>
        <v>100130</v>
      </c>
      <c r="L1996" s="11" t="s">
        <v>76</v>
      </c>
      <c r="M1996" s="11" t="s">
        <v>81</v>
      </c>
      <c r="N1996">
        <v>3</v>
      </c>
      <c r="O1996">
        <v>2024</v>
      </c>
      <c r="P1996" s="29" t="s">
        <v>711</v>
      </c>
      <c r="Q1996" t="s">
        <v>735</v>
      </c>
      <c r="R1996" t="s">
        <v>739</v>
      </c>
    </row>
    <row r="1997" spans="1:18" x14ac:dyDescent="0.25">
      <c r="A1997" s="6">
        <v>1996</v>
      </c>
      <c r="B1997" s="7">
        <v>45648</v>
      </c>
      <c r="C1997" s="8" t="s">
        <v>82</v>
      </c>
      <c r="D1997" s="8" t="s">
        <v>73</v>
      </c>
      <c r="E1997" s="8" t="s">
        <v>79</v>
      </c>
      <c r="F1997" s="8" t="s">
        <v>120</v>
      </c>
      <c r="G1997" s="6">
        <v>39</v>
      </c>
      <c r="H1997" s="25">
        <v>5800</v>
      </c>
      <c r="I1997" s="6">
        <v>10</v>
      </c>
      <c r="J1997" s="6">
        <f t="shared" si="62"/>
        <v>226200</v>
      </c>
      <c r="K1997" s="6">
        <f t="shared" si="63"/>
        <v>203580</v>
      </c>
      <c r="L1997" s="8" t="s">
        <v>76</v>
      </c>
      <c r="M1997" s="8" t="s">
        <v>91</v>
      </c>
      <c r="N1997">
        <v>12</v>
      </c>
      <c r="O1997">
        <v>2024</v>
      </c>
      <c r="P1997" s="29" t="s">
        <v>728</v>
      </c>
      <c r="Q1997" t="s">
        <v>733</v>
      </c>
      <c r="R1997" t="s">
        <v>737</v>
      </c>
    </row>
    <row r="1998" spans="1:18" x14ac:dyDescent="0.25">
      <c r="A1998" s="9">
        <v>1997</v>
      </c>
      <c r="B1998" s="10">
        <v>45510</v>
      </c>
      <c r="C1998" s="11" t="s">
        <v>101</v>
      </c>
      <c r="D1998" s="30" t="s">
        <v>703</v>
      </c>
      <c r="E1998" s="11" t="s">
        <v>111</v>
      </c>
      <c r="F1998" s="11" t="s">
        <v>165</v>
      </c>
      <c r="G1998" s="9">
        <v>34</v>
      </c>
      <c r="H1998" s="26">
        <v>20600</v>
      </c>
      <c r="I1998" s="9">
        <v>20</v>
      </c>
      <c r="J1998" s="9">
        <f t="shared" si="62"/>
        <v>700400</v>
      </c>
      <c r="K1998" s="9">
        <f t="shared" si="63"/>
        <v>560320</v>
      </c>
      <c r="L1998" s="11" t="s">
        <v>76</v>
      </c>
      <c r="M1998" s="11" t="s">
        <v>81</v>
      </c>
      <c r="N1998">
        <v>8</v>
      </c>
      <c r="O1998">
        <v>2024</v>
      </c>
      <c r="P1998" s="29" t="s">
        <v>710</v>
      </c>
      <c r="Q1998" t="s">
        <v>734</v>
      </c>
      <c r="R1998" t="s">
        <v>737</v>
      </c>
    </row>
    <row r="1999" spans="1:18" x14ac:dyDescent="0.25">
      <c r="A1999" s="6">
        <v>1998</v>
      </c>
      <c r="B1999" s="7">
        <v>45516</v>
      </c>
      <c r="C1999" s="8" t="s">
        <v>124</v>
      </c>
      <c r="D1999" s="8" t="s">
        <v>73</v>
      </c>
      <c r="E1999" s="8" t="s">
        <v>74</v>
      </c>
      <c r="F1999" s="8" t="s">
        <v>212</v>
      </c>
      <c r="G1999" s="6">
        <v>45</v>
      </c>
      <c r="H1999" s="25">
        <v>8200</v>
      </c>
      <c r="I1999" s="6">
        <v>0</v>
      </c>
      <c r="J1999" s="6">
        <f t="shared" si="62"/>
        <v>369000</v>
      </c>
      <c r="K1999" s="6">
        <f t="shared" si="63"/>
        <v>369000</v>
      </c>
      <c r="L1999" s="8" t="s">
        <v>76</v>
      </c>
      <c r="M1999" s="8" t="s">
        <v>91</v>
      </c>
      <c r="N1999">
        <v>8</v>
      </c>
      <c r="O1999">
        <v>2024</v>
      </c>
      <c r="P1999" s="29" t="s">
        <v>710</v>
      </c>
      <c r="Q1999" t="s">
        <v>734</v>
      </c>
      <c r="R1999" t="s">
        <v>737</v>
      </c>
    </row>
    <row r="2000" spans="1:18" x14ac:dyDescent="0.25">
      <c r="A2000" s="9">
        <v>1999</v>
      </c>
      <c r="B2000" s="10">
        <v>45148</v>
      </c>
      <c r="C2000" s="11" t="s">
        <v>119</v>
      </c>
      <c r="D2000" s="11" t="s">
        <v>109</v>
      </c>
      <c r="E2000" s="11" t="s">
        <v>74</v>
      </c>
      <c r="F2000" s="11" t="s">
        <v>140</v>
      </c>
      <c r="G2000" s="9">
        <v>6</v>
      </c>
      <c r="H2000" s="26">
        <v>4300</v>
      </c>
      <c r="I2000" s="9">
        <v>15</v>
      </c>
      <c r="J2000" s="9">
        <f t="shared" si="62"/>
        <v>25800</v>
      </c>
      <c r="K2000" s="9">
        <f t="shared" si="63"/>
        <v>21930</v>
      </c>
      <c r="L2000" s="11" t="s">
        <v>107</v>
      </c>
      <c r="M2000" s="31" t="s">
        <v>695</v>
      </c>
      <c r="N2000">
        <v>8</v>
      </c>
      <c r="O2000">
        <v>2023</v>
      </c>
      <c r="P2000" s="29" t="s">
        <v>713</v>
      </c>
      <c r="Q2000" t="s">
        <v>734</v>
      </c>
      <c r="R2000" t="s">
        <v>738</v>
      </c>
    </row>
    <row r="2001" spans="1:18" x14ac:dyDescent="0.25">
      <c r="A2001" s="6">
        <v>2000</v>
      </c>
      <c r="B2001" s="7">
        <v>45185</v>
      </c>
      <c r="C2001" s="8" t="s">
        <v>108</v>
      </c>
      <c r="D2001" s="8" t="s">
        <v>117</v>
      </c>
      <c r="E2001" s="8" t="s">
        <v>84</v>
      </c>
      <c r="F2001" s="8" t="s">
        <v>90</v>
      </c>
      <c r="G2001" s="6">
        <v>42</v>
      </c>
      <c r="H2001" s="25">
        <v>2000</v>
      </c>
      <c r="I2001" s="6">
        <v>0</v>
      </c>
      <c r="J2001" s="6">
        <f t="shared" si="62"/>
        <v>84000</v>
      </c>
      <c r="K2001" s="6">
        <f t="shared" si="63"/>
        <v>84000</v>
      </c>
      <c r="L2001" s="8" t="s">
        <v>76</v>
      </c>
      <c r="M2001" s="8" t="s">
        <v>91</v>
      </c>
      <c r="N2001">
        <v>9</v>
      </c>
      <c r="O2001">
        <v>2023</v>
      </c>
      <c r="P2001" s="29" t="s">
        <v>715</v>
      </c>
      <c r="Q2001" t="s">
        <v>734</v>
      </c>
      <c r="R2001" t="s">
        <v>739</v>
      </c>
    </row>
    <row r="2002" spans="1:18" x14ac:dyDescent="0.25">
      <c r="A2002" s="33">
        <f>SUBTOTAL(103,Ventes_TradeCo[ID_Commande])</f>
        <v>2000</v>
      </c>
      <c r="B2002" s="34"/>
      <c r="C2002" s="34"/>
      <c r="D2002" s="34"/>
      <c r="E2002" s="34"/>
      <c r="F2002" s="34"/>
      <c r="G2002" s="33">
        <f>SUBTOTAL(109,Ventes_TradeCo[Quantité])</f>
        <v>52076</v>
      </c>
      <c r="H2002" s="33"/>
      <c r="I2002" s="33"/>
      <c r="J2002" s="33"/>
      <c r="K2002" s="33">
        <f>SUBTOTAL(109,Ventes_TradeCo[CA_Net])</f>
        <v>1139661950</v>
      </c>
      <c r="L2002" s="34"/>
      <c r="M2002" s="34"/>
    </row>
  </sheetData>
  <mergeCells count="1">
    <mergeCell ref="S3:T3"/>
  </mergeCells>
  <conditionalFormatting sqref="A1:A2001 A2003:A1048576">
    <cfRule type="duplicateValues" dxfId="6" priority="1"/>
  </conditionalFormatting>
  <conditionalFormatting sqref="A2048:A1048576 A1:A2001">
    <cfRule type="duplicateValues" dxfId="5" priority="2"/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BA6F-3551-472D-920D-998FBDD372C5}">
  <sheetPr>
    <tabColor theme="9"/>
  </sheetPr>
  <dimension ref="A1:N8"/>
  <sheetViews>
    <sheetView workbookViewId="0">
      <selection activeCell="L9" sqref="L9"/>
    </sheetView>
  </sheetViews>
  <sheetFormatPr baseColWidth="10" defaultRowHeight="15" x14ac:dyDescent="0.25"/>
  <cols>
    <col min="2" max="2" width="16.85546875" customWidth="1"/>
    <col min="3" max="3" width="20.7109375" customWidth="1"/>
    <col min="4" max="4" width="14.28515625" customWidth="1"/>
  </cols>
  <sheetData>
    <row r="1" spans="1:14" x14ac:dyDescent="0.25">
      <c r="B1" s="40" t="s">
        <v>743</v>
      </c>
      <c r="C1" s="40" t="s">
        <v>744</v>
      </c>
    </row>
    <row r="2" spans="1:14" x14ac:dyDescent="0.25">
      <c r="A2" s="39" t="s">
        <v>741</v>
      </c>
      <c r="B2" s="32">
        <v>2045</v>
      </c>
      <c r="C2" s="32">
        <v>13</v>
      </c>
    </row>
    <row r="3" spans="1:14" x14ac:dyDescent="0.25">
      <c r="A3" s="39" t="s">
        <v>742</v>
      </c>
      <c r="B3" s="32">
        <v>2000</v>
      </c>
      <c r="C3" s="32">
        <v>18</v>
      </c>
    </row>
    <row r="5" spans="1:14" x14ac:dyDescent="0.25">
      <c r="B5" s="76" t="s">
        <v>745</v>
      </c>
      <c r="C5" s="76"/>
      <c r="D5" s="76"/>
    </row>
    <row r="6" spans="1:14" ht="30" x14ac:dyDescent="0.25">
      <c r="B6" s="36" t="s">
        <v>45</v>
      </c>
      <c r="C6" s="37" t="s">
        <v>47</v>
      </c>
      <c r="D6" s="36" t="s">
        <v>49</v>
      </c>
      <c r="E6" s="36" t="s">
        <v>51</v>
      </c>
      <c r="F6" s="36" t="s">
        <v>53</v>
      </c>
      <c r="G6" s="36" t="s">
        <v>55</v>
      </c>
      <c r="H6" s="36" t="s">
        <v>57</v>
      </c>
      <c r="I6" s="38" t="s">
        <v>59</v>
      </c>
      <c r="J6" s="36" t="s">
        <v>61</v>
      </c>
      <c r="K6" s="36" t="s">
        <v>63</v>
      </c>
      <c r="L6" s="36" t="s">
        <v>65</v>
      </c>
      <c r="M6" s="36" t="s">
        <v>67</v>
      </c>
      <c r="N6" s="36" t="s">
        <v>69</v>
      </c>
    </row>
    <row r="7" spans="1:14" x14ac:dyDescent="0.25">
      <c r="A7" s="39" t="s">
        <v>741</v>
      </c>
      <c r="B7" s="32">
        <v>2000</v>
      </c>
      <c r="C7" s="32">
        <v>2045</v>
      </c>
      <c r="D7" s="32">
        <v>24</v>
      </c>
      <c r="E7" s="32">
        <v>12</v>
      </c>
      <c r="F7" s="32">
        <v>13</v>
      </c>
      <c r="G7" s="32">
        <v>40</v>
      </c>
      <c r="H7" s="32">
        <v>66</v>
      </c>
      <c r="I7">
        <v>667</v>
      </c>
      <c r="J7" s="32">
        <v>6</v>
      </c>
      <c r="K7" s="32">
        <v>1510</v>
      </c>
      <c r="L7">
        <v>1714</v>
      </c>
      <c r="M7" s="32">
        <v>7</v>
      </c>
      <c r="N7" s="32">
        <v>5</v>
      </c>
    </row>
    <row r="8" spans="1:14" x14ac:dyDescent="0.25">
      <c r="A8" s="39" t="s">
        <v>742</v>
      </c>
      <c r="B8" s="32">
        <v>2000</v>
      </c>
      <c r="C8" s="32">
        <v>2000</v>
      </c>
      <c r="D8" s="32">
        <v>10</v>
      </c>
      <c r="E8" s="32">
        <v>6</v>
      </c>
      <c r="F8" s="32">
        <v>5</v>
      </c>
      <c r="G8" s="32">
        <v>40</v>
      </c>
      <c r="H8" s="32">
        <v>50</v>
      </c>
      <c r="I8" s="32">
        <v>565</v>
      </c>
      <c r="J8" s="32">
        <v>5</v>
      </c>
      <c r="K8" s="32">
        <v>1540</v>
      </c>
      <c r="L8" s="32">
        <v>1755</v>
      </c>
      <c r="M8" s="32">
        <v>4</v>
      </c>
      <c r="N8" s="32">
        <v>5</v>
      </c>
    </row>
  </sheetData>
  <mergeCells count="1">
    <mergeCell ref="B5:D5"/>
  </mergeCells>
  <conditionalFormatting sqref="B6">
    <cfRule type="duplicateValues" dxfId="4" priority="1"/>
    <cfRule type="duplicateValues" dxfId="3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D6F42"/>
  </sheetPr>
  <dimension ref="B1:C46"/>
  <sheetViews>
    <sheetView showGridLines="0" topLeftCell="A38" zoomScaleNormal="100" workbookViewId="0"/>
  </sheetViews>
  <sheetFormatPr baseColWidth="10" defaultColWidth="8.7109375" defaultRowHeight="15" x14ac:dyDescent="0.25"/>
  <cols>
    <col min="1" max="1" width="3" customWidth="1"/>
    <col min="2" max="2" width="30" customWidth="1"/>
    <col min="3" max="3" width="55" customWidth="1"/>
    <col min="4" max="4" width="3" customWidth="1"/>
  </cols>
  <sheetData>
    <row r="1" spans="2:3" ht="7.5" customHeight="1" x14ac:dyDescent="0.25"/>
    <row r="2" spans="2:3" ht="49.5" customHeight="1" x14ac:dyDescent="0.25">
      <c r="B2" s="79" t="s">
        <v>0</v>
      </c>
      <c r="C2" s="79"/>
    </row>
    <row r="3" spans="2:3" ht="24.75" customHeight="1" x14ac:dyDescent="0.25">
      <c r="B3" s="80" t="s">
        <v>1</v>
      </c>
      <c r="C3" s="80"/>
    </row>
    <row r="5" spans="2:3" ht="21.75" customHeight="1" x14ac:dyDescent="0.25">
      <c r="B5" s="77" t="s">
        <v>2</v>
      </c>
      <c r="C5" s="77"/>
    </row>
    <row r="6" spans="2:3" ht="19.5" customHeight="1" x14ac:dyDescent="0.25">
      <c r="B6" s="1" t="s">
        <v>3</v>
      </c>
      <c r="C6" s="2" t="s">
        <v>4</v>
      </c>
    </row>
    <row r="8" spans="2:3" ht="21.75" customHeight="1" x14ac:dyDescent="0.25">
      <c r="B8" s="77" t="s">
        <v>5</v>
      </c>
      <c r="C8" s="77"/>
    </row>
    <row r="9" spans="2:3" ht="19.5" customHeight="1" x14ac:dyDescent="0.25">
      <c r="B9" s="3" t="s">
        <v>6</v>
      </c>
      <c r="C9" s="3" t="s">
        <v>7</v>
      </c>
    </row>
    <row r="10" spans="2:3" ht="18" customHeight="1" x14ac:dyDescent="0.25">
      <c r="B10" s="4" t="s">
        <v>8</v>
      </c>
      <c r="C10" s="4" t="s">
        <v>9</v>
      </c>
    </row>
    <row r="11" spans="2:3" ht="18" customHeight="1" x14ac:dyDescent="0.25">
      <c r="B11" s="4" t="s">
        <v>10</v>
      </c>
      <c r="C11" s="4" t="s">
        <v>11</v>
      </c>
    </row>
    <row r="12" spans="2:3" ht="18" customHeight="1" x14ac:dyDescent="0.25">
      <c r="B12" s="4" t="s">
        <v>12</v>
      </c>
      <c r="C12" s="4" t="s">
        <v>13</v>
      </c>
    </row>
    <row r="13" spans="2:3" ht="18" customHeight="1" x14ac:dyDescent="0.25">
      <c r="B13" s="4" t="s">
        <v>14</v>
      </c>
      <c r="C13" s="4" t="s">
        <v>15</v>
      </c>
    </row>
    <row r="14" spans="2:3" ht="18" customHeight="1" x14ac:dyDescent="0.25">
      <c r="B14" s="4" t="s">
        <v>16</v>
      </c>
      <c r="C14" s="4" t="s">
        <v>17</v>
      </c>
    </row>
    <row r="15" spans="2:3" ht="18" customHeight="1" x14ac:dyDescent="0.25">
      <c r="B15" s="4" t="s">
        <v>18</v>
      </c>
      <c r="C15" s="4" t="s">
        <v>19</v>
      </c>
    </row>
    <row r="16" spans="2:3" ht="18" customHeight="1" x14ac:dyDescent="0.25">
      <c r="B16" s="4" t="s">
        <v>20</v>
      </c>
      <c r="C16" s="4" t="s">
        <v>21</v>
      </c>
    </row>
    <row r="18" spans="2:3" ht="21.75" customHeight="1" x14ac:dyDescent="0.25">
      <c r="B18" s="81" t="s">
        <v>22</v>
      </c>
      <c r="C18" s="81"/>
    </row>
    <row r="19" spans="2:3" ht="18" customHeight="1" x14ac:dyDescent="0.25">
      <c r="B19" s="4" t="s">
        <v>23</v>
      </c>
      <c r="C19" s="4" t="s">
        <v>24</v>
      </c>
    </row>
    <row r="20" spans="2:3" ht="18" customHeight="1" x14ac:dyDescent="0.25">
      <c r="B20" s="4" t="s">
        <v>25</v>
      </c>
      <c r="C20" s="4" t="s">
        <v>26</v>
      </c>
    </row>
    <row r="21" spans="2:3" ht="18" customHeight="1" x14ac:dyDescent="0.25">
      <c r="B21" s="4" t="s">
        <v>27</v>
      </c>
      <c r="C21" s="4" t="s">
        <v>28</v>
      </c>
    </row>
    <row r="22" spans="2:3" ht="18" customHeight="1" x14ac:dyDescent="0.25">
      <c r="B22" s="4" t="s">
        <v>29</v>
      </c>
      <c r="C22" s="4" t="s">
        <v>30</v>
      </c>
    </row>
    <row r="23" spans="2:3" ht="18" customHeight="1" x14ac:dyDescent="0.25">
      <c r="B23" s="4" t="s">
        <v>31</v>
      </c>
      <c r="C23" s="4" t="s">
        <v>32</v>
      </c>
    </row>
    <row r="24" spans="2:3" ht="18" customHeight="1" x14ac:dyDescent="0.25">
      <c r="B24" s="4" t="s">
        <v>33</v>
      </c>
      <c r="C24" s="4" t="s">
        <v>34</v>
      </c>
    </row>
    <row r="25" spans="2:3" ht="18" customHeight="1" x14ac:dyDescent="0.25">
      <c r="B25" s="4" t="s">
        <v>35</v>
      </c>
      <c r="C25" s="4" t="s">
        <v>36</v>
      </c>
    </row>
    <row r="26" spans="2:3" ht="18" customHeight="1" x14ac:dyDescent="0.25">
      <c r="B26" s="4" t="s">
        <v>37</v>
      </c>
      <c r="C26" s="4" t="s">
        <v>38</v>
      </c>
    </row>
    <row r="27" spans="2:3" ht="18" customHeight="1" x14ac:dyDescent="0.25">
      <c r="B27" s="4" t="s">
        <v>39</v>
      </c>
      <c r="C27" s="4" t="s">
        <v>40</v>
      </c>
    </row>
    <row r="28" spans="2:3" ht="18" customHeight="1" x14ac:dyDescent="0.25">
      <c r="B28" s="4" t="s">
        <v>41</v>
      </c>
      <c r="C28" s="4" t="s">
        <v>42</v>
      </c>
    </row>
    <row r="30" spans="2:3" ht="21.75" customHeight="1" x14ac:dyDescent="0.25">
      <c r="B30" s="77" t="s">
        <v>43</v>
      </c>
      <c r="C30" s="77"/>
    </row>
    <row r="31" spans="2:3" ht="18" customHeight="1" x14ac:dyDescent="0.25">
      <c r="B31" s="4" t="s">
        <v>44</v>
      </c>
      <c r="C31" s="4" t="s">
        <v>7</v>
      </c>
    </row>
    <row r="32" spans="2:3" ht="18" customHeight="1" x14ac:dyDescent="0.25">
      <c r="B32" s="4" t="s">
        <v>45</v>
      </c>
      <c r="C32" s="4" t="s">
        <v>46</v>
      </c>
    </row>
    <row r="33" spans="2:3" ht="18" customHeight="1" x14ac:dyDescent="0.25">
      <c r="B33" s="4" t="s">
        <v>47</v>
      </c>
      <c r="C33" s="4" t="s">
        <v>48</v>
      </c>
    </row>
    <row r="34" spans="2:3" ht="18" customHeight="1" x14ac:dyDescent="0.25">
      <c r="B34" s="4" t="s">
        <v>49</v>
      </c>
      <c r="C34" s="4" t="s">
        <v>50</v>
      </c>
    </row>
    <row r="35" spans="2:3" ht="18" customHeight="1" x14ac:dyDescent="0.25">
      <c r="B35" s="4" t="s">
        <v>51</v>
      </c>
      <c r="C35" s="4" t="s">
        <v>52</v>
      </c>
    </row>
    <row r="36" spans="2:3" ht="18" customHeight="1" x14ac:dyDescent="0.25">
      <c r="B36" s="4" t="s">
        <v>53</v>
      </c>
      <c r="C36" s="4" t="s">
        <v>54</v>
      </c>
    </row>
    <row r="37" spans="2:3" ht="18" customHeight="1" x14ac:dyDescent="0.25">
      <c r="B37" s="4" t="s">
        <v>55</v>
      </c>
      <c r="C37" s="4" t="s">
        <v>56</v>
      </c>
    </row>
    <row r="38" spans="2:3" ht="18" customHeight="1" x14ac:dyDescent="0.25">
      <c r="B38" s="4" t="s">
        <v>57</v>
      </c>
      <c r="C38" s="4" t="s">
        <v>58</v>
      </c>
    </row>
    <row r="39" spans="2:3" ht="18" customHeight="1" x14ac:dyDescent="0.25">
      <c r="B39" s="4" t="s">
        <v>59</v>
      </c>
      <c r="C39" s="4" t="s">
        <v>60</v>
      </c>
    </row>
    <row r="40" spans="2:3" ht="18" customHeight="1" x14ac:dyDescent="0.25">
      <c r="B40" s="4" t="s">
        <v>61</v>
      </c>
      <c r="C40" s="4" t="s">
        <v>62</v>
      </c>
    </row>
    <row r="41" spans="2:3" ht="18" customHeight="1" x14ac:dyDescent="0.25">
      <c r="B41" s="4" t="s">
        <v>63</v>
      </c>
      <c r="C41" s="4" t="s">
        <v>64</v>
      </c>
    </row>
    <row r="42" spans="2:3" ht="18" customHeight="1" x14ac:dyDescent="0.25">
      <c r="B42" s="4" t="s">
        <v>65</v>
      </c>
      <c r="C42" s="4" t="s">
        <v>66</v>
      </c>
    </row>
    <row r="43" spans="2:3" ht="18" customHeight="1" x14ac:dyDescent="0.25">
      <c r="B43" s="4" t="s">
        <v>67</v>
      </c>
      <c r="C43" s="4" t="s">
        <v>68</v>
      </c>
    </row>
    <row r="44" spans="2:3" ht="18" customHeight="1" x14ac:dyDescent="0.25">
      <c r="B44" s="4" t="s">
        <v>69</v>
      </c>
      <c r="C44" s="4" t="s">
        <v>70</v>
      </c>
    </row>
    <row r="46" spans="2:3" ht="24.75" customHeight="1" x14ac:dyDescent="0.25">
      <c r="B46" s="78" t="s">
        <v>71</v>
      </c>
      <c r="C46" s="78"/>
    </row>
  </sheetData>
  <mergeCells count="7">
    <mergeCell ref="B30:C30"/>
    <mergeCell ref="B46:C46"/>
    <mergeCell ref="B2:C2"/>
    <mergeCell ref="B3:C3"/>
    <mergeCell ref="B5:C5"/>
    <mergeCell ref="B8:C8"/>
    <mergeCell ref="B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5100"/>
  </sheetPr>
  <dimension ref="A1:M2046"/>
  <sheetViews>
    <sheetView zoomScaleNormal="100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baseColWidth="10" defaultColWidth="8.7109375" defaultRowHeight="15" x14ac:dyDescent="0.25"/>
  <cols>
    <col min="1" max="1" width="14" customWidth="1"/>
    <col min="2" max="2" width="18" customWidth="1"/>
    <col min="3" max="3" width="22" customWidth="1"/>
    <col min="4" max="5" width="16" customWidth="1"/>
    <col min="6" max="6" width="28" customWidth="1"/>
    <col min="7" max="7" width="12" customWidth="1"/>
    <col min="8" max="8" width="16" customWidth="1"/>
    <col min="9" max="9" width="12" customWidth="1"/>
    <col min="10" max="11" width="16" customWidth="1"/>
    <col min="12" max="13" width="18" customWidth="1"/>
  </cols>
  <sheetData>
    <row r="1" spans="1:13" ht="30" customHeight="1" x14ac:dyDescent="0.25">
      <c r="A1" s="5" t="s">
        <v>45</v>
      </c>
      <c r="B1" s="14" t="s">
        <v>47</v>
      </c>
      <c r="C1" s="14" t="s">
        <v>49</v>
      </c>
      <c r="D1" s="14" t="s">
        <v>51</v>
      </c>
      <c r="E1" s="14" t="s">
        <v>53</v>
      </c>
      <c r="F1" s="5" t="s">
        <v>55</v>
      </c>
      <c r="G1" s="14" t="s">
        <v>57</v>
      </c>
      <c r="H1" s="14" t="s">
        <v>59</v>
      </c>
      <c r="I1" s="5" t="s">
        <v>61</v>
      </c>
      <c r="J1" s="5" t="s">
        <v>63</v>
      </c>
      <c r="K1" s="5" t="s">
        <v>65</v>
      </c>
      <c r="L1" s="14" t="s">
        <v>67</v>
      </c>
      <c r="M1" s="5" t="s">
        <v>69</v>
      </c>
    </row>
    <row r="2" spans="1:13" x14ac:dyDescent="0.25">
      <c r="A2" s="6">
        <v>1</v>
      </c>
      <c r="B2" s="7">
        <v>45581</v>
      </c>
      <c r="C2" s="8" t="s">
        <v>72</v>
      </c>
      <c r="D2" s="8" t="s">
        <v>73</v>
      </c>
      <c r="E2" s="8" t="s">
        <v>74</v>
      </c>
      <c r="F2" s="8" t="s">
        <v>75</v>
      </c>
      <c r="G2" s="6">
        <v>48</v>
      </c>
      <c r="H2" s="6">
        <v>21000</v>
      </c>
      <c r="I2" s="6">
        <v>10</v>
      </c>
      <c r="J2" s="6">
        <f t="shared" ref="J2:J65" si="0">G2*H2</f>
        <v>1008000</v>
      </c>
      <c r="K2" s="6">
        <f t="shared" ref="K2:K65" si="1">J2*(1-I2/100)</f>
        <v>907200</v>
      </c>
      <c r="L2" s="8" t="s">
        <v>76</v>
      </c>
      <c r="M2" s="8" t="s">
        <v>77</v>
      </c>
    </row>
    <row r="3" spans="1:13" x14ac:dyDescent="0.25">
      <c r="A3" s="9">
        <v>2</v>
      </c>
      <c r="B3" s="10">
        <v>45359</v>
      </c>
      <c r="C3" s="11" t="s">
        <v>78</v>
      </c>
      <c r="D3" s="11" t="s">
        <v>73</v>
      </c>
      <c r="E3" s="11" t="s">
        <v>79</v>
      </c>
      <c r="F3" s="11" t="s">
        <v>80</v>
      </c>
      <c r="G3" s="9">
        <v>39</v>
      </c>
      <c r="H3" s="9">
        <v>8100</v>
      </c>
      <c r="I3" s="9">
        <v>15</v>
      </c>
      <c r="J3" s="9">
        <f t="shared" si="0"/>
        <v>315900</v>
      </c>
      <c r="K3" s="9">
        <f t="shared" si="1"/>
        <v>268515</v>
      </c>
      <c r="L3" s="11" t="s">
        <v>76</v>
      </c>
      <c r="M3" s="11" t="s">
        <v>81</v>
      </c>
    </row>
    <row r="4" spans="1:13" x14ac:dyDescent="0.25">
      <c r="A4" s="6">
        <v>3</v>
      </c>
      <c r="B4" s="7">
        <v>45592</v>
      </c>
      <c r="C4" s="8" t="s">
        <v>82</v>
      </c>
      <c r="D4" s="8" t="s">
        <v>83</v>
      </c>
      <c r="E4" s="8" t="s">
        <v>84</v>
      </c>
      <c r="F4" s="8" t="s">
        <v>85</v>
      </c>
      <c r="G4" s="6">
        <v>1</v>
      </c>
      <c r="H4" s="6">
        <v>5700</v>
      </c>
      <c r="I4" s="6">
        <v>15</v>
      </c>
      <c r="J4" s="6">
        <f t="shared" si="0"/>
        <v>5700</v>
      </c>
      <c r="K4" s="6">
        <f t="shared" si="1"/>
        <v>4845</v>
      </c>
      <c r="L4" s="8" t="s">
        <v>86</v>
      </c>
      <c r="M4" s="8" t="s">
        <v>81</v>
      </c>
    </row>
    <row r="5" spans="1:13" x14ac:dyDescent="0.25">
      <c r="A5" s="9">
        <v>4</v>
      </c>
      <c r="B5" s="11" t="s">
        <v>87</v>
      </c>
      <c r="C5" s="11" t="s">
        <v>88</v>
      </c>
      <c r="D5" s="11" t="s">
        <v>89</v>
      </c>
      <c r="E5" s="11" t="s">
        <v>84</v>
      </c>
      <c r="F5" s="11" t="s">
        <v>90</v>
      </c>
      <c r="G5" s="9">
        <v>22</v>
      </c>
      <c r="H5" s="9">
        <v>2100</v>
      </c>
      <c r="I5" s="9">
        <v>0</v>
      </c>
      <c r="J5" s="9">
        <f t="shared" si="0"/>
        <v>46200</v>
      </c>
      <c r="K5" s="9">
        <f t="shared" si="1"/>
        <v>46200</v>
      </c>
      <c r="L5" s="11" t="s">
        <v>76</v>
      </c>
      <c r="M5" s="11" t="s">
        <v>91</v>
      </c>
    </row>
    <row r="6" spans="1:13" x14ac:dyDescent="0.25">
      <c r="A6" s="6">
        <v>5</v>
      </c>
      <c r="B6" s="8" t="s">
        <v>92</v>
      </c>
      <c r="C6" s="8" t="s">
        <v>88</v>
      </c>
      <c r="D6" s="8" t="s">
        <v>93</v>
      </c>
      <c r="E6" s="8" t="s">
        <v>74</v>
      </c>
      <c r="F6" s="8" t="s">
        <v>94</v>
      </c>
      <c r="G6" s="6">
        <v>35</v>
      </c>
      <c r="H6" s="6">
        <v>37900</v>
      </c>
      <c r="I6" s="6">
        <v>0</v>
      </c>
      <c r="J6" s="6">
        <f t="shared" si="0"/>
        <v>1326500</v>
      </c>
      <c r="K6" s="6">
        <f t="shared" si="1"/>
        <v>1326500</v>
      </c>
      <c r="L6" s="8" t="s">
        <v>76</v>
      </c>
      <c r="M6" s="8" t="s">
        <v>91</v>
      </c>
    </row>
    <row r="7" spans="1:13" x14ac:dyDescent="0.25">
      <c r="A7" s="9">
        <v>6</v>
      </c>
      <c r="B7" s="10">
        <v>45492</v>
      </c>
      <c r="C7" s="11" t="s">
        <v>95</v>
      </c>
      <c r="D7" s="11" t="s">
        <v>93</v>
      </c>
      <c r="E7" s="11" t="s">
        <v>74</v>
      </c>
      <c r="F7" s="11" t="s">
        <v>75</v>
      </c>
      <c r="G7" s="9">
        <v>3</v>
      </c>
      <c r="H7" s="9">
        <v>23700</v>
      </c>
      <c r="I7" s="9">
        <v>0</v>
      </c>
      <c r="J7" s="9">
        <f t="shared" si="0"/>
        <v>71100</v>
      </c>
      <c r="K7" s="9">
        <f t="shared" si="1"/>
        <v>71100</v>
      </c>
      <c r="L7" s="11" t="s">
        <v>86</v>
      </c>
      <c r="M7" s="11" t="s">
        <v>96</v>
      </c>
    </row>
    <row r="8" spans="1:13" x14ac:dyDescent="0.25">
      <c r="A8" s="6">
        <v>7</v>
      </c>
      <c r="B8" s="7">
        <v>45165</v>
      </c>
      <c r="C8" s="8" t="s">
        <v>97</v>
      </c>
      <c r="D8" s="8" t="s">
        <v>98</v>
      </c>
      <c r="E8" s="8" t="s">
        <v>74</v>
      </c>
      <c r="F8" s="8" t="s">
        <v>99</v>
      </c>
      <c r="G8" s="6">
        <v>24</v>
      </c>
      <c r="H8" s="6">
        <v>3700</v>
      </c>
      <c r="I8" s="6">
        <v>0</v>
      </c>
      <c r="J8" s="6">
        <f t="shared" si="0"/>
        <v>88800</v>
      </c>
      <c r="K8" s="6">
        <f t="shared" si="1"/>
        <v>88800</v>
      </c>
      <c r="L8" s="8" t="s">
        <v>76</v>
      </c>
      <c r="M8" s="8" t="s">
        <v>96</v>
      </c>
    </row>
    <row r="9" spans="1:13" x14ac:dyDescent="0.25">
      <c r="A9" s="9">
        <v>8</v>
      </c>
      <c r="B9" s="11" t="s">
        <v>100</v>
      </c>
      <c r="C9" s="11" t="s">
        <v>101</v>
      </c>
      <c r="D9" s="11" t="s">
        <v>73</v>
      </c>
      <c r="E9" s="11" t="s">
        <v>102</v>
      </c>
      <c r="F9" s="11" t="s">
        <v>103</v>
      </c>
      <c r="G9" s="9">
        <v>16</v>
      </c>
      <c r="H9" s="9">
        <v>10100</v>
      </c>
      <c r="I9" s="9">
        <v>0</v>
      </c>
      <c r="J9" s="9">
        <f t="shared" si="0"/>
        <v>161600</v>
      </c>
      <c r="K9" s="9">
        <f t="shared" si="1"/>
        <v>161600</v>
      </c>
      <c r="L9" s="11" t="s">
        <v>76</v>
      </c>
      <c r="M9" s="11" t="s">
        <v>91</v>
      </c>
    </row>
    <row r="10" spans="1:13" x14ac:dyDescent="0.25">
      <c r="A10" s="6">
        <v>9</v>
      </c>
      <c r="B10" s="7">
        <v>45582</v>
      </c>
      <c r="C10" s="8" t="s">
        <v>82</v>
      </c>
      <c r="D10" s="8" t="s">
        <v>104</v>
      </c>
      <c r="E10" s="8" t="s">
        <v>74</v>
      </c>
      <c r="F10" s="8" t="s">
        <v>94</v>
      </c>
      <c r="G10" s="6">
        <v>3</v>
      </c>
      <c r="H10" s="6" t="s">
        <v>105</v>
      </c>
      <c r="I10" s="6">
        <v>0</v>
      </c>
      <c r="J10" s="6" t="e">
        <f t="shared" si="0"/>
        <v>#VALUE!</v>
      </c>
      <c r="K10" s="6" t="e">
        <f t="shared" si="1"/>
        <v>#VALUE!</v>
      </c>
      <c r="L10" s="8" t="s">
        <v>86</v>
      </c>
      <c r="M10" s="8" t="s">
        <v>91</v>
      </c>
    </row>
    <row r="11" spans="1:13" x14ac:dyDescent="0.25">
      <c r="A11" s="9">
        <v>10</v>
      </c>
      <c r="B11" s="10">
        <v>44994</v>
      </c>
      <c r="C11" s="11" t="s">
        <v>106</v>
      </c>
      <c r="D11" s="11" t="s">
        <v>93</v>
      </c>
      <c r="E11" s="11" t="s">
        <v>74</v>
      </c>
      <c r="F11" s="11" t="s">
        <v>75</v>
      </c>
      <c r="G11" s="9">
        <v>26</v>
      </c>
      <c r="H11" s="9">
        <v>23400</v>
      </c>
      <c r="I11" s="9">
        <v>0</v>
      </c>
      <c r="J11" s="9">
        <f t="shared" si="0"/>
        <v>608400</v>
      </c>
      <c r="K11" s="9">
        <f t="shared" si="1"/>
        <v>608400</v>
      </c>
      <c r="L11" s="11" t="s">
        <v>107</v>
      </c>
      <c r="M11" s="11" t="s">
        <v>91</v>
      </c>
    </row>
    <row r="12" spans="1:13" x14ac:dyDescent="0.25">
      <c r="A12" s="6">
        <v>11</v>
      </c>
      <c r="B12" s="7">
        <v>45198</v>
      </c>
      <c r="C12" s="8" t="s">
        <v>108</v>
      </c>
      <c r="D12" s="8" t="s">
        <v>109</v>
      </c>
      <c r="E12" s="8" t="s">
        <v>102</v>
      </c>
      <c r="F12" s="8" t="s">
        <v>110</v>
      </c>
      <c r="G12" s="6">
        <v>28</v>
      </c>
      <c r="H12" s="6">
        <v>23900</v>
      </c>
      <c r="I12" s="6">
        <v>0</v>
      </c>
      <c r="J12" s="6">
        <f t="shared" si="0"/>
        <v>669200</v>
      </c>
      <c r="K12" s="6">
        <f t="shared" si="1"/>
        <v>669200</v>
      </c>
      <c r="L12" s="8" t="s">
        <v>107</v>
      </c>
      <c r="M12" s="8" t="s">
        <v>91</v>
      </c>
    </row>
    <row r="13" spans="1:13" x14ac:dyDescent="0.25">
      <c r="A13" s="9">
        <v>12</v>
      </c>
      <c r="B13" s="10">
        <v>45151</v>
      </c>
      <c r="C13" s="11" t="s">
        <v>108</v>
      </c>
      <c r="D13" s="11" t="s">
        <v>93</v>
      </c>
      <c r="E13" s="11" t="s">
        <v>111</v>
      </c>
      <c r="F13" s="11" t="s">
        <v>112</v>
      </c>
      <c r="G13" s="9">
        <v>8</v>
      </c>
      <c r="H13" s="9">
        <v>70800</v>
      </c>
      <c r="I13" s="9">
        <v>20</v>
      </c>
      <c r="J13" s="9">
        <f t="shared" si="0"/>
        <v>566400</v>
      </c>
      <c r="K13" s="9">
        <f t="shared" si="1"/>
        <v>453120</v>
      </c>
      <c r="L13" s="11" t="s">
        <v>76</v>
      </c>
      <c r="M13" s="11" t="s">
        <v>81</v>
      </c>
    </row>
    <row r="14" spans="1:13" x14ac:dyDescent="0.25">
      <c r="A14" s="6">
        <v>13</v>
      </c>
      <c r="B14" s="8" t="s">
        <v>113</v>
      </c>
      <c r="C14" s="8" t="s">
        <v>114</v>
      </c>
      <c r="D14" s="8" t="s">
        <v>93</v>
      </c>
      <c r="E14" s="8" t="s">
        <v>79</v>
      </c>
      <c r="F14" s="8" t="s">
        <v>115</v>
      </c>
      <c r="G14" s="6">
        <v>30</v>
      </c>
      <c r="H14" s="6">
        <v>9000</v>
      </c>
      <c r="I14" s="6">
        <v>15</v>
      </c>
      <c r="J14" s="6">
        <f t="shared" si="0"/>
        <v>270000</v>
      </c>
      <c r="K14" s="6">
        <f t="shared" si="1"/>
        <v>229500</v>
      </c>
      <c r="L14" s="8" t="s">
        <v>76</v>
      </c>
      <c r="M14" s="8" t="s">
        <v>77</v>
      </c>
    </row>
    <row r="15" spans="1:13" x14ac:dyDescent="0.25">
      <c r="A15" s="9">
        <v>14</v>
      </c>
      <c r="B15" s="10">
        <v>45044</v>
      </c>
      <c r="C15" s="11" t="s">
        <v>116</v>
      </c>
      <c r="D15" s="11" t="s">
        <v>117</v>
      </c>
      <c r="E15" s="11" t="s">
        <v>74</v>
      </c>
      <c r="F15" s="11" t="s">
        <v>118</v>
      </c>
      <c r="G15" s="9">
        <v>11</v>
      </c>
      <c r="H15" s="9">
        <v>27300</v>
      </c>
      <c r="I15" s="9">
        <v>10</v>
      </c>
      <c r="J15" s="9">
        <f t="shared" si="0"/>
        <v>300300</v>
      </c>
      <c r="K15" s="9">
        <f t="shared" si="1"/>
        <v>270270</v>
      </c>
      <c r="L15" s="11" t="s">
        <v>76</v>
      </c>
      <c r="M15" s="11" t="s">
        <v>96</v>
      </c>
    </row>
    <row r="16" spans="1:13" x14ac:dyDescent="0.25">
      <c r="A16" s="6">
        <v>15</v>
      </c>
      <c r="B16" s="7">
        <v>45109</v>
      </c>
      <c r="C16" s="8" t="s">
        <v>82</v>
      </c>
      <c r="D16" s="8" t="s">
        <v>73</v>
      </c>
      <c r="E16" s="8" t="s">
        <v>74</v>
      </c>
      <c r="F16" s="8" t="s">
        <v>75</v>
      </c>
      <c r="G16" s="6">
        <v>49</v>
      </c>
      <c r="H16" s="6">
        <v>20600</v>
      </c>
      <c r="I16" s="6">
        <v>10</v>
      </c>
      <c r="J16" s="6">
        <f t="shared" si="0"/>
        <v>1009400</v>
      </c>
      <c r="K16" s="6">
        <f t="shared" si="1"/>
        <v>908460</v>
      </c>
      <c r="L16" s="8" t="s">
        <v>76</v>
      </c>
      <c r="M16" s="8" t="s">
        <v>77</v>
      </c>
    </row>
    <row r="17" spans="1:13" x14ac:dyDescent="0.25">
      <c r="A17" s="9">
        <v>16</v>
      </c>
      <c r="B17" s="10">
        <v>45258</v>
      </c>
      <c r="C17" s="11" t="s">
        <v>119</v>
      </c>
      <c r="D17" s="11" t="s">
        <v>73</v>
      </c>
      <c r="E17" s="11" t="s">
        <v>79</v>
      </c>
      <c r="F17" s="11" t="s">
        <v>120</v>
      </c>
      <c r="G17" s="9">
        <v>20</v>
      </c>
      <c r="H17" s="9">
        <v>6700</v>
      </c>
      <c r="I17" s="9">
        <v>10</v>
      </c>
      <c r="J17" s="9">
        <f t="shared" si="0"/>
        <v>134000</v>
      </c>
      <c r="K17" s="9">
        <f t="shared" si="1"/>
        <v>120600</v>
      </c>
      <c r="L17" s="11" t="s">
        <v>76</v>
      </c>
      <c r="M17" s="11" t="s">
        <v>81</v>
      </c>
    </row>
    <row r="18" spans="1:13" x14ac:dyDescent="0.25">
      <c r="A18" s="6">
        <v>17</v>
      </c>
      <c r="B18" s="7">
        <v>45007</v>
      </c>
      <c r="C18" s="8" t="s">
        <v>121</v>
      </c>
      <c r="D18" s="8" t="s">
        <v>83</v>
      </c>
      <c r="E18" s="8" t="s">
        <v>79</v>
      </c>
      <c r="F18" s="8" t="s">
        <v>122</v>
      </c>
      <c r="G18" s="6">
        <v>31</v>
      </c>
      <c r="H18" s="6">
        <v>16800</v>
      </c>
      <c r="I18" s="6">
        <v>0</v>
      </c>
      <c r="J18" s="6">
        <f t="shared" si="0"/>
        <v>520800</v>
      </c>
      <c r="K18" s="6">
        <f t="shared" si="1"/>
        <v>520800</v>
      </c>
      <c r="L18" s="8" t="s">
        <v>123</v>
      </c>
      <c r="M18" s="8" t="s">
        <v>81</v>
      </c>
    </row>
    <row r="19" spans="1:13" x14ac:dyDescent="0.25">
      <c r="A19" s="9">
        <v>18</v>
      </c>
      <c r="B19" s="10">
        <v>45467</v>
      </c>
      <c r="C19" s="11" t="s">
        <v>124</v>
      </c>
      <c r="D19" s="11" t="s">
        <v>83</v>
      </c>
      <c r="E19" s="11" t="s">
        <v>84</v>
      </c>
      <c r="F19" s="11" t="s">
        <v>90</v>
      </c>
      <c r="G19" s="9">
        <v>26</v>
      </c>
      <c r="H19" s="9">
        <v>1900</v>
      </c>
      <c r="I19" s="9">
        <v>5</v>
      </c>
      <c r="J19" s="9">
        <f t="shared" si="0"/>
        <v>49400</v>
      </c>
      <c r="K19" s="9">
        <f t="shared" si="1"/>
        <v>46930</v>
      </c>
      <c r="L19" s="11" t="s">
        <v>125</v>
      </c>
      <c r="M19" s="11" t="s">
        <v>96</v>
      </c>
    </row>
    <row r="20" spans="1:13" x14ac:dyDescent="0.25">
      <c r="A20" s="6">
        <v>19</v>
      </c>
      <c r="B20" s="8" t="s">
        <v>126</v>
      </c>
      <c r="C20" s="8" t="s">
        <v>119</v>
      </c>
      <c r="D20" s="8" t="s">
        <v>73</v>
      </c>
      <c r="E20" s="8" t="s">
        <v>84</v>
      </c>
      <c r="F20" s="8" t="s">
        <v>90</v>
      </c>
      <c r="G20" s="6">
        <v>2</v>
      </c>
      <c r="H20" s="6">
        <v>1600</v>
      </c>
      <c r="I20" s="6">
        <v>10</v>
      </c>
      <c r="J20" s="6">
        <f t="shared" si="0"/>
        <v>3200</v>
      </c>
      <c r="K20" s="6">
        <f t="shared" si="1"/>
        <v>2880</v>
      </c>
      <c r="L20" s="8" t="s">
        <v>76</v>
      </c>
      <c r="M20" s="8" t="s">
        <v>81</v>
      </c>
    </row>
    <row r="21" spans="1:13" x14ac:dyDescent="0.25">
      <c r="A21" s="9">
        <v>20</v>
      </c>
      <c r="B21" s="10">
        <v>45152</v>
      </c>
      <c r="C21" s="11" t="s">
        <v>78</v>
      </c>
      <c r="D21" s="11" t="s">
        <v>127</v>
      </c>
      <c r="E21" s="11" t="s">
        <v>79</v>
      </c>
      <c r="F21" s="11" t="s">
        <v>80</v>
      </c>
      <c r="G21" s="9">
        <v>3</v>
      </c>
      <c r="H21" s="9">
        <v>7800</v>
      </c>
      <c r="I21" s="9">
        <v>10</v>
      </c>
      <c r="J21" s="9">
        <f t="shared" si="0"/>
        <v>23400</v>
      </c>
      <c r="K21" s="9">
        <f t="shared" si="1"/>
        <v>21060</v>
      </c>
      <c r="L21" s="11" t="s">
        <v>107</v>
      </c>
      <c r="M21" s="11" t="s">
        <v>77</v>
      </c>
    </row>
    <row r="22" spans="1:13" x14ac:dyDescent="0.25">
      <c r="A22" s="6">
        <v>21</v>
      </c>
      <c r="B22" s="7">
        <v>45170</v>
      </c>
      <c r="C22" s="8" t="s">
        <v>101</v>
      </c>
      <c r="D22" s="8" t="s">
        <v>83</v>
      </c>
      <c r="E22" s="8" t="s">
        <v>84</v>
      </c>
      <c r="F22" s="8" t="s">
        <v>128</v>
      </c>
      <c r="G22" s="6">
        <v>37</v>
      </c>
      <c r="H22" s="6">
        <v>4500</v>
      </c>
      <c r="I22" s="6">
        <v>20</v>
      </c>
      <c r="J22" s="6">
        <f t="shared" si="0"/>
        <v>166500</v>
      </c>
      <c r="K22" s="6">
        <f t="shared" si="1"/>
        <v>133200</v>
      </c>
      <c r="L22" s="8" t="s">
        <v>129</v>
      </c>
      <c r="M22" s="8" t="s">
        <v>81</v>
      </c>
    </row>
    <row r="23" spans="1:13" x14ac:dyDescent="0.25">
      <c r="A23" s="9">
        <v>22</v>
      </c>
      <c r="B23" s="11" t="s">
        <v>130</v>
      </c>
      <c r="C23" s="11" t="s">
        <v>114</v>
      </c>
      <c r="D23" s="11"/>
      <c r="E23" s="11" t="s">
        <v>79</v>
      </c>
      <c r="F23" s="11" t="s">
        <v>131</v>
      </c>
      <c r="G23" s="9">
        <v>23</v>
      </c>
      <c r="H23" s="9">
        <v>127800</v>
      </c>
      <c r="I23" s="9">
        <v>20</v>
      </c>
      <c r="J23" s="9">
        <f t="shared" si="0"/>
        <v>2939400</v>
      </c>
      <c r="K23" s="9">
        <f t="shared" si="1"/>
        <v>2351520</v>
      </c>
      <c r="L23" s="11" t="s">
        <v>76</v>
      </c>
      <c r="M23" s="11" t="s">
        <v>91</v>
      </c>
    </row>
    <row r="24" spans="1:13" x14ac:dyDescent="0.25">
      <c r="A24" s="6">
        <v>23</v>
      </c>
      <c r="B24" s="7">
        <v>44982</v>
      </c>
      <c r="C24" s="8" t="s">
        <v>97</v>
      </c>
      <c r="D24" s="8" t="s">
        <v>73</v>
      </c>
      <c r="E24" s="8" t="s">
        <v>111</v>
      </c>
      <c r="F24" s="8" t="s">
        <v>132</v>
      </c>
      <c r="G24" s="6">
        <v>7</v>
      </c>
      <c r="H24" s="6">
        <v>8300</v>
      </c>
      <c r="I24" s="6">
        <v>10</v>
      </c>
      <c r="J24" s="6">
        <f t="shared" si="0"/>
        <v>58100</v>
      </c>
      <c r="K24" s="6">
        <f t="shared" si="1"/>
        <v>52290</v>
      </c>
      <c r="L24" s="8" t="s">
        <v>76</v>
      </c>
      <c r="M24" s="8" t="s">
        <v>81</v>
      </c>
    </row>
    <row r="25" spans="1:13" x14ac:dyDescent="0.25">
      <c r="A25" s="9">
        <v>24</v>
      </c>
      <c r="B25" s="10">
        <v>45386</v>
      </c>
      <c r="C25" s="11" t="s">
        <v>108</v>
      </c>
      <c r="D25" s="11" t="s">
        <v>83</v>
      </c>
      <c r="E25" s="11" t="s">
        <v>133</v>
      </c>
      <c r="F25" s="11" t="s">
        <v>134</v>
      </c>
      <c r="G25" s="9">
        <v>5</v>
      </c>
      <c r="H25" s="9">
        <v>9800</v>
      </c>
      <c r="I25" s="9">
        <v>0</v>
      </c>
      <c r="J25" s="9">
        <f t="shared" si="0"/>
        <v>49000</v>
      </c>
      <c r="K25" s="9">
        <f t="shared" si="1"/>
        <v>49000</v>
      </c>
      <c r="L25" s="11" t="s">
        <v>76</v>
      </c>
      <c r="M25" s="11" t="s">
        <v>77</v>
      </c>
    </row>
    <row r="26" spans="1:13" x14ac:dyDescent="0.25">
      <c r="A26" s="6">
        <v>25</v>
      </c>
      <c r="B26" s="7">
        <v>45594</v>
      </c>
      <c r="C26" s="8" t="s">
        <v>82</v>
      </c>
      <c r="D26" s="8" t="s">
        <v>127</v>
      </c>
      <c r="E26" s="8" t="s">
        <v>79</v>
      </c>
      <c r="F26" s="8" t="s">
        <v>80</v>
      </c>
      <c r="G26" s="6">
        <v>32</v>
      </c>
      <c r="H26" s="6">
        <v>8000</v>
      </c>
      <c r="I26" s="6">
        <v>0</v>
      </c>
      <c r="J26" s="6">
        <f t="shared" si="0"/>
        <v>256000</v>
      </c>
      <c r="K26" s="6">
        <f t="shared" si="1"/>
        <v>256000</v>
      </c>
      <c r="L26" s="8" t="s">
        <v>76</v>
      </c>
      <c r="M26" s="8" t="s">
        <v>91</v>
      </c>
    </row>
    <row r="27" spans="1:13" x14ac:dyDescent="0.25">
      <c r="A27" s="9">
        <v>26</v>
      </c>
      <c r="B27" s="10">
        <v>45095</v>
      </c>
      <c r="C27" s="11" t="s">
        <v>114</v>
      </c>
      <c r="D27" s="11" t="s">
        <v>73</v>
      </c>
      <c r="E27" s="11" t="s">
        <v>111</v>
      </c>
      <c r="F27" s="11" t="s">
        <v>135</v>
      </c>
      <c r="G27" s="9">
        <v>30</v>
      </c>
      <c r="H27" s="9">
        <v>130100</v>
      </c>
      <c r="I27" s="9">
        <v>0</v>
      </c>
      <c r="J27" s="9">
        <f t="shared" si="0"/>
        <v>3903000</v>
      </c>
      <c r="K27" s="9">
        <f t="shared" si="1"/>
        <v>3903000</v>
      </c>
      <c r="L27" s="11" t="s">
        <v>76</v>
      </c>
      <c r="M27" s="11" t="s">
        <v>91</v>
      </c>
    </row>
    <row r="28" spans="1:13" x14ac:dyDescent="0.25">
      <c r="A28" s="6">
        <v>27</v>
      </c>
      <c r="B28" s="7">
        <v>45121</v>
      </c>
      <c r="C28" s="8" t="s">
        <v>101</v>
      </c>
      <c r="D28" s="8" t="s">
        <v>109</v>
      </c>
      <c r="E28" s="8" t="s">
        <v>79</v>
      </c>
      <c r="F28" s="8" t="s">
        <v>136</v>
      </c>
      <c r="G28" s="6">
        <v>4</v>
      </c>
      <c r="H28" s="6">
        <v>92400</v>
      </c>
      <c r="I28" s="6">
        <v>10</v>
      </c>
      <c r="J28" s="6">
        <f t="shared" si="0"/>
        <v>369600</v>
      </c>
      <c r="K28" s="6">
        <f t="shared" si="1"/>
        <v>332640</v>
      </c>
      <c r="L28" s="8" t="s">
        <v>76</v>
      </c>
      <c r="M28" s="8"/>
    </row>
    <row r="29" spans="1:13" x14ac:dyDescent="0.25">
      <c r="A29" s="9">
        <v>28</v>
      </c>
      <c r="B29" s="10">
        <v>45470</v>
      </c>
      <c r="C29" s="11" t="s">
        <v>108</v>
      </c>
      <c r="D29" s="11" t="s">
        <v>73</v>
      </c>
      <c r="E29" s="11" t="s">
        <v>102</v>
      </c>
      <c r="F29" s="11" t="s">
        <v>137</v>
      </c>
      <c r="G29" s="9">
        <v>5</v>
      </c>
      <c r="H29" s="9">
        <v>2400</v>
      </c>
      <c r="I29" s="9">
        <v>5</v>
      </c>
      <c r="J29" s="9">
        <f t="shared" si="0"/>
        <v>12000</v>
      </c>
      <c r="K29" s="9">
        <f t="shared" si="1"/>
        <v>11400</v>
      </c>
      <c r="L29" s="11" t="s">
        <v>76</v>
      </c>
      <c r="M29" s="11" t="s">
        <v>81</v>
      </c>
    </row>
    <row r="30" spans="1:13" x14ac:dyDescent="0.25">
      <c r="A30" s="6">
        <v>29</v>
      </c>
      <c r="B30" s="7">
        <v>45049</v>
      </c>
      <c r="C30" s="8" t="s">
        <v>124</v>
      </c>
      <c r="D30" s="8" t="s">
        <v>109</v>
      </c>
      <c r="E30" s="8" t="s">
        <v>102</v>
      </c>
      <c r="F30" s="8" t="s">
        <v>138</v>
      </c>
      <c r="G30" s="6">
        <v>27</v>
      </c>
      <c r="H30" s="6">
        <v>6900</v>
      </c>
      <c r="I30" s="6">
        <v>0</v>
      </c>
      <c r="J30" s="6">
        <f t="shared" si="0"/>
        <v>186300</v>
      </c>
      <c r="K30" s="6">
        <f t="shared" si="1"/>
        <v>186300</v>
      </c>
      <c r="L30" s="8" t="s">
        <v>86</v>
      </c>
      <c r="M30" s="8" t="s">
        <v>96</v>
      </c>
    </row>
    <row r="31" spans="1:13" x14ac:dyDescent="0.25">
      <c r="A31" s="9">
        <v>30</v>
      </c>
      <c r="B31" s="11" t="s">
        <v>139</v>
      </c>
      <c r="C31" s="11" t="s">
        <v>88</v>
      </c>
      <c r="D31" s="11" t="s">
        <v>109</v>
      </c>
      <c r="E31" s="11" t="s">
        <v>74</v>
      </c>
      <c r="F31" s="11" t="s">
        <v>140</v>
      </c>
      <c r="G31" s="9">
        <v>42</v>
      </c>
      <c r="H31" s="9">
        <v>4200</v>
      </c>
      <c r="I31" s="9">
        <v>20</v>
      </c>
      <c r="J31" s="9">
        <f t="shared" si="0"/>
        <v>176400</v>
      </c>
      <c r="K31" s="9">
        <f t="shared" si="1"/>
        <v>141120</v>
      </c>
      <c r="L31" s="11" t="s">
        <v>129</v>
      </c>
      <c r="M31" s="11"/>
    </row>
    <row r="32" spans="1:13" x14ac:dyDescent="0.25">
      <c r="A32" s="6">
        <v>31</v>
      </c>
      <c r="B32" s="8" t="s">
        <v>141</v>
      </c>
      <c r="C32" s="8" t="s">
        <v>78</v>
      </c>
      <c r="D32" s="8" t="s">
        <v>83</v>
      </c>
      <c r="E32" s="8" t="s">
        <v>102</v>
      </c>
      <c r="F32" s="8" t="s">
        <v>137</v>
      </c>
      <c r="G32" s="6">
        <v>14</v>
      </c>
      <c r="H32" s="6">
        <v>2000</v>
      </c>
      <c r="I32" s="6">
        <v>0</v>
      </c>
      <c r="J32" s="6">
        <f t="shared" si="0"/>
        <v>28000</v>
      </c>
      <c r="K32" s="6">
        <f t="shared" si="1"/>
        <v>28000</v>
      </c>
      <c r="L32" s="8" t="s">
        <v>76</v>
      </c>
      <c r="M32" s="8" t="s">
        <v>81</v>
      </c>
    </row>
    <row r="33" spans="1:13" x14ac:dyDescent="0.25">
      <c r="A33" s="9">
        <v>32</v>
      </c>
      <c r="B33" s="10">
        <v>44997</v>
      </c>
      <c r="C33" s="11" t="s">
        <v>106</v>
      </c>
      <c r="D33" s="11" t="s">
        <v>117</v>
      </c>
      <c r="E33" s="11" t="s">
        <v>74</v>
      </c>
      <c r="F33" s="11" t="s">
        <v>142</v>
      </c>
      <c r="G33" s="9">
        <v>35</v>
      </c>
      <c r="H33" s="9">
        <v>12100</v>
      </c>
      <c r="I33" s="9">
        <v>15</v>
      </c>
      <c r="J33" s="9">
        <f t="shared" si="0"/>
        <v>423500</v>
      </c>
      <c r="K33" s="9">
        <f t="shared" si="1"/>
        <v>359975</v>
      </c>
      <c r="L33" s="11" t="s">
        <v>86</v>
      </c>
      <c r="M33" s="11" t="s">
        <v>77</v>
      </c>
    </row>
    <row r="34" spans="1:13" x14ac:dyDescent="0.25">
      <c r="A34" s="6">
        <v>33</v>
      </c>
      <c r="B34" s="7">
        <v>45494</v>
      </c>
      <c r="C34" s="8" t="s">
        <v>101</v>
      </c>
      <c r="D34" s="8" t="s">
        <v>143</v>
      </c>
      <c r="E34" s="8" t="s">
        <v>84</v>
      </c>
      <c r="F34" s="8" t="s">
        <v>134</v>
      </c>
      <c r="G34" s="6">
        <v>7</v>
      </c>
      <c r="H34" s="6">
        <v>8900</v>
      </c>
      <c r="I34" s="6">
        <v>0</v>
      </c>
      <c r="J34" s="6">
        <f t="shared" si="0"/>
        <v>62300</v>
      </c>
      <c r="K34" s="6">
        <f t="shared" si="1"/>
        <v>62300</v>
      </c>
      <c r="L34" s="8" t="s">
        <v>86</v>
      </c>
      <c r="M34" s="8" t="s">
        <v>81</v>
      </c>
    </row>
    <row r="35" spans="1:13" x14ac:dyDescent="0.25">
      <c r="A35" s="9">
        <v>34</v>
      </c>
      <c r="B35" s="10">
        <v>45215</v>
      </c>
      <c r="C35" s="11" t="s">
        <v>124</v>
      </c>
      <c r="D35" s="11" t="s">
        <v>109</v>
      </c>
      <c r="E35" s="11" t="s">
        <v>74</v>
      </c>
      <c r="F35" s="11" t="s">
        <v>75</v>
      </c>
      <c r="G35" s="9">
        <v>17</v>
      </c>
      <c r="H35" s="9">
        <v>23600</v>
      </c>
      <c r="I35" s="9">
        <v>20</v>
      </c>
      <c r="J35" s="9">
        <f t="shared" si="0"/>
        <v>401200</v>
      </c>
      <c r="K35" s="9">
        <f t="shared" si="1"/>
        <v>320960</v>
      </c>
      <c r="L35" s="11" t="s">
        <v>76</v>
      </c>
      <c r="M35" s="11" t="s">
        <v>96</v>
      </c>
    </row>
    <row r="36" spans="1:13" x14ac:dyDescent="0.25">
      <c r="A36" s="6">
        <v>35</v>
      </c>
      <c r="B36" s="7">
        <v>44979</v>
      </c>
      <c r="C36" s="8" t="s">
        <v>97</v>
      </c>
      <c r="D36" s="8" t="s">
        <v>83</v>
      </c>
      <c r="E36" s="8" t="s">
        <v>74</v>
      </c>
      <c r="F36" s="8" t="s">
        <v>94</v>
      </c>
      <c r="G36" s="6">
        <v>50</v>
      </c>
      <c r="H36" s="6">
        <v>31500</v>
      </c>
      <c r="I36" s="6">
        <v>0</v>
      </c>
      <c r="J36" s="6">
        <f t="shared" si="0"/>
        <v>1575000</v>
      </c>
      <c r="K36" s="6">
        <f t="shared" si="1"/>
        <v>1575000</v>
      </c>
      <c r="L36" s="8" t="s">
        <v>76</v>
      </c>
      <c r="M36" s="8" t="s">
        <v>96</v>
      </c>
    </row>
    <row r="37" spans="1:13" x14ac:dyDescent="0.25">
      <c r="A37" s="9">
        <v>36</v>
      </c>
      <c r="B37" s="11" t="s">
        <v>144</v>
      </c>
      <c r="C37" s="11" t="s">
        <v>82</v>
      </c>
      <c r="D37" s="11" t="s">
        <v>83</v>
      </c>
      <c r="E37" s="11" t="s">
        <v>145</v>
      </c>
      <c r="F37" s="11" t="s">
        <v>138</v>
      </c>
      <c r="G37" s="9">
        <v>45</v>
      </c>
      <c r="H37" s="9" t="s">
        <v>146</v>
      </c>
      <c r="I37" s="9">
        <v>20</v>
      </c>
      <c r="J37" s="9">
        <f t="shared" si="0"/>
        <v>270000</v>
      </c>
      <c r="K37" s="9">
        <f t="shared" si="1"/>
        <v>216000</v>
      </c>
      <c r="L37" s="11" t="s">
        <v>107</v>
      </c>
      <c r="M37" s="11" t="s">
        <v>77</v>
      </c>
    </row>
    <row r="38" spans="1:13" x14ac:dyDescent="0.25">
      <c r="A38" s="6">
        <v>37</v>
      </c>
      <c r="B38" s="8" t="s">
        <v>147</v>
      </c>
      <c r="C38" s="8" t="s">
        <v>124</v>
      </c>
      <c r="D38" s="8" t="s">
        <v>93</v>
      </c>
      <c r="E38" s="8" t="s">
        <v>84</v>
      </c>
      <c r="F38" s="8" t="s">
        <v>148</v>
      </c>
      <c r="G38" s="6">
        <v>20</v>
      </c>
      <c r="H38" s="6">
        <v>4500</v>
      </c>
      <c r="I38" s="6">
        <v>0</v>
      </c>
      <c r="J38" s="6">
        <f t="shared" si="0"/>
        <v>90000</v>
      </c>
      <c r="K38" s="6">
        <f t="shared" si="1"/>
        <v>90000</v>
      </c>
      <c r="L38" s="8" t="s">
        <v>76</v>
      </c>
      <c r="M38" s="8" t="s">
        <v>77</v>
      </c>
    </row>
    <row r="39" spans="1:13" x14ac:dyDescent="0.25">
      <c r="A39" s="9">
        <v>38</v>
      </c>
      <c r="B39" s="10">
        <v>45142</v>
      </c>
      <c r="C39" s="11" t="s">
        <v>106</v>
      </c>
      <c r="D39" s="11" t="s">
        <v>73</v>
      </c>
      <c r="E39" s="11" t="s">
        <v>149</v>
      </c>
      <c r="F39" s="11" t="s">
        <v>140</v>
      </c>
      <c r="G39" s="9">
        <v>48</v>
      </c>
      <c r="H39" s="9">
        <v>5100</v>
      </c>
      <c r="I39" s="9">
        <v>20</v>
      </c>
      <c r="J39" s="9">
        <f t="shared" si="0"/>
        <v>244800</v>
      </c>
      <c r="K39" s="9">
        <f t="shared" si="1"/>
        <v>195840</v>
      </c>
      <c r="L39" s="11" t="s">
        <v>76</v>
      </c>
      <c r="M39" s="11"/>
    </row>
    <row r="40" spans="1:13" x14ac:dyDescent="0.25">
      <c r="A40" s="6">
        <v>39</v>
      </c>
      <c r="B40" s="7">
        <v>45093</v>
      </c>
      <c r="C40" s="8" t="s">
        <v>108</v>
      </c>
      <c r="D40" s="8" t="s">
        <v>83</v>
      </c>
      <c r="E40" s="8" t="s">
        <v>79</v>
      </c>
      <c r="F40" s="8" t="s">
        <v>122</v>
      </c>
      <c r="G40" s="6">
        <v>22</v>
      </c>
      <c r="H40" s="6">
        <v>19500</v>
      </c>
      <c r="I40" s="6">
        <v>20</v>
      </c>
      <c r="J40" s="6">
        <f t="shared" si="0"/>
        <v>429000</v>
      </c>
      <c r="K40" s="6">
        <f t="shared" si="1"/>
        <v>343200</v>
      </c>
      <c r="L40" s="8" t="s">
        <v>86</v>
      </c>
      <c r="M40" s="8" t="s">
        <v>91</v>
      </c>
    </row>
    <row r="41" spans="1:13" x14ac:dyDescent="0.25">
      <c r="A41" s="9">
        <v>40</v>
      </c>
      <c r="B41" s="10">
        <v>45612</v>
      </c>
      <c r="C41" s="11" t="s">
        <v>106</v>
      </c>
      <c r="D41" s="11" t="s">
        <v>117</v>
      </c>
      <c r="E41" s="11" t="s">
        <v>84</v>
      </c>
      <c r="F41" s="11" t="s">
        <v>150</v>
      </c>
      <c r="G41" s="9">
        <v>3</v>
      </c>
      <c r="H41" s="9">
        <v>5500</v>
      </c>
      <c r="I41" s="9">
        <v>0</v>
      </c>
      <c r="J41" s="9">
        <f t="shared" si="0"/>
        <v>16500</v>
      </c>
      <c r="K41" s="9">
        <f t="shared" si="1"/>
        <v>16500</v>
      </c>
      <c r="L41" s="11" t="s">
        <v>107</v>
      </c>
      <c r="M41" s="11" t="s">
        <v>81</v>
      </c>
    </row>
    <row r="42" spans="1:13" x14ac:dyDescent="0.25">
      <c r="A42" s="6">
        <v>41</v>
      </c>
      <c r="B42" s="7">
        <v>45398</v>
      </c>
      <c r="C42" s="8" t="s">
        <v>88</v>
      </c>
      <c r="D42" s="8" t="s">
        <v>117</v>
      </c>
      <c r="E42" s="8" t="s">
        <v>84</v>
      </c>
      <c r="F42" s="8" t="s">
        <v>90</v>
      </c>
      <c r="G42" s="6">
        <v>13</v>
      </c>
      <c r="H42" s="6">
        <v>1600</v>
      </c>
      <c r="I42" s="6">
        <v>20</v>
      </c>
      <c r="J42" s="6">
        <f t="shared" si="0"/>
        <v>20800</v>
      </c>
      <c r="K42" s="6">
        <f t="shared" si="1"/>
        <v>16640</v>
      </c>
      <c r="L42" s="8" t="s">
        <v>76</v>
      </c>
      <c r="M42" s="8" t="s">
        <v>96</v>
      </c>
    </row>
    <row r="43" spans="1:13" x14ac:dyDescent="0.25">
      <c r="A43" s="9">
        <v>42</v>
      </c>
      <c r="B43" s="10">
        <v>44998</v>
      </c>
      <c r="C43" s="11" t="s">
        <v>101</v>
      </c>
      <c r="D43" s="11" t="s">
        <v>117</v>
      </c>
      <c r="E43" s="11" t="s">
        <v>102</v>
      </c>
      <c r="F43" s="11" t="s">
        <v>151</v>
      </c>
      <c r="G43" s="9">
        <v>35</v>
      </c>
      <c r="H43" s="9">
        <v>8000</v>
      </c>
      <c r="I43" s="9">
        <v>0</v>
      </c>
      <c r="J43" s="9">
        <f t="shared" si="0"/>
        <v>280000</v>
      </c>
      <c r="K43" s="9">
        <f t="shared" si="1"/>
        <v>280000</v>
      </c>
      <c r="L43" s="11" t="s">
        <v>76</v>
      </c>
      <c r="M43" s="11" t="s">
        <v>77</v>
      </c>
    </row>
    <row r="44" spans="1:13" x14ac:dyDescent="0.25">
      <c r="A44" s="6">
        <v>43</v>
      </c>
      <c r="B44" s="8" t="s">
        <v>152</v>
      </c>
      <c r="C44" s="8" t="s">
        <v>153</v>
      </c>
      <c r="D44" s="8" t="s">
        <v>93</v>
      </c>
      <c r="E44" s="8" t="s">
        <v>74</v>
      </c>
      <c r="F44" s="8" t="s">
        <v>94</v>
      </c>
      <c r="G44" s="6">
        <v>28</v>
      </c>
      <c r="H44" s="6">
        <v>32400</v>
      </c>
      <c r="I44" s="6">
        <v>5</v>
      </c>
      <c r="J44" s="6">
        <f t="shared" si="0"/>
        <v>907200</v>
      </c>
      <c r="K44" s="6">
        <f t="shared" si="1"/>
        <v>861840</v>
      </c>
      <c r="L44" s="8" t="s">
        <v>76</v>
      </c>
      <c r="M44" s="8" t="s">
        <v>96</v>
      </c>
    </row>
    <row r="45" spans="1:13" x14ac:dyDescent="0.25">
      <c r="A45" s="9">
        <v>44</v>
      </c>
      <c r="B45" s="11" t="s">
        <v>154</v>
      </c>
      <c r="C45" s="11" t="s">
        <v>82</v>
      </c>
      <c r="D45" s="11" t="s">
        <v>73</v>
      </c>
      <c r="E45" s="11" t="s">
        <v>155</v>
      </c>
      <c r="F45" s="11" t="s">
        <v>156</v>
      </c>
      <c r="G45" s="9">
        <v>46</v>
      </c>
      <c r="H45" s="9">
        <v>40500</v>
      </c>
      <c r="I45" s="9">
        <v>0</v>
      </c>
      <c r="J45" s="9">
        <f t="shared" si="0"/>
        <v>1863000</v>
      </c>
      <c r="K45" s="9">
        <f t="shared" si="1"/>
        <v>1863000</v>
      </c>
      <c r="L45" s="11" t="s">
        <v>76</v>
      </c>
      <c r="M45" s="11" t="s">
        <v>81</v>
      </c>
    </row>
    <row r="46" spans="1:13" x14ac:dyDescent="0.25">
      <c r="A46" s="6">
        <v>45</v>
      </c>
      <c r="B46" s="7">
        <v>45368</v>
      </c>
      <c r="C46" s="8" t="s">
        <v>72</v>
      </c>
      <c r="D46" s="8" t="s">
        <v>117</v>
      </c>
      <c r="E46" s="8" t="s">
        <v>102</v>
      </c>
      <c r="F46" s="8" t="s">
        <v>157</v>
      </c>
      <c r="G46" s="6">
        <v>8</v>
      </c>
      <c r="H46" s="6">
        <v>12800</v>
      </c>
      <c r="I46" s="6">
        <v>10</v>
      </c>
      <c r="J46" s="6">
        <f t="shared" si="0"/>
        <v>102400</v>
      </c>
      <c r="K46" s="6">
        <f t="shared" si="1"/>
        <v>92160</v>
      </c>
      <c r="L46" s="8" t="s">
        <v>86</v>
      </c>
      <c r="M46" s="8" t="s">
        <v>96</v>
      </c>
    </row>
    <row r="47" spans="1:13" x14ac:dyDescent="0.25">
      <c r="A47" s="9">
        <v>46</v>
      </c>
      <c r="B47" s="10">
        <v>45243</v>
      </c>
      <c r="C47" s="11" t="s">
        <v>114</v>
      </c>
      <c r="D47" s="11"/>
      <c r="E47" s="11" t="s">
        <v>111</v>
      </c>
      <c r="F47" s="11" t="s">
        <v>135</v>
      </c>
      <c r="G47" s="9">
        <v>13</v>
      </c>
      <c r="H47" s="9" t="s">
        <v>158</v>
      </c>
      <c r="I47" s="9">
        <v>15</v>
      </c>
      <c r="J47" s="9" t="e">
        <f t="shared" si="0"/>
        <v>#VALUE!</v>
      </c>
      <c r="K47" s="9" t="e">
        <f t="shared" si="1"/>
        <v>#VALUE!</v>
      </c>
      <c r="L47" s="11" t="s">
        <v>76</v>
      </c>
      <c r="M47" s="11" t="s">
        <v>91</v>
      </c>
    </row>
    <row r="48" spans="1:13" x14ac:dyDescent="0.25">
      <c r="A48" s="6">
        <v>47</v>
      </c>
      <c r="B48" s="7">
        <v>45105</v>
      </c>
      <c r="C48" s="8" t="s">
        <v>124</v>
      </c>
      <c r="D48" s="8" t="s">
        <v>93</v>
      </c>
      <c r="E48" s="8" t="s">
        <v>74</v>
      </c>
      <c r="F48" s="8" t="s">
        <v>140</v>
      </c>
      <c r="G48" s="6">
        <v>1</v>
      </c>
      <c r="H48" s="6">
        <v>4700</v>
      </c>
      <c r="I48" s="6">
        <v>5</v>
      </c>
      <c r="J48" s="6">
        <f t="shared" si="0"/>
        <v>4700</v>
      </c>
      <c r="K48" s="6">
        <f t="shared" si="1"/>
        <v>4465</v>
      </c>
      <c r="L48" s="8" t="s">
        <v>76</v>
      </c>
      <c r="M48" s="8" t="s">
        <v>81</v>
      </c>
    </row>
    <row r="49" spans="1:13" x14ac:dyDescent="0.25">
      <c r="A49" s="9">
        <v>48</v>
      </c>
      <c r="B49" s="10">
        <v>45520</v>
      </c>
      <c r="C49" s="11" t="s">
        <v>124</v>
      </c>
      <c r="D49" s="11" t="s">
        <v>117</v>
      </c>
      <c r="E49" s="11" t="s">
        <v>111</v>
      </c>
      <c r="F49" s="11" t="s">
        <v>159</v>
      </c>
      <c r="G49" s="9">
        <v>14</v>
      </c>
      <c r="H49" s="9">
        <v>12100</v>
      </c>
      <c r="I49" s="9">
        <v>15</v>
      </c>
      <c r="J49" s="9">
        <f t="shared" si="0"/>
        <v>169400</v>
      </c>
      <c r="K49" s="9">
        <f t="shared" si="1"/>
        <v>143990</v>
      </c>
      <c r="L49" s="11" t="s">
        <v>76</v>
      </c>
      <c r="M49" s="11" t="s">
        <v>81</v>
      </c>
    </row>
    <row r="50" spans="1:13" x14ac:dyDescent="0.25">
      <c r="A50" s="6">
        <v>49</v>
      </c>
      <c r="B50" s="7">
        <v>45013</v>
      </c>
      <c r="C50" s="8" t="s">
        <v>101</v>
      </c>
      <c r="D50" s="8" t="s">
        <v>93</v>
      </c>
      <c r="E50" s="8" t="s">
        <v>102</v>
      </c>
      <c r="F50" s="8" t="s">
        <v>157</v>
      </c>
      <c r="G50" s="6">
        <v>49</v>
      </c>
      <c r="H50" s="6">
        <v>11100</v>
      </c>
      <c r="I50" s="6">
        <v>0</v>
      </c>
      <c r="J50" s="6">
        <f t="shared" si="0"/>
        <v>543900</v>
      </c>
      <c r="K50" s="6">
        <f t="shared" si="1"/>
        <v>543900</v>
      </c>
      <c r="L50" s="8" t="s">
        <v>129</v>
      </c>
      <c r="M50" s="8" t="s">
        <v>96</v>
      </c>
    </row>
    <row r="51" spans="1:13" x14ac:dyDescent="0.25">
      <c r="A51" s="9">
        <v>50</v>
      </c>
      <c r="B51" s="10">
        <v>45130</v>
      </c>
      <c r="C51" s="11" t="s">
        <v>160</v>
      </c>
      <c r="D51" s="11" t="s">
        <v>73</v>
      </c>
      <c r="E51" s="11" t="s">
        <v>79</v>
      </c>
      <c r="F51" s="11" t="s">
        <v>80</v>
      </c>
      <c r="G51" s="9">
        <v>40</v>
      </c>
      <c r="H51" s="9">
        <v>9700</v>
      </c>
      <c r="I51" s="9">
        <v>5</v>
      </c>
      <c r="J51" s="9">
        <f t="shared" si="0"/>
        <v>388000</v>
      </c>
      <c r="K51" s="9">
        <f t="shared" si="1"/>
        <v>368600</v>
      </c>
      <c r="L51" s="11" t="s">
        <v>86</v>
      </c>
      <c r="M51" s="11" t="s">
        <v>77</v>
      </c>
    </row>
    <row r="52" spans="1:13" x14ac:dyDescent="0.25">
      <c r="A52" s="6">
        <v>51</v>
      </c>
      <c r="B52" s="7">
        <v>45351</v>
      </c>
      <c r="C52" s="8" t="s">
        <v>124</v>
      </c>
      <c r="D52" s="8" t="s">
        <v>109</v>
      </c>
      <c r="E52" s="8" t="s">
        <v>111</v>
      </c>
      <c r="F52" s="8" t="s">
        <v>159</v>
      </c>
      <c r="G52" s="6">
        <v>10</v>
      </c>
      <c r="H52" s="6">
        <v>12000</v>
      </c>
      <c r="I52" s="6">
        <v>20</v>
      </c>
      <c r="J52" s="6">
        <f t="shared" si="0"/>
        <v>120000</v>
      </c>
      <c r="K52" s="6">
        <f t="shared" si="1"/>
        <v>96000</v>
      </c>
      <c r="L52" s="8" t="s">
        <v>86</v>
      </c>
      <c r="M52" s="8" t="s">
        <v>77</v>
      </c>
    </row>
    <row r="53" spans="1:13" x14ac:dyDescent="0.25">
      <c r="A53" s="9">
        <v>52</v>
      </c>
      <c r="B53" s="11" t="s">
        <v>161</v>
      </c>
      <c r="C53" s="11" t="s">
        <v>114</v>
      </c>
      <c r="D53" s="11" t="s">
        <v>109</v>
      </c>
      <c r="E53" s="11" t="s">
        <v>162</v>
      </c>
      <c r="F53" s="11" t="s">
        <v>85</v>
      </c>
      <c r="G53" s="9">
        <v>16</v>
      </c>
      <c r="H53" s="9">
        <v>4900</v>
      </c>
      <c r="I53" s="9">
        <v>5</v>
      </c>
      <c r="J53" s="9">
        <f t="shared" si="0"/>
        <v>78400</v>
      </c>
      <c r="K53" s="9">
        <f t="shared" si="1"/>
        <v>74480</v>
      </c>
      <c r="L53" s="11" t="s">
        <v>107</v>
      </c>
      <c r="M53" s="11" t="s">
        <v>77</v>
      </c>
    </row>
    <row r="54" spans="1:13" x14ac:dyDescent="0.25">
      <c r="A54" s="6">
        <v>53</v>
      </c>
      <c r="B54" s="7">
        <v>45063</v>
      </c>
      <c r="C54" s="8" t="s">
        <v>119</v>
      </c>
      <c r="D54" s="8" t="s">
        <v>93</v>
      </c>
      <c r="E54" s="8" t="s">
        <v>102</v>
      </c>
      <c r="F54" s="8" t="s">
        <v>157</v>
      </c>
      <c r="G54" s="6">
        <v>29</v>
      </c>
      <c r="H54" s="6">
        <v>13700</v>
      </c>
      <c r="I54" s="6"/>
      <c r="J54" s="6">
        <f t="shared" si="0"/>
        <v>397300</v>
      </c>
      <c r="K54" s="6">
        <f t="shared" si="1"/>
        <v>397300</v>
      </c>
      <c r="L54" s="8" t="s">
        <v>76</v>
      </c>
      <c r="M54" s="8" t="s">
        <v>91</v>
      </c>
    </row>
    <row r="55" spans="1:13" x14ac:dyDescent="0.25">
      <c r="A55" s="9">
        <v>54</v>
      </c>
      <c r="B55" s="11" t="s">
        <v>163</v>
      </c>
      <c r="C55" s="11" t="s">
        <v>119</v>
      </c>
      <c r="D55" s="11" t="s">
        <v>109</v>
      </c>
      <c r="E55" s="11" t="s">
        <v>111</v>
      </c>
      <c r="F55" s="11" t="s">
        <v>159</v>
      </c>
      <c r="G55" s="9">
        <v>16</v>
      </c>
      <c r="H55" s="9">
        <v>11600</v>
      </c>
      <c r="I55" s="9">
        <v>20</v>
      </c>
      <c r="J55" s="9">
        <f t="shared" si="0"/>
        <v>185600</v>
      </c>
      <c r="K55" s="9">
        <f t="shared" si="1"/>
        <v>148480</v>
      </c>
      <c r="L55" s="11" t="s">
        <v>86</v>
      </c>
      <c r="M55" s="11" t="s">
        <v>96</v>
      </c>
    </row>
    <row r="56" spans="1:13" x14ac:dyDescent="0.25">
      <c r="A56" s="6">
        <v>55</v>
      </c>
      <c r="B56" s="7">
        <v>45460</v>
      </c>
      <c r="C56" s="8" t="s">
        <v>119</v>
      </c>
      <c r="D56" s="8" t="s">
        <v>109</v>
      </c>
      <c r="E56" s="8" t="s">
        <v>74</v>
      </c>
      <c r="F56" s="8" t="s">
        <v>99</v>
      </c>
      <c r="G56" s="6">
        <v>19</v>
      </c>
      <c r="H56" s="6">
        <v>3200</v>
      </c>
      <c r="I56" s="6">
        <v>0</v>
      </c>
      <c r="J56" s="6">
        <f t="shared" si="0"/>
        <v>60800</v>
      </c>
      <c r="K56" s="6">
        <f t="shared" si="1"/>
        <v>60800</v>
      </c>
      <c r="L56" s="8" t="s">
        <v>164</v>
      </c>
      <c r="M56" s="8" t="s">
        <v>96</v>
      </c>
    </row>
    <row r="57" spans="1:13" x14ac:dyDescent="0.25">
      <c r="A57" s="9">
        <v>56</v>
      </c>
      <c r="B57" s="10">
        <v>45480</v>
      </c>
      <c r="C57" s="11" t="s">
        <v>97</v>
      </c>
      <c r="D57" s="11" t="s">
        <v>109</v>
      </c>
      <c r="E57" s="11" t="s">
        <v>84</v>
      </c>
      <c r="F57" s="11" t="s">
        <v>90</v>
      </c>
      <c r="G57" s="9">
        <v>10</v>
      </c>
      <c r="H57" s="9">
        <v>1800</v>
      </c>
      <c r="I57" s="9">
        <v>5</v>
      </c>
      <c r="J57" s="9">
        <f t="shared" si="0"/>
        <v>18000</v>
      </c>
      <c r="K57" s="9">
        <f t="shared" si="1"/>
        <v>17100</v>
      </c>
      <c r="L57" s="11" t="s">
        <v>86</v>
      </c>
      <c r="M57" s="11" t="s">
        <v>77</v>
      </c>
    </row>
    <row r="58" spans="1:13" x14ac:dyDescent="0.25">
      <c r="A58" s="6">
        <v>57</v>
      </c>
      <c r="B58" s="7">
        <v>45344</v>
      </c>
      <c r="C58" s="8" t="s">
        <v>88</v>
      </c>
      <c r="D58" s="8" t="s">
        <v>93</v>
      </c>
      <c r="E58" s="8" t="s">
        <v>111</v>
      </c>
      <c r="F58" s="8" t="s">
        <v>165</v>
      </c>
      <c r="G58" s="6">
        <v>27</v>
      </c>
      <c r="H58" s="6">
        <v>16500</v>
      </c>
      <c r="I58" s="6">
        <v>20</v>
      </c>
      <c r="J58" s="6">
        <f t="shared" si="0"/>
        <v>445500</v>
      </c>
      <c r="K58" s="6">
        <f t="shared" si="1"/>
        <v>356400</v>
      </c>
      <c r="L58" s="8" t="s">
        <v>76</v>
      </c>
      <c r="M58" s="8" t="s">
        <v>77</v>
      </c>
    </row>
    <row r="59" spans="1:13" x14ac:dyDescent="0.25">
      <c r="A59" s="9">
        <v>58</v>
      </c>
      <c r="B59" s="10">
        <v>45516</v>
      </c>
      <c r="C59" s="11" t="s">
        <v>114</v>
      </c>
      <c r="D59" s="11" t="s">
        <v>83</v>
      </c>
      <c r="E59" s="11" t="s">
        <v>79</v>
      </c>
      <c r="F59" s="11" t="s">
        <v>120</v>
      </c>
      <c r="G59" s="9">
        <v>25</v>
      </c>
      <c r="H59" s="9">
        <v>5800</v>
      </c>
      <c r="I59" s="9">
        <v>10</v>
      </c>
      <c r="J59" s="9">
        <f t="shared" si="0"/>
        <v>145000</v>
      </c>
      <c r="K59" s="9">
        <f t="shared" si="1"/>
        <v>130500</v>
      </c>
      <c r="L59" s="11" t="s">
        <v>107</v>
      </c>
      <c r="M59" s="11" t="s">
        <v>91</v>
      </c>
    </row>
    <row r="60" spans="1:13" x14ac:dyDescent="0.25">
      <c r="A60" s="6">
        <v>59</v>
      </c>
      <c r="B60" s="7">
        <v>45486</v>
      </c>
      <c r="C60" s="8" t="s">
        <v>124</v>
      </c>
      <c r="D60" s="8" t="s">
        <v>109</v>
      </c>
      <c r="E60" s="8" t="s">
        <v>111</v>
      </c>
      <c r="F60" s="8" t="s">
        <v>156</v>
      </c>
      <c r="G60" s="6">
        <v>32</v>
      </c>
      <c r="H60" s="6">
        <v>40700</v>
      </c>
      <c r="I60" s="6"/>
      <c r="J60" s="6">
        <f t="shared" si="0"/>
        <v>1302400</v>
      </c>
      <c r="K60" s="6">
        <f t="shared" si="1"/>
        <v>1302400</v>
      </c>
      <c r="L60" s="8" t="s">
        <v>76</v>
      </c>
      <c r="M60" s="8" t="s">
        <v>96</v>
      </c>
    </row>
    <row r="61" spans="1:13" x14ac:dyDescent="0.25">
      <c r="A61" s="9">
        <v>60</v>
      </c>
      <c r="B61" s="10">
        <v>45622</v>
      </c>
      <c r="C61" s="11" t="s">
        <v>114</v>
      </c>
      <c r="D61" s="11" t="s">
        <v>109</v>
      </c>
      <c r="E61" s="11" t="s">
        <v>111</v>
      </c>
      <c r="F61" s="11" t="s">
        <v>166</v>
      </c>
      <c r="G61" s="9">
        <v>35</v>
      </c>
      <c r="H61" s="9">
        <v>32100</v>
      </c>
      <c r="I61" s="9">
        <v>10</v>
      </c>
      <c r="J61" s="9">
        <f t="shared" si="0"/>
        <v>1123500</v>
      </c>
      <c r="K61" s="9">
        <f t="shared" si="1"/>
        <v>1011150</v>
      </c>
      <c r="L61" s="11" t="s">
        <v>76</v>
      </c>
      <c r="M61" s="11" t="s">
        <v>91</v>
      </c>
    </row>
    <row r="62" spans="1:13" x14ac:dyDescent="0.25">
      <c r="A62" s="6">
        <v>61</v>
      </c>
      <c r="B62" s="8" t="s">
        <v>167</v>
      </c>
      <c r="C62" s="8" t="s">
        <v>78</v>
      </c>
      <c r="D62" s="8" t="s">
        <v>73</v>
      </c>
      <c r="E62" s="8" t="s">
        <v>111</v>
      </c>
      <c r="F62" s="8" t="s">
        <v>166</v>
      </c>
      <c r="G62" s="6">
        <v>12</v>
      </c>
      <c r="H62" s="6">
        <v>31300</v>
      </c>
      <c r="I62" s="6">
        <v>0</v>
      </c>
      <c r="J62" s="6">
        <f t="shared" si="0"/>
        <v>375600</v>
      </c>
      <c r="K62" s="6">
        <f t="shared" si="1"/>
        <v>375600</v>
      </c>
      <c r="L62" s="8" t="s">
        <v>76</v>
      </c>
      <c r="M62" s="8" t="s">
        <v>91</v>
      </c>
    </row>
    <row r="63" spans="1:13" x14ac:dyDescent="0.25">
      <c r="A63" s="9">
        <v>62</v>
      </c>
      <c r="B63" s="10">
        <v>45143</v>
      </c>
      <c r="C63" s="11" t="s">
        <v>119</v>
      </c>
      <c r="D63" s="11" t="s">
        <v>117</v>
      </c>
      <c r="E63" s="11" t="s">
        <v>74</v>
      </c>
      <c r="F63" s="11" t="s">
        <v>140</v>
      </c>
      <c r="G63" s="9">
        <v>27</v>
      </c>
      <c r="H63" s="9">
        <v>4400</v>
      </c>
      <c r="I63" s="9">
        <v>5</v>
      </c>
      <c r="J63" s="9">
        <f t="shared" si="0"/>
        <v>118800</v>
      </c>
      <c r="K63" s="9">
        <f t="shared" si="1"/>
        <v>112860</v>
      </c>
      <c r="L63" s="11" t="s">
        <v>76</v>
      </c>
      <c r="M63" s="11" t="s">
        <v>77</v>
      </c>
    </row>
    <row r="64" spans="1:13" x14ac:dyDescent="0.25">
      <c r="A64" s="6">
        <v>63</v>
      </c>
      <c r="B64" s="7">
        <v>44946</v>
      </c>
      <c r="C64" s="8" t="s">
        <v>116</v>
      </c>
      <c r="D64" s="8" t="s">
        <v>73</v>
      </c>
      <c r="E64" s="8" t="s">
        <v>74</v>
      </c>
      <c r="F64" s="8" t="s">
        <v>75</v>
      </c>
      <c r="G64" s="6">
        <v>50</v>
      </c>
      <c r="H64" s="6">
        <v>23400</v>
      </c>
      <c r="I64" s="6">
        <v>20</v>
      </c>
      <c r="J64" s="6">
        <f t="shared" si="0"/>
        <v>1170000</v>
      </c>
      <c r="K64" s="6">
        <f t="shared" si="1"/>
        <v>936000</v>
      </c>
      <c r="L64" s="8" t="s">
        <v>125</v>
      </c>
      <c r="M64" s="8" t="s">
        <v>77</v>
      </c>
    </row>
    <row r="65" spans="1:13" x14ac:dyDescent="0.25">
      <c r="A65" s="9">
        <v>64</v>
      </c>
      <c r="B65" s="10">
        <v>44958</v>
      </c>
      <c r="C65" s="11" t="s">
        <v>106</v>
      </c>
      <c r="D65" s="11" t="s">
        <v>109</v>
      </c>
      <c r="E65" s="11" t="s">
        <v>79</v>
      </c>
      <c r="F65" s="11" t="s">
        <v>122</v>
      </c>
      <c r="G65" s="12">
        <v>-31</v>
      </c>
      <c r="H65" s="9">
        <v>17300</v>
      </c>
      <c r="I65" s="9">
        <v>5</v>
      </c>
      <c r="J65" s="9">
        <f t="shared" si="0"/>
        <v>-536300</v>
      </c>
      <c r="K65" s="9">
        <f t="shared" si="1"/>
        <v>-509485</v>
      </c>
      <c r="L65" s="11" t="s">
        <v>86</v>
      </c>
      <c r="M65" s="11" t="s">
        <v>81</v>
      </c>
    </row>
    <row r="66" spans="1:13" x14ac:dyDescent="0.25">
      <c r="A66" s="6">
        <v>65</v>
      </c>
      <c r="B66" s="8" t="s">
        <v>168</v>
      </c>
      <c r="C66" s="8" t="s">
        <v>95</v>
      </c>
      <c r="D66" s="8" t="s">
        <v>117</v>
      </c>
      <c r="E66" s="8" t="s">
        <v>84</v>
      </c>
      <c r="F66" s="8" t="s">
        <v>150</v>
      </c>
      <c r="G66" s="6">
        <v>11</v>
      </c>
      <c r="H66" s="6">
        <v>6000</v>
      </c>
      <c r="I66" s="6">
        <v>10</v>
      </c>
      <c r="J66" s="6">
        <f t="shared" ref="J66:J129" si="2">G66*H66</f>
        <v>66000</v>
      </c>
      <c r="K66" s="6">
        <f t="shared" ref="K66:K129" si="3">J66*(1-I66/100)</f>
        <v>59400</v>
      </c>
      <c r="L66" s="8" t="s">
        <v>125</v>
      </c>
      <c r="M66" s="8" t="s">
        <v>77</v>
      </c>
    </row>
    <row r="67" spans="1:13" x14ac:dyDescent="0.25">
      <c r="A67" s="9">
        <v>66</v>
      </c>
      <c r="B67" s="10">
        <v>44953</v>
      </c>
      <c r="C67" s="11" t="s">
        <v>169</v>
      </c>
      <c r="D67" s="11" t="s">
        <v>93</v>
      </c>
      <c r="E67" s="11" t="s">
        <v>111</v>
      </c>
      <c r="F67" s="11" t="s">
        <v>165</v>
      </c>
      <c r="G67" s="9">
        <v>13</v>
      </c>
      <c r="H67" s="9">
        <v>20400</v>
      </c>
      <c r="I67" s="9">
        <v>0</v>
      </c>
      <c r="J67" s="9">
        <f t="shared" si="2"/>
        <v>265200</v>
      </c>
      <c r="K67" s="9">
        <f t="shared" si="3"/>
        <v>265200</v>
      </c>
      <c r="L67" s="11" t="s">
        <v>76</v>
      </c>
      <c r="M67" s="11" t="s">
        <v>81</v>
      </c>
    </row>
    <row r="68" spans="1:13" x14ac:dyDescent="0.25">
      <c r="A68" s="6">
        <v>367</v>
      </c>
      <c r="B68" s="7">
        <v>45596</v>
      </c>
      <c r="C68" s="8" t="s">
        <v>108</v>
      </c>
      <c r="D68" s="8" t="s">
        <v>93</v>
      </c>
      <c r="E68" s="8" t="s">
        <v>111</v>
      </c>
      <c r="F68" s="8" t="s">
        <v>166</v>
      </c>
      <c r="G68" s="6">
        <v>22</v>
      </c>
      <c r="H68" s="6">
        <v>25600</v>
      </c>
      <c r="I68" s="6">
        <v>5</v>
      </c>
      <c r="J68" s="6">
        <f t="shared" si="2"/>
        <v>563200</v>
      </c>
      <c r="K68" s="6">
        <f t="shared" si="3"/>
        <v>535040</v>
      </c>
      <c r="L68" s="8" t="s">
        <v>76</v>
      </c>
      <c r="M68" s="8" t="s">
        <v>81</v>
      </c>
    </row>
    <row r="69" spans="1:13" x14ac:dyDescent="0.25">
      <c r="A69" s="9">
        <v>67</v>
      </c>
      <c r="B69" s="10">
        <v>45640</v>
      </c>
      <c r="C69" s="11" t="s">
        <v>169</v>
      </c>
      <c r="D69" s="11" t="s">
        <v>93</v>
      </c>
      <c r="E69" s="11" t="s">
        <v>79</v>
      </c>
      <c r="F69" s="11" t="s">
        <v>136</v>
      </c>
      <c r="G69" s="9">
        <v>28</v>
      </c>
      <c r="H69" s="9">
        <v>83900</v>
      </c>
      <c r="I69" s="9">
        <v>10</v>
      </c>
      <c r="J69" s="9">
        <f t="shared" si="2"/>
        <v>2349200</v>
      </c>
      <c r="K69" s="9">
        <f t="shared" si="3"/>
        <v>2114280</v>
      </c>
      <c r="L69" s="11" t="s">
        <v>86</v>
      </c>
      <c r="M69" s="11" t="s">
        <v>77</v>
      </c>
    </row>
    <row r="70" spans="1:13" x14ac:dyDescent="0.25">
      <c r="A70" s="6">
        <v>68</v>
      </c>
      <c r="B70" s="8" t="s">
        <v>170</v>
      </c>
      <c r="C70" s="8" t="s">
        <v>88</v>
      </c>
      <c r="D70" s="8" t="s">
        <v>73</v>
      </c>
      <c r="E70" s="8" t="s">
        <v>111</v>
      </c>
      <c r="F70" s="8" t="s">
        <v>159</v>
      </c>
      <c r="G70" s="6">
        <v>24</v>
      </c>
      <c r="H70" s="6">
        <v>11100</v>
      </c>
      <c r="I70" s="6">
        <v>15</v>
      </c>
      <c r="J70" s="6">
        <f t="shared" si="2"/>
        <v>266400</v>
      </c>
      <c r="K70" s="6">
        <f t="shared" si="3"/>
        <v>226440</v>
      </c>
      <c r="L70" s="8" t="s">
        <v>76</v>
      </c>
      <c r="M70" s="8" t="s">
        <v>91</v>
      </c>
    </row>
    <row r="71" spans="1:13" x14ac:dyDescent="0.25">
      <c r="A71" s="9">
        <v>69</v>
      </c>
      <c r="B71" s="11" t="s">
        <v>171</v>
      </c>
      <c r="C71" s="11" t="s">
        <v>114</v>
      </c>
      <c r="D71" s="11" t="s">
        <v>109</v>
      </c>
      <c r="E71" s="11" t="s">
        <v>102</v>
      </c>
      <c r="F71" s="11" t="s">
        <v>110</v>
      </c>
      <c r="G71" s="12">
        <v>-35</v>
      </c>
      <c r="H71" s="9">
        <v>23200</v>
      </c>
      <c r="I71" s="9">
        <v>5</v>
      </c>
      <c r="J71" s="9">
        <f t="shared" si="2"/>
        <v>-812000</v>
      </c>
      <c r="K71" s="9">
        <f t="shared" si="3"/>
        <v>-771400</v>
      </c>
      <c r="L71" s="11" t="s">
        <v>86</v>
      </c>
      <c r="M71" s="11" t="s">
        <v>91</v>
      </c>
    </row>
    <row r="72" spans="1:13" x14ac:dyDescent="0.25">
      <c r="A72" s="6">
        <v>70</v>
      </c>
      <c r="B72" s="7">
        <v>45533</v>
      </c>
      <c r="C72" s="8" t="s">
        <v>101</v>
      </c>
      <c r="D72" s="8" t="s">
        <v>117</v>
      </c>
      <c r="E72" s="8" t="s">
        <v>84</v>
      </c>
      <c r="F72" s="8" t="s">
        <v>150</v>
      </c>
      <c r="G72" s="6">
        <v>29</v>
      </c>
      <c r="H72" s="6">
        <v>5300</v>
      </c>
      <c r="I72" s="6">
        <v>10</v>
      </c>
      <c r="J72" s="6">
        <f t="shared" si="2"/>
        <v>153700</v>
      </c>
      <c r="K72" s="6">
        <f t="shared" si="3"/>
        <v>138330</v>
      </c>
      <c r="L72" s="8" t="s">
        <v>76</v>
      </c>
      <c r="M72" s="8" t="s">
        <v>91</v>
      </c>
    </row>
    <row r="73" spans="1:13" x14ac:dyDescent="0.25">
      <c r="A73" s="9">
        <v>71</v>
      </c>
      <c r="B73" s="10">
        <v>45551</v>
      </c>
      <c r="C73" s="11" t="s">
        <v>114</v>
      </c>
      <c r="D73" s="11" t="s">
        <v>117</v>
      </c>
      <c r="E73" s="11" t="s">
        <v>79</v>
      </c>
      <c r="F73" s="11" t="s">
        <v>172</v>
      </c>
      <c r="G73" s="9">
        <v>12</v>
      </c>
      <c r="H73" s="9">
        <v>27800</v>
      </c>
      <c r="I73" s="9">
        <v>20</v>
      </c>
      <c r="J73" s="9">
        <f t="shared" si="2"/>
        <v>333600</v>
      </c>
      <c r="K73" s="9">
        <f t="shared" si="3"/>
        <v>266880</v>
      </c>
      <c r="L73" s="11" t="s">
        <v>76</v>
      </c>
      <c r="M73" s="11" t="s">
        <v>96</v>
      </c>
    </row>
    <row r="74" spans="1:13" x14ac:dyDescent="0.25">
      <c r="A74" s="6">
        <v>72</v>
      </c>
      <c r="B74" s="7">
        <v>45191</v>
      </c>
      <c r="C74" s="8" t="s">
        <v>88</v>
      </c>
      <c r="D74" s="8" t="s">
        <v>117</v>
      </c>
      <c r="E74" s="8" t="s">
        <v>102</v>
      </c>
      <c r="F74" s="8" t="s">
        <v>110</v>
      </c>
      <c r="G74" s="6">
        <v>34</v>
      </c>
      <c r="H74" s="6">
        <v>22900</v>
      </c>
      <c r="I74" s="6">
        <v>0</v>
      </c>
      <c r="J74" s="6">
        <f t="shared" si="2"/>
        <v>778600</v>
      </c>
      <c r="K74" s="6">
        <f t="shared" si="3"/>
        <v>778600</v>
      </c>
      <c r="L74" s="8" t="s">
        <v>125</v>
      </c>
      <c r="M74" s="8" t="s">
        <v>77</v>
      </c>
    </row>
    <row r="75" spans="1:13" x14ac:dyDescent="0.25">
      <c r="A75" s="9">
        <v>73</v>
      </c>
      <c r="B75" s="10">
        <v>45343</v>
      </c>
      <c r="C75" s="11" t="s">
        <v>119</v>
      </c>
      <c r="D75" s="11" t="s">
        <v>93</v>
      </c>
      <c r="E75" s="11" t="s">
        <v>84</v>
      </c>
      <c r="F75" s="11" t="s">
        <v>85</v>
      </c>
      <c r="G75" s="9">
        <v>32</v>
      </c>
      <c r="H75" s="9">
        <v>5700</v>
      </c>
      <c r="I75" s="9">
        <v>0</v>
      </c>
      <c r="J75" s="9">
        <f t="shared" si="2"/>
        <v>182400</v>
      </c>
      <c r="K75" s="9">
        <f t="shared" si="3"/>
        <v>182400</v>
      </c>
      <c r="L75" s="11" t="s">
        <v>164</v>
      </c>
      <c r="M75" s="11" t="s">
        <v>77</v>
      </c>
    </row>
    <row r="76" spans="1:13" x14ac:dyDescent="0.25">
      <c r="A76" s="6">
        <v>74</v>
      </c>
      <c r="B76" s="7">
        <v>45228</v>
      </c>
      <c r="C76" s="8" t="s">
        <v>106</v>
      </c>
      <c r="D76" s="8" t="s">
        <v>83</v>
      </c>
      <c r="E76" s="8" t="s">
        <v>173</v>
      </c>
      <c r="F76" s="8" t="s">
        <v>134</v>
      </c>
      <c r="G76" s="6">
        <v>24</v>
      </c>
      <c r="H76" s="6">
        <v>10200</v>
      </c>
      <c r="I76" s="6">
        <v>5</v>
      </c>
      <c r="J76" s="6">
        <f t="shared" si="2"/>
        <v>244800</v>
      </c>
      <c r="K76" s="6">
        <f t="shared" si="3"/>
        <v>232560</v>
      </c>
      <c r="L76" s="8" t="s">
        <v>76</v>
      </c>
      <c r="M76" s="8" t="s">
        <v>96</v>
      </c>
    </row>
    <row r="77" spans="1:13" x14ac:dyDescent="0.25">
      <c r="A77" s="9">
        <v>75</v>
      </c>
      <c r="B77" s="10">
        <v>45490</v>
      </c>
      <c r="C77" s="11" t="s">
        <v>88</v>
      </c>
      <c r="D77" s="11" t="s">
        <v>117</v>
      </c>
      <c r="E77" s="11" t="s">
        <v>111</v>
      </c>
      <c r="F77" s="11" t="s">
        <v>135</v>
      </c>
      <c r="G77" s="9">
        <v>15</v>
      </c>
      <c r="H77" s="9">
        <v>112300</v>
      </c>
      <c r="I77" s="9">
        <v>0</v>
      </c>
      <c r="J77" s="9">
        <f t="shared" si="2"/>
        <v>1684500</v>
      </c>
      <c r="K77" s="9">
        <f t="shared" si="3"/>
        <v>1684500</v>
      </c>
      <c r="L77" s="11" t="s">
        <v>174</v>
      </c>
      <c r="M77" s="11" t="s">
        <v>81</v>
      </c>
    </row>
    <row r="78" spans="1:13" x14ac:dyDescent="0.25">
      <c r="A78" s="6">
        <v>76</v>
      </c>
      <c r="B78" s="8" t="s">
        <v>175</v>
      </c>
      <c r="C78" s="8" t="s">
        <v>82</v>
      </c>
      <c r="D78" s="8" t="s">
        <v>109</v>
      </c>
      <c r="E78" s="8" t="s">
        <v>176</v>
      </c>
      <c r="F78" s="8" t="s">
        <v>90</v>
      </c>
      <c r="G78" s="6">
        <v>18</v>
      </c>
      <c r="H78" s="6">
        <v>2000</v>
      </c>
      <c r="I78" s="6">
        <v>0</v>
      </c>
      <c r="J78" s="6">
        <f t="shared" si="2"/>
        <v>36000</v>
      </c>
      <c r="K78" s="6">
        <f t="shared" si="3"/>
        <v>36000</v>
      </c>
      <c r="L78" s="8" t="s">
        <v>86</v>
      </c>
      <c r="M78" s="8" t="s">
        <v>96</v>
      </c>
    </row>
    <row r="79" spans="1:13" x14ac:dyDescent="0.25">
      <c r="A79" s="9">
        <v>77</v>
      </c>
      <c r="B79" s="10">
        <v>45125</v>
      </c>
      <c r="C79" s="11" t="s">
        <v>101</v>
      </c>
      <c r="D79" s="11" t="s">
        <v>109</v>
      </c>
      <c r="E79" s="11" t="s">
        <v>74</v>
      </c>
      <c r="F79" s="11" t="s">
        <v>142</v>
      </c>
      <c r="G79" s="9">
        <v>46</v>
      </c>
      <c r="H79" s="9">
        <v>11700</v>
      </c>
      <c r="I79" s="9">
        <v>0</v>
      </c>
      <c r="J79" s="9">
        <f t="shared" si="2"/>
        <v>538200</v>
      </c>
      <c r="K79" s="9">
        <f t="shared" si="3"/>
        <v>538200</v>
      </c>
      <c r="L79" s="11" t="s">
        <v>76</v>
      </c>
      <c r="M79" s="11" t="s">
        <v>96</v>
      </c>
    </row>
    <row r="80" spans="1:13" x14ac:dyDescent="0.25">
      <c r="A80" s="6">
        <v>78</v>
      </c>
      <c r="B80" s="7">
        <v>44982</v>
      </c>
      <c r="C80" s="8" t="s">
        <v>82</v>
      </c>
      <c r="D80" s="8" t="s">
        <v>117</v>
      </c>
      <c r="E80" s="8" t="s">
        <v>84</v>
      </c>
      <c r="F80" s="8" t="s">
        <v>85</v>
      </c>
      <c r="G80" s="6">
        <v>1</v>
      </c>
      <c r="H80" s="6" t="s">
        <v>177</v>
      </c>
      <c r="I80" s="6">
        <v>5</v>
      </c>
      <c r="J80" s="6">
        <f t="shared" si="2"/>
        <v>5000</v>
      </c>
      <c r="K80" s="6">
        <f t="shared" si="3"/>
        <v>4750</v>
      </c>
      <c r="L80" s="8" t="s">
        <v>76</v>
      </c>
      <c r="M80" s="8" t="s">
        <v>91</v>
      </c>
    </row>
    <row r="81" spans="1:13" x14ac:dyDescent="0.25">
      <c r="A81" s="9">
        <v>79</v>
      </c>
      <c r="B81" s="10">
        <v>45378</v>
      </c>
      <c r="C81" s="11" t="s">
        <v>88</v>
      </c>
      <c r="D81" s="11" t="s">
        <v>178</v>
      </c>
      <c r="E81" s="11" t="s">
        <v>79</v>
      </c>
      <c r="F81" s="11" t="s">
        <v>179</v>
      </c>
      <c r="G81" s="9">
        <v>31</v>
      </c>
      <c r="H81" s="9">
        <v>2800</v>
      </c>
      <c r="I81" s="9">
        <v>5</v>
      </c>
      <c r="J81" s="9">
        <f t="shared" si="2"/>
        <v>86800</v>
      </c>
      <c r="K81" s="9">
        <f t="shared" si="3"/>
        <v>82460</v>
      </c>
      <c r="L81" s="11" t="s">
        <v>76</v>
      </c>
      <c r="M81" s="11" t="s">
        <v>77</v>
      </c>
    </row>
    <row r="82" spans="1:13" x14ac:dyDescent="0.25">
      <c r="A82" s="6">
        <v>80</v>
      </c>
      <c r="B82" s="7">
        <v>45430</v>
      </c>
      <c r="C82" s="8" t="s">
        <v>97</v>
      </c>
      <c r="D82" s="8" t="s">
        <v>93</v>
      </c>
      <c r="E82" s="8" t="s">
        <v>79</v>
      </c>
      <c r="F82" s="8" t="s">
        <v>122</v>
      </c>
      <c r="G82" s="6">
        <v>37</v>
      </c>
      <c r="H82" s="6">
        <v>16900</v>
      </c>
      <c r="I82" s="6">
        <v>0</v>
      </c>
      <c r="J82" s="6">
        <f t="shared" si="2"/>
        <v>625300</v>
      </c>
      <c r="K82" s="6">
        <f t="shared" si="3"/>
        <v>625300</v>
      </c>
      <c r="L82" s="8" t="s">
        <v>125</v>
      </c>
      <c r="M82" s="8"/>
    </row>
    <row r="83" spans="1:13" x14ac:dyDescent="0.25">
      <c r="A83" s="9">
        <v>81</v>
      </c>
      <c r="B83" s="10">
        <v>45048</v>
      </c>
      <c r="C83" s="11" t="s">
        <v>82</v>
      </c>
      <c r="D83" s="11" t="s">
        <v>83</v>
      </c>
      <c r="E83" s="11" t="s">
        <v>180</v>
      </c>
      <c r="F83" s="11" t="s">
        <v>181</v>
      </c>
      <c r="G83" s="9">
        <v>25</v>
      </c>
      <c r="H83" s="9">
        <v>4900</v>
      </c>
      <c r="I83" s="9">
        <v>0</v>
      </c>
      <c r="J83" s="9">
        <f t="shared" si="2"/>
        <v>122500</v>
      </c>
      <c r="K83" s="9">
        <f t="shared" si="3"/>
        <v>122500</v>
      </c>
      <c r="L83" s="11" t="s">
        <v>76</v>
      </c>
      <c r="M83" s="11" t="s">
        <v>91</v>
      </c>
    </row>
    <row r="84" spans="1:13" x14ac:dyDescent="0.25">
      <c r="A84" s="6">
        <v>82</v>
      </c>
      <c r="B84" s="8" t="s">
        <v>182</v>
      </c>
      <c r="C84" s="8" t="s">
        <v>114</v>
      </c>
      <c r="D84" s="8" t="s">
        <v>117</v>
      </c>
      <c r="E84" s="8" t="s">
        <v>102</v>
      </c>
      <c r="F84" s="8" t="s">
        <v>138</v>
      </c>
      <c r="G84" s="6">
        <v>48</v>
      </c>
      <c r="H84" s="6">
        <v>6800</v>
      </c>
      <c r="I84" s="6">
        <v>15</v>
      </c>
      <c r="J84" s="6">
        <f t="shared" si="2"/>
        <v>326400</v>
      </c>
      <c r="K84" s="6">
        <f t="shared" si="3"/>
        <v>277440</v>
      </c>
      <c r="L84" s="8" t="s">
        <v>76</v>
      </c>
      <c r="M84" s="8" t="s">
        <v>81</v>
      </c>
    </row>
    <row r="85" spans="1:13" x14ac:dyDescent="0.25">
      <c r="A85" s="9">
        <v>83</v>
      </c>
      <c r="B85" s="11" t="s">
        <v>183</v>
      </c>
      <c r="C85" s="11" t="s">
        <v>101</v>
      </c>
      <c r="D85" s="11" t="s">
        <v>73</v>
      </c>
      <c r="E85" s="11" t="s">
        <v>176</v>
      </c>
      <c r="F85" s="11" t="s">
        <v>90</v>
      </c>
      <c r="G85" s="9">
        <v>5</v>
      </c>
      <c r="H85" s="9">
        <v>1700</v>
      </c>
      <c r="I85" s="9">
        <v>5</v>
      </c>
      <c r="J85" s="9">
        <f t="shared" si="2"/>
        <v>8500</v>
      </c>
      <c r="K85" s="9">
        <f t="shared" si="3"/>
        <v>8075</v>
      </c>
      <c r="L85" s="11" t="s">
        <v>76</v>
      </c>
      <c r="M85" s="11" t="s">
        <v>91</v>
      </c>
    </row>
    <row r="86" spans="1:13" x14ac:dyDescent="0.25">
      <c r="A86" s="6">
        <v>84</v>
      </c>
      <c r="B86" s="7">
        <v>45632</v>
      </c>
      <c r="C86" s="8" t="s">
        <v>124</v>
      </c>
      <c r="D86" s="8" t="s">
        <v>83</v>
      </c>
      <c r="E86" s="8" t="s">
        <v>74</v>
      </c>
      <c r="F86" s="8" t="s">
        <v>94</v>
      </c>
      <c r="G86" s="6">
        <v>46</v>
      </c>
      <c r="H86" s="6" t="s">
        <v>184</v>
      </c>
      <c r="I86" s="6">
        <v>0</v>
      </c>
      <c r="J86" s="6">
        <f t="shared" si="2"/>
        <v>1541000</v>
      </c>
      <c r="K86" s="6">
        <f t="shared" si="3"/>
        <v>1541000</v>
      </c>
      <c r="L86" s="8" t="s">
        <v>76</v>
      </c>
      <c r="M86" s="8" t="s">
        <v>91</v>
      </c>
    </row>
    <row r="87" spans="1:13" x14ac:dyDescent="0.25">
      <c r="A87" s="9">
        <v>85</v>
      </c>
      <c r="B87" s="10">
        <v>45630</v>
      </c>
      <c r="C87" s="11" t="s">
        <v>106</v>
      </c>
      <c r="D87" s="11" t="s">
        <v>117</v>
      </c>
      <c r="E87" s="11" t="s">
        <v>102</v>
      </c>
      <c r="F87" s="11" t="s">
        <v>181</v>
      </c>
      <c r="G87" s="9">
        <v>35</v>
      </c>
      <c r="H87" s="9">
        <v>4500</v>
      </c>
      <c r="I87" s="9">
        <v>0</v>
      </c>
      <c r="J87" s="9">
        <f t="shared" si="2"/>
        <v>157500</v>
      </c>
      <c r="K87" s="9">
        <f t="shared" si="3"/>
        <v>157500</v>
      </c>
      <c r="L87" s="11" t="s">
        <v>76</v>
      </c>
      <c r="M87" s="11" t="s">
        <v>81</v>
      </c>
    </row>
    <row r="88" spans="1:13" x14ac:dyDescent="0.25">
      <c r="A88" s="6">
        <v>86</v>
      </c>
      <c r="B88" s="7">
        <v>45072</v>
      </c>
      <c r="C88" s="8" t="s">
        <v>97</v>
      </c>
      <c r="D88" s="8" t="s">
        <v>73</v>
      </c>
      <c r="E88" s="8" t="s">
        <v>84</v>
      </c>
      <c r="F88" s="8" t="s">
        <v>134</v>
      </c>
      <c r="G88" s="6">
        <v>37</v>
      </c>
      <c r="H88" s="6">
        <v>10100</v>
      </c>
      <c r="I88" s="6">
        <v>0</v>
      </c>
      <c r="J88" s="6">
        <f t="shared" si="2"/>
        <v>373700</v>
      </c>
      <c r="K88" s="6">
        <f t="shared" si="3"/>
        <v>373700</v>
      </c>
      <c r="L88" s="8" t="s">
        <v>107</v>
      </c>
      <c r="M88" s="8" t="s">
        <v>91</v>
      </c>
    </row>
    <row r="89" spans="1:13" x14ac:dyDescent="0.25">
      <c r="A89" s="9">
        <v>87</v>
      </c>
      <c r="B89" s="10">
        <v>45406</v>
      </c>
      <c r="C89" s="11" t="s">
        <v>101</v>
      </c>
      <c r="D89" s="11" t="s">
        <v>83</v>
      </c>
      <c r="E89" s="11" t="s">
        <v>74</v>
      </c>
      <c r="F89" s="11" t="s">
        <v>99</v>
      </c>
      <c r="G89" s="9">
        <v>39</v>
      </c>
      <c r="H89" s="9" t="s">
        <v>185</v>
      </c>
      <c r="I89" s="9"/>
      <c r="J89" s="9">
        <f t="shared" si="2"/>
        <v>136500</v>
      </c>
      <c r="K89" s="9">
        <f t="shared" si="3"/>
        <v>136500</v>
      </c>
      <c r="L89" s="11" t="s">
        <v>76</v>
      </c>
      <c r="M89" s="11" t="s">
        <v>91</v>
      </c>
    </row>
    <row r="90" spans="1:13" x14ac:dyDescent="0.25">
      <c r="A90" s="6">
        <v>88</v>
      </c>
      <c r="B90" s="7">
        <v>45257</v>
      </c>
      <c r="C90" s="8" t="s">
        <v>124</v>
      </c>
      <c r="D90" s="8" t="s">
        <v>117</v>
      </c>
      <c r="E90" s="8" t="s">
        <v>79</v>
      </c>
      <c r="F90" s="8" t="s">
        <v>131</v>
      </c>
      <c r="G90" s="6">
        <v>44</v>
      </c>
      <c r="H90" s="6">
        <v>114900</v>
      </c>
      <c r="I90" s="6"/>
      <c r="J90" s="6">
        <f t="shared" si="2"/>
        <v>5055600</v>
      </c>
      <c r="K90" s="6">
        <f t="shared" si="3"/>
        <v>5055600</v>
      </c>
      <c r="L90" s="8" t="s">
        <v>86</v>
      </c>
      <c r="M90" s="8" t="s">
        <v>77</v>
      </c>
    </row>
    <row r="91" spans="1:13" x14ac:dyDescent="0.25">
      <c r="A91" s="9">
        <v>89</v>
      </c>
      <c r="B91" s="10">
        <v>45615</v>
      </c>
      <c r="C91" s="11" t="s">
        <v>101</v>
      </c>
      <c r="D91" s="11" t="s">
        <v>93</v>
      </c>
      <c r="E91" s="11" t="s">
        <v>79</v>
      </c>
      <c r="F91" s="11" t="s">
        <v>122</v>
      </c>
      <c r="G91" s="9">
        <v>42</v>
      </c>
      <c r="H91" s="9">
        <v>18300</v>
      </c>
      <c r="I91" s="9">
        <v>0</v>
      </c>
      <c r="J91" s="9">
        <f t="shared" si="2"/>
        <v>768600</v>
      </c>
      <c r="K91" s="9">
        <f t="shared" si="3"/>
        <v>768600</v>
      </c>
      <c r="L91" s="11" t="s">
        <v>76</v>
      </c>
      <c r="M91" s="11" t="s">
        <v>96</v>
      </c>
    </row>
    <row r="92" spans="1:13" x14ac:dyDescent="0.25">
      <c r="A92" s="6">
        <v>90</v>
      </c>
      <c r="B92" s="7">
        <v>45526</v>
      </c>
      <c r="C92" s="8" t="s">
        <v>114</v>
      </c>
      <c r="D92" s="8" t="s">
        <v>186</v>
      </c>
      <c r="E92" s="8" t="s">
        <v>79</v>
      </c>
      <c r="F92" s="8" t="s">
        <v>172</v>
      </c>
      <c r="G92" s="6">
        <v>22</v>
      </c>
      <c r="H92" s="6">
        <v>24700</v>
      </c>
      <c r="I92" s="6">
        <v>20</v>
      </c>
      <c r="J92" s="6">
        <f t="shared" si="2"/>
        <v>543400</v>
      </c>
      <c r="K92" s="6">
        <f t="shared" si="3"/>
        <v>434720</v>
      </c>
      <c r="L92" s="8" t="s">
        <v>76</v>
      </c>
      <c r="M92" s="8" t="s">
        <v>77</v>
      </c>
    </row>
    <row r="93" spans="1:13" x14ac:dyDescent="0.25">
      <c r="A93" s="9">
        <v>91</v>
      </c>
      <c r="B93" s="10">
        <v>45091</v>
      </c>
      <c r="C93" s="11" t="s">
        <v>88</v>
      </c>
      <c r="D93" s="11" t="s">
        <v>83</v>
      </c>
      <c r="E93" s="11" t="s">
        <v>111</v>
      </c>
      <c r="F93" s="11" t="s">
        <v>135</v>
      </c>
      <c r="G93" s="9">
        <v>26</v>
      </c>
      <c r="H93" s="9">
        <v>122500</v>
      </c>
      <c r="I93" s="9">
        <v>5</v>
      </c>
      <c r="J93" s="9">
        <f t="shared" si="2"/>
        <v>3185000</v>
      </c>
      <c r="K93" s="9">
        <f t="shared" si="3"/>
        <v>3025750</v>
      </c>
      <c r="L93" s="11" t="s">
        <v>187</v>
      </c>
      <c r="M93" s="11" t="s">
        <v>77</v>
      </c>
    </row>
    <row r="94" spans="1:13" x14ac:dyDescent="0.25">
      <c r="A94" s="6">
        <v>92</v>
      </c>
      <c r="B94" s="8" t="s">
        <v>188</v>
      </c>
      <c r="C94" s="8" t="s">
        <v>88</v>
      </c>
      <c r="D94" s="8" t="s">
        <v>117</v>
      </c>
      <c r="E94" s="8" t="s">
        <v>74</v>
      </c>
      <c r="F94" s="8" t="s">
        <v>118</v>
      </c>
      <c r="G94" s="6">
        <v>26</v>
      </c>
      <c r="H94" s="6">
        <v>32000</v>
      </c>
      <c r="I94" s="6"/>
      <c r="J94" s="6">
        <f t="shared" si="2"/>
        <v>832000</v>
      </c>
      <c r="K94" s="6">
        <f t="shared" si="3"/>
        <v>832000</v>
      </c>
      <c r="L94" s="8" t="s">
        <v>107</v>
      </c>
      <c r="M94" s="8" t="s">
        <v>77</v>
      </c>
    </row>
    <row r="95" spans="1:13" x14ac:dyDescent="0.25">
      <c r="A95" s="9">
        <v>93</v>
      </c>
      <c r="B95" s="10">
        <v>45482</v>
      </c>
      <c r="C95" s="11" t="s">
        <v>119</v>
      </c>
      <c r="D95" s="11" t="s">
        <v>83</v>
      </c>
      <c r="E95" s="11" t="s">
        <v>79</v>
      </c>
      <c r="F95" s="11" t="s">
        <v>80</v>
      </c>
      <c r="G95" s="9">
        <v>40</v>
      </c>
      <c r="H95" s="9">
        <v>8800</v>
      </c>
      <c r="I95" s="9">
        <v>20</v>
      </c>
      <c r="J95" s="9">
        <f t="shared" si="2"/>
        <v>352000</v>
      </c>
      <c r="K95" s="9">
        <f t="shared" si="3"/>
        <v>281600</v>
      </c>
      <c r="L95" s="11" t="s">
        <v>86</v>
      </c>
      <c r="M95" s="11" t="s">
        <v>91</v>
      </c>
    </row>
    <row r="96" spans="1:13" x14ac:dyDescent="0.25">
      <c r="A96" s="6">
        <v>94</v>
      </c>
      <c r="B96" s="7">
        <v>44979</v>
      </c>
      <c r="C96" s="8" t="s">
        <v>106</v>
      </c>
      <c r="D96" s="8" t="s">
        <v>117</v>
      </c>
      <c r="E96" s="8" t="s">
        <v>102</v>
      </c>
      <c r="F96" s="8" t="s">
        <v>103</v>
      </c>
      <c r="G96" s="6">
        <v>29</v>
      </c>
      <c r="H96" s="6">
        <v>11100</v>
      </c>
      <c r="I96" s="6">
        <v>0</v>
      </c>
      <c r="J96" s="6">
        <f t="shared" si="2"/>
        <v>321900</v>
      </c>
      <c r="K96" s="6">
        <f t="shared" si="3"/>
        <v>321900</v>
      </c>
      <c r="L96" s="8" t="s">
        <v>189</v>
      </c>
      <c r="M96" s="8" t="s">
        <v>91</v>
      </c>
    </row>
    <row r="97" spans="1:13" x14ac:dyDescent="0.25">
      <c r="A97" s="9">
        <v>95</v>
      </c>
      <c r="B97" s="10">
        <v>44956</v>
      </c>
      <c r="C97" s="11" t="s">
        <v>124</v>
      </c>
      <c r="D97" s="11" t="s">
        <v>109</v>
      </c>
      <c r="E97" s="11" t="s">
        <v>84</v>
      </c>
      <c r="F97" s="11" t="s">
        <v>134</v>
      </c>
      <c r="G97" s="9">
        <v>36</v>
      </c>
      <c r="H97" s="9">
        <v>10000</v>
      </c>
      <c r="I97" s="9">
        <v>20</v>
      </c>
      <c r="J97" s="9">
        <f t="shared" si="2"/>
        <v>360000</v>
      </c>
      <c r="K97" s="9">
        <f t="shared" si="3"/>
        <v>288000</v>
      </c>
      <c r="L97" s="11" t="s">
        <v>76</v>
      </c>
      <c r="M97" s="11" t="s">
        <v>81</v>
      </c>
    </row>
    <row r="98" spans="1:13" x14ac:dyDescent="0.25">
      <c r="A98" s="6">
        <v>96</v>
      </c>
      <c r="B98" s="7">
        <v>45043</v>
      </c>
      <c r="C98" s="8" t="s">
        <v>119</v>
      </c>
      <c r="D98" s="8" t="s">
        <v>73</v>
      </c>
      <c r="E98" s="8" t="s">
        <v>84</v>
      </c>
      <c r="F98" s="8" t="s">
        <v>85</v>
      </c>
      <c r="G98" s="6">
        <v>19</v>
      </c>
      <c r="H98" s="6">
        <v>6100</v>
      </c>
      <c r="I98" s="6">
        <v>5</v>
      </c>
      <c r="J98" s="6">
        <f t="shared" si="2"/>
        <v>115900</v>
      </c>
      <c r="K98" s="6">
        <f t="shared" si="3"/>
        <v>110105</v>
      </c>
      <c r="L98" s="8" t="s">
        <v>76</v>
      </c>
      <c r="M98" s="8" t="s">
        <v>96</v>
      </c>
    </row>
    <row r="99" spans="1:13" x14ac:dyDescent="0.25">
      <c r="A99" s="9">
        <v>97</v>
      </c>
      <c r="B99" s="10">
        <v>45421</v>
      </c>
      <c r="C99" s="11" t="s">
        <v>119</v>
      </c>
      <c r="D99" s="11" t="s">
        <v>109</v>
      </c>
      <c r="E99" s="11" t="s">
        <v>111</v>
      </c>
      <c r="F99" s="11" t="s">
        <v>166</v>
      </c>
      <c r="G99" s="9">
        <v>39</v>
      </c>
      <c r="H99" s="9">
        <v>27900</v>
      </c>
      <c r="I99" s="9">
        <v>20</v>
      </c>
      <c r="J99" s="9">
        <f t="shared" si="2"/>
        <v>1088100</v>
      </c>
      <c r="K99" s="9">
        <f t="shared" si="3"/>
        <v>870480</v>
      </c>
      <c r="L99" s="11" t="s">
        <v>76</v>
      </c>
      <c r="M99" s="11" t="s">
        <v>81</v>
      </c>
    </row>
    <row r="100" spans="1:13" x14ac:dyDescent="0.25">
      <c r="A100" s="6">
        <v>98</v>
      </c>
      <c r="B100" s="7">
        <v>44998</v>
      </c>
      <c r="C100" s="8" t="s">
        <v>101</v>
      </c>
      <c r="D100" s="8" t="s">
        <v>83</v>
      </c>
      <c r="E100" s="8" t="s">
        <v>74</v>
      </c>
      <c r="F100" s="8" t="s">
        <v>190</v>
      </c>
      <c r="G100" s="6">
        <v>19</v>
      </c>
      <c r="H100" s="6">
        <v>35400</v>
      </c>
      <c r="I100" s="6">
        <v>20</v>
      </c>
      <c r="J100" s="6">
        <f t="shared" si="2"/>
        <v>672600</v>
      </c>
      <c r="K100" s="6">
        <f t="shared" si="3"/>
        <v>538080</v>
      </c>
      <c r="L100" s="8" t="s">
        <v>86</v>
      </c>
      <c r="M100" s="8" t="s">
        <v>91</v>
      </c>
    </row>
    <row r="101" spans="1:13" x14ac:dyDescent="0.25">
      <c r="A101" s="9">
        <v>99</v>
      </c>
      <c r="B101" s="10">
        <v>45079</v>
      </c>
      <c r="C101" s="11" t="s">
        <v>119</v>
      </c>
      <c r="D101" s="11" t="s">
        <v>93</v>
      </c>
      <c r="E101" s="11" t="s">
        <v>111</v>
      </c>
      <c r="F101" s="11" t="s">
        <v>132</v>
      </c>
      <c r="G101" s="9">
        <v>49</v>
      </c>
      <c r="H101" s="9">
        <v>7400</v>
      </c>
      <c r="I101" s="9">
        <v>0</v>
      </c>
      <c r="J101" s="9">
        <f t="shared" si="2"/>
        <v>362600</v>
      </c>
      <c r="K101" s="9">
        <f t="shared" si="3"/>
        <v>362600</v>
      </c>
      <c r="L101" s="11" t="s">
        <v>76</v>
      </c>
      <c r="M101" s="11" t="s">
        <v>91</v>
      </c>
    </row>
    <row r="102" spans="1:13" x14ac:dyDescent="0.25">
      <c r="A102" s="6">
        <v>100</v>
      </c>
      <c r="B102" s="7">
        <v>45120</v>
      </c>
      <c r="C102" s="8" t="s">
        <v>106</v>
      </c>
      <c r="D102" s="8" t="s">
        <v>93</v>
      </c>
      <c r="E102" s="8" t="s">
        <v>111</v>
      </c>
      <c r="F102" s="8" t="s">
        <v>156</v>
      </c>
      <c r="G102" s="6">
        <v>27</v>
      </c>
      <c r="H102" s="6">
        <v>46800</v>
      </c>
      <c r="I102" s="6">
        <v>15</v>
      </c>
      <c r="J102" s="6">
        <f t="shared" si="2"/>
        <v>1263600</v>
      </c>
      <c r="K102" s="6">
        <f t="shared" si="3"/>
        <v>1074060</v>
      </c>
      <c r="L102" s="8" t="s">
        <v>76</v>
      </c>
      <c r="M102" s="8" t="s">
        <v>91</v>
      </c>
    </row>
    <row r="103" spans="1:13" x14ac:dyDescent="0.25">
      <c r="A103" s="9">
        <v>101</v>
      </c>
      <c r="B103" s="10">
        <v>45317</v>
      </c>
      <c r="C103" s="11" t="s">
        <v>114</v>
      </c>
      <c r="D103" s="11" t="s">
        <v>109</v>
      </c>
      <c r="E103" s="11" t="s">
        <v>191</v>
      </c>
      <c r="F103" s="11" t="s">
        <v>192</v>
      </c>
      <c r="G103" s="9">
        <v>38</v>
      </c>
      <c r="H103" s="9">
        <v>88500</v>
      </c>
      <c r="I103" s="9">
        <v>20</v>
      </c>
      <c r="J103" s="9">
        <f t="shared" si="2"/>
        <v>3363000</v>
      </c>
      <c r="K103" s="9">
        <f t="shared" si="3"/>
        <v>2690400</v>
      </c>
      <c r="L103" s="11" t="s">
        <v>76</v>
      </c>
      <c r="M103" s="11" t="s">
        <v>77</v>
      </c>
    </row>
    <row r="104" spans="1:13" x14ac:dyDescent="0.25">
      <c r="A104" s="6">
        <v>102</v>
      </c>
      <c r="B104" s="8" t="s">
        <v>193</v>
      </c>
      <c r="C104" s="8" t="s">
        <v>97</v>
      </c>
      <c r="D104" s="8" t="s">
        <v>93</v>
      </c>
      <c r="E104" s="8" t="s">
        <v>111</v>
      </c>
      <c r="F104" s="8" t="s">
        <v>192</v>
      </c>
      <c r="G104" s="6">
        <v>27</v>
      </c>
      <c r="H104" s="6">
        <v>102700</v>
      </c>
      <c r="I104" s="6">
        <v>0</v>
      </c>
      <c r="J104" s="6">
        <f t="shared" si="2"/>
        <v>2772900</v>
      </c>
      <c r="K104" s="6">
        <f t="shared" si="3"/>
        <v>2772900</v>
      </c>
      <c r="L104" s="8" t="s">
        <v>107</v>
      </c>
      <c r="M104" s="8" t="s">
        <v>81</v>
      </c>
    </row>
    <row r="105" spans="1:13" x14ac:dyDescent="0.25">
      <c r="A105" s="9">
        <v>103</v>
      </c>
      <c r="B105" s="10">
        <v>45407</v>
      </c>
      <c r="C105" s="11" t="s">
        <v>101</v>
      </c>
      <c r="D105" s="11" t="s">
        <v>117</v>
      </c>
      <c r="E105" s="11" t="s">
        <v>102</v>
      </c>
      <c r="F105" s="11" t="s">
        <v>151</v>
      </c>
      <c r="G105" s="9">
        <v>22</v>
      </c>
      <c r="H105" s="9">
        <v>8000</v>
      </c>
      <c r="I105" s="9">
        <v>0</v>
      </c>
      <c r="J105" s="9">
        <f t="shared" si="2"/>
        <v>176000</v>
      </c>
      <c r="K105" s="9">
        <f t="shared" si="3"/>
        <v>176000</v>
      </c>
      <c r="L105" s="11" t="s">
        <v>107</v>
      </c>
      <c r="M105" s="11" t="s">
        <v>91</v>
      </c>
    </row>
    <row r="106" spans="1:13" x14ac:dyDescent="0.25">
      <c r="A106" s="6">
        <v>104</v>
      </c>
      <c r="B106" s="7">
        <v>45568</v>
      </c>
      <c r="C106" s="8" t="s">
        <v>194</v>
      </c>
      <c r="D106" s="8" t="s">
        <v>93</v>
      </c>
      <c r="E106" s="8" t="s">
        <v>79</v>
      </c>
      <c r="F106" s="8" t="s">
        <v>131</v>
      </c>
      <c r="G106" s="6">
        <v>44</v>
      </c>
      <c r="H106" s="6">
        <v>115000</v>
      </c>
      <c r="I106" s="6">
        <v>15</v>
      </c>
      <c r="J106" s="6">
        <f t="shared" si="2"/>
        <v>5060000</v>
      </c>
      <c r="K106" s="6">
        <f t="shared" si="3"/>
        <v>4301000</v>
      </c>
      <c r="L106" s="8" t="s">
        <v>107</v>
      </c>
      <c r="M106" s="8" t="s">
        <v>81</v>
      </c>
    </row>
    <row r="107" spans="1:13" x14ac:dyDescent="0.25">
      <c r="A107" s="9">
        <v>105</v>
      </c>
      <c r="B107" s="10">
        <v>45019</v>
      </c>
      <c r="C107" s="11" t="s">
        <v>114</v>
      </c>
      <c r="D107" s="11" t="s">
        <v>195</v>
      </c>
      <c r="E107" s="11" t="s">
        <v>79</v>
      </c>
      <c r="F107" s="11" t="s">
        <v>172</v>
      </c>
      <c r="G107" s="9">
        <v>20</v>
      </c>
      <c r="H107" s="9">
        <v>23500</v>
      </c>
      <c r="I107" s="9">
        <v>0</v>
      </c>
      <c r="J107" s="9">
        <f t="shared" si="2"/>
        <v>470000</v>
      </c>
      <c r="K107" s="9">
        <f t="shared" si="3"/>
        <v>470000</v>
      </c>
      <c r="L107" s="11" t="s">
        <v>107</v>
      </c>
      <c r="M107" s="11" t="s">
        <v>77</v>
      </c>
    </row>
    <row r="108" spans="1:13" x14ac:dyDescent="0.25">
      <c r="A108" s="6">
        <v>106</v>
      </c>
      <c r="B108" s="7">
        <v>44984</v>
      </c>
      <c r="C108" s="8" t="s">
        <v>101</v>
      </c>
      <c r="D108" s="8" t="s">
        <v>117</v>
      </c>
      <c r="E108" s="8" t="s">
        <v>74</v>
      </c>
      <c r="F108" s="8" t="s">
        <v>140</v>
      </c>
      <c r="G108" s="6">
        <v>34</v>
      </c>
      <c r="H108" s="6">
        <v>4200</v>
      </c>
      <c r="I108" s="6">
        <v>0</v>
      </c>
      <c r="J108" s="6">
        <f t="shared" si="2"/>
        <v>142800</v>
      </c>
      <c r="K108" s="6">
        <f t="shared" si="3"/>
        <v>142800</v>
      </c>
      <c r="L108" s="8" t="s">
        <v>76</v>
      </c>
      <c r="M108" s="8" t="s">
        <v>81</v>
      </c>
    </row>
    <row r="109" spans="1:13" x14ac:dyDescent="0.25">
      <c r="A109" s="9">
        <v>107</v>
      </c>
      <c r="B109" s="10">
        <v>45106</v>
      </c>
      <c r="C109" s="11" t="s">
        <v>97</v>
      </c>
      <c r="D109" s="11" t="s">
        <v>93</v>
      </c>
      <c r="E109" s="11" t="s">
        <v>111</v>
      </c>
      <c r="F109" s="11" t="s">
        <v>156</v>
      </c>
      <c r="G109" s="9">
        <v>38</v>
      </c>
      <c r="H109" s="9" t="s">
        <v>196</v>
      </c>
      <c r="I109" s="9">
        <v>15</v>
      </c>
      <c r="J109" s="9" t="e">
        <f t="shared" si="2"/>
        <v>#VALUE!</v>
      </c>
      <c r="K109" s="9" t="e">
        <f t="shared" si="3"/>
        <v>#VALUE!</v>
      </c>
      <c r="L109" s="11" t="s">
        <v>76</v>
      </c>
      <c r="M109" s="11" t="s">
        <v>91</v>
      </c>
    </row>
    <row r="110" spans="1:13" x14ac:dyDescent="0.25">
      <c r="A110" s="6">
        <v>108</v>
      </c>
      <c r="B110" s="7">
        <v>45187</v>
      </c>
      <c r="C110" s="8" t="s">
        <v>119</v>
      </c>
      <c r="D110" s="8" t="s">
        <v>117</v>
      </c>
      <c r="E110" s="8" t="s">
        <v>79</v>
      </c>
      <c r="F110" s="8" t="s">
        <v>172</v>
      </c>
      <c r="G110" s="6">
        <v>44</v>
      </c>
      <c r="H110" s="6">
        <v>28100</v>
      </c>
      <c r="I110" s="6">
        <v>5</v>
      </c>
      <c r="J110" s="6">
        <f t="shared" si="2"/>
        <v>1236400</v>
      </c>
      <c r="K110" s="6">
        <f t="shared" si="3"/>
        <v>1174580</v>
      </c>
      <c r="L110" s="8" t="s">
        <v>76</v>
      </c>
      <c r="M110" s="8" t="s">
        <v>77</v>
      </c>
    </row>
    <row r="111" spans="1:13" x14ac:dyDescent="0.25">
      <c r="A111" s="9">
        <v>109</v>
      </c>
      <c r="B111" s="10">
        <v>45280</v>
      </c>
      <c r="C111" s="11" t="s">
        <v>124</v>
      </c>
      <c r="D111" s="11" t="s">
        <v>117</v>
      </c>
      <c r="E111" s="11" t="s">
        <v>111</v>
      </c>
      <c r="F111" s="11" t="s">
        <v>135</v>
      </c>
      <c r="G111" s="9">
        <v>20</v>
      </c>
      <c r="H111" s="9">
        <v>116600</v>
      </c>
      <c r="I111" s="9">
        <v>20</v>
      </c>
      <c r="J111" s="9">
        <f t="shared" si="2"/>
        <v>2332000</v>
      </c>
      <c r="K111" s="9">
        <f t="shared" si="3"/>
        <v>1865600</v>
      </c>
      <c r="L111" s="11" t="s">
        <v>76</v>
      </c>
      <c r="M111" s="11" t="s">
        <v>91</v>
      </c>
    </row>
    <row r="112" spans="1:13" x14ac:dyDescent="0.25">
      <c r="A112" s="6">
        <v>110</v>
      </c>
      <c r="B112" s="7">
        <v>45421</v>
      </c>
      <c r="C112" s="8" t="s">
        <v>97</v>
      </c>
      <c r="D112" s="8" t="s">
        <v>109</v>
      </c>
      <c r="E112" s="8" t="s">
        <v>111</v>
      </c>
      <c r="F112" s="8" t="s">
        <v>132</v>
      </c>
      <c r="G112" s="6">
        <v>45</v>
      </c>
      <c r="H112" s="6">
        <v>7800</v>
      </c>
      <c r="I112" s="6">
        <v>0</v>
      </c>
      <c r="J112" s="6">
        <f t="shared" si="2"/>
        <v>351000</v>
      </c>
      <c r="K112" s="6">
        <f t="shared" si="3"/>
        <v>351000</v>
      </c>
      <c r="L112" s="8" t="s">
        <v>76</v>
      </c>
      <c r="M112" s="8" t="s">
        <v>91</v>
      </c>
    </row>
    <row r="113" spans="1:13" x14ac:dyDescent="0.25">
      <c r="A113" s="9">
        <v>111</v>
      </c>
      <c r="B113" s="10">
        <v>44935</v>
      </c>
      <c r="C113" s="11" t="s">
        <v>124</v>
      </c>
      <c r="D113" s="11" t="s">
        <v>73</v>
      </c>
      <c r="E113" s="11" t="s">
        <v>102</v>
      </c>
      <c r="F113" s="11" t="s">
        <v>197</v>
      </c>
      <c r="G113" s="9">
        <v>19</v>
      </c>
      <c r="H113" s="9">
        <v>4200</v>
      </c>
      <c r="I113" s="9">
        <v>10</v>
      </c>
      <c r="J113" s="9">
        <f t="shared" si="2"/>
        <v>79800</v>
      </c>
      <c r="K113" s="9">
        <f t="shared" si="3"/>
        <v>71820</v>
      </c>
      <c r="L113" s="11" t="s">
        <v>86</v>
      </c>
      <c r="M113" s="11" t="s">
        <v>81</v>
      </c>
    </row>
    <row r="114" spans="1:13" x14ac:dyDescent="0.25">
      <c r="A114" s="6">
        <v>112</v>
      </c>
      <c r="B114" s="7">
        <v>45287</v>
      </c>
      <c r="C114" s="8" t="s">
        <v>106</v>
      </c>
      <c r="D114" s="8" t="s">
        <v>109</v>
      </c>
      <c r="E114" s="8" t="s">
        <v>102</v>
      </c>
      <c r="F114" s="8" t="s">
        <v>110</v>
      </c>
      <c r="G114" s="6">
        <v>47</v>
      </c>
      <c r="H114" s="6">
        <v>23500</v>
      </c>
      <c r="I114" s="6">
        <v>15</v>
      </c>
      <c r="J114" s="6">
        <f t="shared" si="2"/>
        <v>1104500</v>
      </c>
      <c r="K114" s="6">
        <f t="shared" si="3"/>
        <v>938825</v>
      </c>
      <c r="L114" s="8" t="s">
        <v>86</v>
      </c>
      <c r="M114" s="8" t="s">
        <v>81</v>
      </c>
    </row>
    <row r="115" spans="1:13" x14ac:dyDescent="0.25">
      <c r="A115" s="9">
        <v>221</v>
      </c>
      <c r="B115" s="10">
        <v>45029</v>
      </c>
      <c r="C115" s="11" t="s">
        <v>114</v>
      </c>
      <c r="D115" s="11" t="s">
        <v>117</v>
      </c>
      <c r="E115" s="11" t="s">
        <v>111</v>
      </c>
      <c r="F115" s="11" t="s">
        <v>112</v>
      </c>
      <c r="G115" s="9">
        <v>9</v>
      </c>
      <c r="H115" s="9">
        <v>69600</v>
      </c>
      <c r="I115" s="9">
        <v>5</v>
      </c>
      <c r="J115" s="9">
        <f t="shared" si="2"/>
        <v>626400</v>
      </c>
      <c r="K115" s="9">
        <f t="shared" si="3"/>
        <v>595080</v>
      </c>
      <c r="L115" s="11" t="s">
        <v>76</v>
      </c>
      <c r="M115" s="11" t="s">
        <v>81</v>
      </c>
    </row>
    <row r="116" spans="1:13" x14ac:dyDescent="0.25">
      <c r="A116" s="6">
        <v>222</v>
      </c>
      <c r="B116" s="7">
        <v>45595</v>
      </c>
      <c r="C116" s="8" t="s">
        <v>119</v>
      </c>
      <c r="D116" s="8" t="s">
        <v>83</v>
      </c>
      <c r="E116" s="8" t="s">
        <v>84</v>
      </c>
      <c r="F116" s="8" t="s">
        <v>134</v>
      </c>
      <c r="G116" s="6">
        <v>42</v>
      </c>
      <c r="H116" s="6">
        <v>9400</v>
      </c>
      <c r="I116" s="6">
        <v>15</v>
      </c>
      <c r="J116" s="6">
        <f t="shared" si="2"/>
        <v>394800</v>
      </c>
      <c r="K116" s="6">
        <f t="shared" si="3"/>
        <v>335580</v>
      </c>
      <c r="L116" s="8" t="s">
        <v>76</v>
      </c>
      <c r="M116" s="8" t="s">
        <v>77</v>
      </c>
    </row>
    <row r="117" spans="1:13" x14ac:dyDescent="0.25">
      <c r="A117" s="9">
        <v>113</v>
      </c>
      <c r="B117" s="11" t="s">
        <v>198</v>
      </c>
      <c r="C117" s="11" t="s">
        <v>199</v>
      </c>
      <c r="D117" s="11" t="s">
        <v>117</v>
      </c>
      <c r="E117" s="11" t="s">
        <v>111</v>
      </c>
      <c r="F117" s="11" t="s">
        <v>192</v>
      </c>
      <c r="G117" s="9">
        <v>47</v>
      </c>
      <c r="H117" s="9">
        <v>99300</v>
      </c>
      <c r="I117" s="9">
        <v>0</v>
      </c>
      <c r="J117" s="9">
        <f t="shared" si="2"/>
        <v>4667100</v>
      </c>
      <c r="K117" s="9">
        <f t="shared" si="3"/>
        <v>4667100</v>
      </c>
      <c r="L117" s="11" t="s">
        <v>76</v>
      </c>
      <c r="M117" s="11" t="s">
        <v>96</v>
      </c>
    </row>
    <row r="118" spans="1:13" x14ac:dyDescent="0.25">
      <c r="A118" s="6">
        <v>114</v>
      </c>
      <c r="B118" s="7">
        <v>45352</v>
      </c>
      <c r="C118" s="8" t="s">
        <v>108</v>
      </c>
      <c r="D118" s="8" t="s">
        <v>109</v>
      </c>
      <c r="E118" s="8" t="s">
        <v>84</v>
      </c>
      <c r="F118" s="8" t="s">
        <v>200</v>
      </c>
      <c r="G118" s="6">
        <v>18</v>
      </c>
      <c r="H118" s="6">
        <v>3300</v>
      </c>
      <c r="I118" s="6">
        <v>20</v>
      </c>
      <c r="J118" s="6">
        <f t="shared" si="2"/>
        <v>59400</v>
      </c>
      <c r="K118" s="6">
        <f t="shared" si="3"/>
        <v>47520</v>
      </c>
      <c r="L118" s="8" t="s">
        <v>86</v>
      </c>
      <c r="M118" s="8" t="s">
        <v>96</v>
      </c>
    </row>
    <row r="119" spans="1:13" x14ac:dyDescent="0.25">
      <c r="A119" s="9">
        <v>115</v>
      </c>
      <c r="B119" s="11" t="s">
        <v>201</v>
      </c>
      <c r="C119" s="11" t="s">
        <v>101</v>
      </c>
      <c r="D119" s="11" t="s">
        <v>117</v>
      </c>
      <c r="E119" s="11" t="s">
        <v>79</v>
      </c>
      <c r="F119" s="11" t="s">
        <v>172</v>
      </c>
      <c r="G119" s="9">
        <v>10</v>
      </c>
      <c r="H119" s="9">
        <v>28500</v>
      </c>
      <c r="I119" s="9">
        <v>20</v>
      </c>
      <c r="J119" s="9">
        <f t="shared" si="2"/>
        <v>285000</v>
      </c>
      <c r="K119" s="9">
        <f t="shared" si="3"/>
        <v>228000</v>
      </c>
      <c r="L119" s="11" t="s">
        <v>86</v>
      </c>
      <c r="M119" s="11" t="s">
        <v>81</v>
      </c>
    </row>
    <row r="120" spans="1:13" x14ac:dyDescent="0.25">
      <c r="A120" s="6">
        <v>116</v>
      </c>
      <c r="B120" s="7">
        <v>45619</v>
      </c>
      <c r="C120" s="8" t="s">
        <v>114</v>
      </c>
      <c r="D120" s="8" t="s">
        <v>93</v>
      </c>
      <c r="E120" s="8" t="s">
        <v>74</v>
      </c>
      <c r="F120" s="8" t="s">
        <v>118</v>
      </c>
      <c r="G120" s="6">
        <v>1</v>
      </c>
      <c r="H120" s="6">
        <v>30700</v>
      </c>
      <c r="I120" s="6">
        <v>5</v>
      </c>
      <c r="J120" s="6">
        <f t="shared" si="2"/>
        <v>30700</v>
      </c>
      <c r="K120" s="6">
        <f t="shared" si="3"/>
        <v>29165</v>
      </c>
      <c r="L120" s="8" t="s">
        <v>76</v>
      </c>
      <c r="M120" s="8" t="s">
        <v>77</v>
      </c>
    </row>
    <row r="121" spans="1:13" x14ac:dyDescent="0.25">
      <c r="A121" s="9">
        <v>117</v>
      </c>
      <c r="B121" s="10">
        <v>45304</v>
      </c>
      <c r="C121" s="11" t="s">
        <v>101</v>
      </c>
      <c r="D121" s="11" t="s">
        <v>93</v>
      </c>
      <c r="E121" s="11" t="s">
        <v>111</v>
      </c>
      <c r="F121" s="11" t="s">
        <v>132</v>
      </c>
      <c r="G121" s="9">
        <v>15</v>
      </c>
      <c r="H121" s="9">
        <v>7000</v>
      </c>
      <c r="I121" s="9">
        <v>10</v>
      </c>
      <c r="J121" s="9">
        <f t="shared" si="2"/>
        <v>105000</v>
      </c>
      <c r="K121" s="9">
        <f t="shared" si="3"/>
        <v>94500</v>
      </c>
      <c r="L121" s="11" t="s">
        <v>76</v>
      </c>
      <c r="M121" s="11" t="s">
        <v>96</v>
      </c>
    </row>
    <row r="122" spans="1:13" x14ac:dyDescent="0.25">
      <c r="A122" s="6">
        <v>118</v>
      </c>
      <c r="B122" s="7">
        <v>45153</v>
      </c>
      <c r="C122" s="8" t="s">
        <v>97</v>
      </c>
      <c r="D122" s="8" t="s">
        <v>83</v>
      </c>
      <c r="E122" s="8" t="s">
        <v>74</v>
      </c>
      <c r="F122" s="8" t="s">
        <v>140</v>
      </c>
      <c r="G122" s="6">
        <v>3</v>
      </c>
      <c r="H122" s="6">
        <v>4200</v>
      </c>
      <c r="I122" s="6">
        <v>5</v>
      </c>
      <c r="J122" s="6">
        <f t="shared" si="2"/>
        <v>12600</v>
      </c>
      <c r="K122" s="6">
        <f t="shared" si="3"/>
        <v>11970</v>
      </c>
      <c r="L122" s="8" t="s">
        <v>125</v>
      </c>
      <c r="M122" s="8" t="s">
        <v>96</v>
      </c>
    </row>
    <row r="123" spans="1:13" x14ac:dyDescent="0.25">
      <c r="A123" s="9">
        <v>119</v>
      </c>
      <c r="B123" s="10">
        <v>45045</v>
      </c>
      <c r="C123" s="11" t="s">
        <v>97</v>
      </c>
      <c r="D123" s="11" t="s">
        <v>109</v>
      </c>
      <c r="E123" s="11" t="s">
        <v>102</v>
      </c>
      <c r="F123" s="11" t="s">
        <v>103</v>
      </c>
      <c r="G123" s="9">
        <v>24</v>
      </c>
      <c r="H123" s="9">
        <v>9800</v>
      </c>
      <c r="I123" s="9">
        <v>10</v>
      </c>
      <c r="J123" s="9">
        <f t="shared" si="2"/>
        <v>235200</v>
      </c>
      <c r="K123" s="9">
        <f t="shared" si="3"/>
        <v>211680</v>
      </c>
      <c r="L123" s="11" t="s">
        <v>86</v>
      </c>
      <c r="M123" s="11" t="s">
        <v>91</v>
      </c>
    </row>
    <row r="124" spans="1:13" x14ac:dyDescent="0.25">
      <c r="A124" s="6">
        <v>120</v>
      </c>
      <c r="B124" s="7">
        <v>45085</v>
      </c>
      <c r="C124" s="8" t="s">
        <v>114</v>
      </c>
      <c r="D124" s="8" t="s">
        <v>195</v>
      </c>
      <c r="E124" s="8" t="s">
        <v>111</v>
      </c>
      <c r="F124" s="8" t="s">
        <v>165</v>
      </c>
      <c r="G124" s="6">
        <v>18</v>
      </c>
      <c r="H124" s="6">
        <v>20400</v>
      </c>
      <c r="I124" s="6">
        <v>0</v>
      </c>
      <c r="J124" s="6">
        <f t="shared" si="2"/>
        <v>367200</v>
      </c>
      <c r="K124" s="6">
        <f t="shared" si="3"/>
        <v>367200</v>
      </c>
      <c r="L124" s="8" t="s">
        <v>76</v>
      </c>
      <c r="M124" s="8" t="s">
        <v>96</v>
      </c>
    </row>
    <row r="125" spans="1:13" x14ac:dyDescent="0.25">
      <c r="A125" s="9">
        <v>121</v>
      </c>
      <c r="B125" s="10">
        <v>45381</v>
      </c>
      <c r="C125" s="11" t="s">
        <v>119</v>
      </c>
      <c r="D125" s="11" t="s">
        <v>109</v>
      </c>
      <c r="E125" s="11" t="s">
        <v>74</v>
      </c>
      <c r="F125" s="11" t="s">
        <v>118</v>
      </c>
      <c r="G125" s="9">
        <v>24</v>
      </c>
      <c r="H125" s="9">
        <v>32100</v>
      </c>
      <c r="I125" s="9">
        <v>0</v>
      </c>
      <c r="J125" s="9">
        <f t="shared" si="2"/>
        <v>770400</v>
      </c>
      <c r="K125" s="9">
        <f t="shared" si="3"/>
        <v>770400</v>
      </c>
      <c r="L125" s="11" t="s">
        <v>76</v>
      </c>
      <c r="M125" s="11" t="s">
        <v>96</v>
      </c>
    </row>
    <row r="126" spans="1:13" x14ac:dyDescent="0.25">
      <c r="A126" s="6">
        <v>122</v>
      </c>
      <c r="B126" s="8" t="s">
        <v>202</v>
      </c>
      <c r="C126" s="8" t="s">
        <v>101</v>
      </c>
      <c r="D126" s="8" t="s">
        <v>109</v>
      </c>
      <c r="E126" s="8" t="s">
        <v>79</v>
      </c>
      <c r="F126" s="8" t="s">
        <v>172</v>
      </c>
      <c r="G126" s="6">
        <v>14</v>
      </c>
      <c r="H126" s="6">
        <v>23100</v>
      </c>
      <c r="I126" s="6">
        <v>0</v>
      </c>
      <c r="J126" s="6">
        <f t="shared" si="2"/>
        <v>323400</v>
      </c>
      <c r="K126" s="6">
        <f t="shared" si="3"/>
        <v>323400</v>
      </c>
      <c r="L126" s="8" t="s">
        <v>76</v>
      </c>
      <c r="M126" s="8" t="s">
        <v>77</v>
      </c>
    </row>
    <row r="127" spans="1:13" x14ac:dyDescent="0.25">
      <c r="A127" s="9">
        <v>123</v>
      </c>
      <c r="B127" s="10">
        <v>45268</v>
      </c>
      <c r="C127" s="11" t="s">
        <v>106</v>
      </c>
      <c r="D127" s="11" t="s">
        <v>109</v>
      </c>
      <c r="E127" s="11" t="s">
        <v>203</v>
      </c>
      <c r="F127" s="11" t="s">
        <v>181</v>
      </c>
      <c r="G127" s="9">
        <v>49</v>
      </c>
      <c r="H127" s="9">
        <v>4100</v>
      </c>
      <c r="I127" s="9">
        <v>20</v>
      </c>
      <c r="J127" s="9">
        <f t="shared" si="2"/>
        <v>200900</v>
      </c>
      <c r="K127" s="9">
        <f t="shared" si="3"/>
        <v>160720</v>
      </c>
      <c r="L127" s="11" t="s">
        <v>76</v>
      </c>
      <c r="M127" s="11" t="s">
        <v>81</v>
      </c>
    </row>
    <row r="128" spans="1:13" x14ac:dyDescent="0.25">
      <c r="A128" s="6">
        <v>124</v>
      </c>
      <c r="B128" s="7">
        <v>45165</v>
      </c>
      <c r="C128" s="8" t="s">
        <v>88</v>
      </c>
      <c r="D128" s="8" t="s">
        <v>109</v>
      </c>
      <c r="E128" s="8" t="s">
        <v>102</v>
      </c>
      <c r="F128" s="8" t="s">
        <v>138</v>
      </c>
      <c r="G128" s="6">
        <v>10</v>
      </c>
      <c r="H128" s="6" t="s">
        <v>204</v>
      </c>
      <c r="I128" s="6">
        <v>20</v>
      </c>
      <c r="J128" s="6" t="e">
        <f t="shared" si="2"/>
        <v>#VALUE!</v>
      </c>
      <c r="K128" s="6" t="e">
        <f t="shared" si="3"/>
        <v>#VALUE!</v>
      </c>
      <c r="L128" s="8" t="s">
        <v>125</v>
      </c>
      <c r="M128" s="8" t="s">
        <v>96</v>
      </c>
    </row>
    <row r="129" spans="1:13" x14ac:dyDescent="0.25">
      <c r="A129" s="9">
        <v>125</v>
      </c>
      <c r="B129" s="11" t="s">
        <v>205</v>
      </c>
      <c r="C129" s="11" t="s">
        <v>97</v>
      </c>
      <c r="D129" s="11" t="s">
        <v>73</v>
      </c>
      <c r="E129" s="11" t="s">
        <v>84</v>
      </c>
      <c r="F129" s="11" t="s">
        <v>206</v>
      </c>
      <c r="G129" s="9">
        <v>16</v>
      </c>
      <c r="H129" s="9">
        <v>13900</v>
      </c>
      <c r="I129" s="9">
        <v>0</v>
      </c>
      <c r="J129" s="9">
        <f t="shared" si="2"/>
        <v>222400</v>
      </c>
      <c r="K129" s="9">
        <f t="shared" si="3"/>
        <v>222400</v>
      </c>
      <c r="L129" s="11" t="s">
        <v>76</v>
      </c>
      <c r="M129" s="11" t="s">
        <v>77</v>
      </c>
    </row>
    <row r="130" spans="1:13" x14ac:dyDescent="0.25">
      <c r="A130" s="6">
        <v>126</v>
      </c>
      <c r="B130" s="7">
        <v>45198</v>
      </c>
      <c r="C130" s="8" t="s">
        <v>78</v>
      </c>
      <c r="D130" s="8" t="s">
        <v>109</v>
      </c>
      <c r="E130" s="8" t="s">
        <v>111</v>
      </c>
      <c r="F130" s="8" t="s">
        <v>112</v>
      </c>
      <c r="G130" s="6">
        <v>31</v>
      </c>
      <c r="H130" s="6">
        <v>70600</v>
      </c>
      <c r="I130" s="6">
        <v>10</v>
      </c>
      <c r="J130" s="6">
        <f t="shared" ref="J130:J193" si="4">G130*H130</f>
        <v>2188600</v>
      </c>
      <c r="K130" s="6">
        <f t="shared" ref="K130:K193" si="5">J130*(1-I130/100)</f>
        <v>1969740</v>
      </c>
      <c r="L130" s="8" t="s">
        <v>76</v>
      </c>
      <c r="M130" s="8" t="s">
        <v>96</v>
      </c>
    </row>
    <row r="131" spans="1:13" x14ac:dyDescent="0.25">
      <c r="A131" s="9">
        <v>127</v>
      </c>
      <c r="B131" s="10">
        <v>45534</v>
      </c>
      <c r="C131" s="11" t="s">
        <v>121</v>
      </c>
      <c r="D131" s="11" t="s">
        <v>83</v>
      </c>
      <c r="E131" s="11" t="s">
        <v>102</v>
      </c>
      <c r="F131" s="11" t="s">
        <v>181</v>
      </c>
      <c r="G131" s="9">
        <v>3</v>
      </c>
      <c r="H131" s="9">
        <v>5100</v>
      </c>
      <c r="I131" s="9">
        <v>5</v>
      </c>
      <c r="J131" s="9">
        <f t="shared" si="4"/>
        <v>15300</v>
      </c>
      <c r="K131" s="9">
        <f t="shared" si="5"/>
        <v>14535</v>
      </c>
      <c r="L131" s="11" t="s">
        <v>86</v>
      </c>
      <c r="M131" s="11" t="s">
        <v>96</v>
      </c>
    </row>
    <row r="132" spans="1:13" x14ac:dyDescent="0.25">
      <c r="A132" s="6">
        <v>128</v>
      </c>
      <c r="B132" s="7">
        <v>45585</v>
      </c>
      <c r="C132" s="8" t="s">
        <v>78</v>
      </c>
      <c r="D132" s="8" t="s">
        <v>73</v>
      </c>
      <c r="E132" s="8" t="s">
        <v>111</v>
      </c>
      <c r="F132" s="8" t="s">
        <v>165</v>
      </c>
      <c r="G132" s="6">
        <v>7</v>
      </c>
      <c r="H132" s="6" t="s">
        <v>207</v>
      </c>
      <c r="I132" s="6">
        <v>0</v>
      </c>
      <c r="J132" s="6">
        <f t="shared" si="4"/>
        <v>126700</v>
      </c>
      <c r="K132" s="6">
        <f t="shared" si="5"/>
        <v>126700</v>
      </c>
      <c r="L132" s="8" t="s">
        <v>76</v>
      </c>
      <c r="M132" s="8" t="s">
        <v>91</v>
      </c>
    </row>
    <row r="133" spans="1:13" x14ac:dyDescent="0.25">
      <c r="A133" s="9">
        <v>129</v>
      </c>
      <c r="B133" s="10">
        <v>45009</v>
      </c>
      <c r="C133" s="11" t="s">
        <v>88</v>
      </c>
      <c r="D133" s="11" t="s">
        <v>93</v>
      </c>
      <c r="E133" s="11" t="s">
        <v>162</v>
      </c>
      <c r="F133" s="11" t="s">
        <v>150</v>
      </c>
      <c r="G133" s="9">
        <v>40</v>
      </c>
      <c r="H133" s="9">
        <v>5100</v>
      </c>
      <c r="I133" s="9">
        <v>5</v>
      </c>
      <c r="J133" s="9">
        <f t="shared" si="4"/>
        <v>204000</v>
      </c>
      <c r="K133" s="9">
        <f t="shared" si="5"/>
        <v>193800</v>
      </c>
      <c r="L133" s="11" t="s">
        <v>164</v>
      </c>
      <c r="M133" s="11" t="s">
        <v>96</v>
      </c>
    </row>
    <row r="134" spans="1:13" x14ac:dyDescent="0.25">
      <c r="A134" s="6">
        <v>130</v>
      </c>
      <c r="B134" s="8" t="s">
        <v>208</v>
      </c>
      <c r="C134" s="8" t="s">
        <v>82</v>
      </c>
      <c r="D134" s="8" t="s">
        <v>117</v>
      </c>
      <c r="E134" s="8" t="s">
        <v>111</v>
      </c>
      <c r="F134" s="8" t="s">
        <v>165</v>
      </c>
      <c r="G134" s="6">
        <v>45</v>
      </c>
      <c r="H134" s="6" t="s">
        <v>209</v>
      </c>
      <c r="I134" s="6">
        <v>5</v>
      </c>
      <c r="J134" s="6">
        <f t="shared" si="4"/>
        <v>747000</v>
      </c>
      <c r="K134" s="6">
        <f t="shared" si="5"/>
        <v>709650</v>
      </c>
      <c r="L134" s="8" t="s">
        <v>76</v>
      </c>
      <c r="M134" s="8" t="s">
        <v>81</v>
      </c>
    </row>
    <row r="135" spans="1:13" x14ac:dyDescent="0.25">
      <c r="A135" s="9">
        <v>131</v>
      </c>
      <c r="B135" s="10">
        <v>45389</v>
      </c>
      <c r="C135" s="11" t="s">
        <v>106</v>
      </c>
      <c r="D135" s="11" t="s">
        <v>83</v>
      </c>
      <c r="E135" s="11" t="s">
        <v>74</v>
      </c>
      <c r="F135" s="11" t="s">
        <v>99</v>
      </c>
      <c r="G135" s="9">
        <v>47</v>
      </c>
      <c r="H135" s="9">
        <v>3500</v>
      </c>
      <c r="I135" s="9">
        <v>0</v>
      </c>
      <c r="J135" s="9">
        <f t="shared" si="4"/>
        <v>164500</v>
      </c>
      <c r="K135" s="9">
        <f t="shared" si="5"/>
        <v>164500</v>
      </c>
      <c r="L135" s="11" t="s">
        <v>76</v>
      </c>
      <c r="M135" s="11" t="s">
        <v>91</v>
      </c>
    </row>
    <row r="136" spans="1:13" x14ac:dyDescent="0.25">
      <c r="A136" s="6">
        <v>132</v>
      </c>
      <c r="B136" s="8" t="s">
        <v>210</v>
      </c>
      <c r="C136" s="8" t="s">
        <v>95</v>
      </c>
      <c r="D136" s="8" t="s">
        <v>117</v>
      </c>
      <c r="E136" s="8" t="s">
        <v>84</v>
      </c>
      <c r="F136" s="8" t="s">
        <v>85</v>
      </c>
      <c r="G136" s="6">
        <v>6</v>
      </c>
      <c r="H136" s="6">
        <v>5000</v>
      </c>
      <c r="I136" s="6">
        <v>15</v>
      </c>
      <c r="J136" s="6">
        <f t="shared" si="4"/>
        <v>30000</v>
      </c>
      <c r="K136" s="6">
        <f t="shared" si="5"/>
        <v>25500</v>
      </c>
      <c r="L136" s="8" t="s">
        <v>76</v>
      </c>
      <c r="M136" s="8" t="s">
        <v>77</v>
      </c>
    </row>
    <row r="137" spans="1:13" x14ac:dyDescent="0.25">
      <c r="A137" s="9">
        <v>133</v>
      </c>
      <c r="B137" s="11" t="s">
        <v>211</v>
      </c>
      <c r="C137" s="11" t="s">
        <v>108</v>
      </c>
      <c r="D137" s="11" t="s">
        <v>93</v>
      </c>
      <c r="E137" s="11" t="s">
        <v>79</v>
      </c>
      <c r="F137" s="11" t="s">
        <v>120</v>
      </c>
      <c r="G137" s="9">
        <v>27</v>
      </c>
      <c r="H137" s="9">
        <v>6400</v>
      </c>
      <c r="I137" s="9">
        <v>20</v>
      </c>
      <c r="J137" s="9">
        <f t="shared" si="4"/>
        <v>172800</v>
      </c>
      <c r="K137" s="9">
        <f t="shared" si="5"/>
        <v>138240</v>
      </c>
      <c r="L137" s="11" t="s">
        <v>76</v>
      </c>
      <c r="M137" s="11" t="s">
        <v>91</v>
      </c>
    </row>
    <row r="138" spans="1:13" x14ac:dyDescent="0.25">
      <c r="A138" s="6">
        <v>134</v>
      </c>
      <c r="B138" s="7">
        <v>44979</v>
      </c>
      <c r="C138" s="8" t="s">
        <v>101</v>
      </c>
      <c r="D138" s="8" t="s">
        <v>93</v>
      </c>
      <c r="E138" s="8" t="s">
        <v>74</v>
      </c>
      <c r="F138" s="8" t="s">
        <v>212</v>
      </c>
      <c r="G138" s="6">
        <v>33</v>
      </c>
      <c r="H138" s="6">
        <v>7400</v>
      </c>
      <c r="I138" s="6">
        <v>0</v>
      </c>
      <c r="J138" s="6">
        <f t="shared" si="4"/>
        <v>244200</v>
      </c>
      <c r="K138" s="6">
        <f t="shared" si="5"/>
        <v>244200</v>
      </c>
      <c r="L138" s="8" t="s">
        <v>76</v>
      </c>
      <c r="M138" s="8" t="s">
        <v>91</v>
      </c>
    </row>
    <row r="139" spans="1:13" x14ac:dyDescent="0.25">
      <c r="A139" s="9">
        <v>135</v>
      </c>
      <c r="B139" s="10">
        <v>45037</v>
      </c>
      <c r="C139" s="11" t="s">
        <v>88</v>
      </c>
      <c r="D139" s="11" t="s">
        <v>93</v>
      </c>
      <c r="E139" s="11" t="s">
        <v>74</v>
      </c>
      <c r="F139" s="11" t="s">
        <v>118</v>
      </c>
      <c r="G139" s="9">
        <v>37</v>
      </c>
      <c r="H139" s="9">
        <v>30500</v>
      </c>
      <c r="I139" s="9">
        <v>20</v>
      </c>
      <c r="J139" s="9">
        <f t="shared" si="4"/>
        <v>1128500</v>
      </c>
      <c r="K139" s="9">
        <f t="shared" si="5"/>
        <v>902800</v>
      </c>
      <c r="L139" s="11" t="s">
        <v>76</v>
      </c>
      <c r="M139" s="11" t="s">
        <v>91</v>
      </c>
    </row>
    <row r="140" spans="1:13" x14ac:dyDescent="0.25">
      <c r="A140" s="6">
        <v>136</v>
      </c>
      <c r="B140" s="7">
        <v>45501</v>
      </c>
      <c r="C140" s="8" t="s">
        <v>124</v>
      </c>
      <c r="D140" s="8" t="s">
        <v>93</v>
      </c>
      <c r="E140" s="8" t="s">
        <v>213</v>
      </c>
      <c r="F140" s="8" t="s">
        <v>138</v>
      </c>
      <c r="G140" s="6">
        <v>43</v>
      </c>
      <c r="H140" s="6">
        <v>6800</v>
      </c>
      <c r="I140" s="6">
        <v>0</v>
      </c>
      <c r="J140" s="6">
        <f t="shared" si="4"/>
        <v>292400</v>
      </c>
      <c r="K140" s="6">
        <f t="shared" si="5"/>
        <v>292400</v>
      </c>
      <c r="L140" s="8" t="s">
        <v>86</v>
      </c>
      <c r="M140" s="8" t="s">
        <v>96</v>
      </c>
    </row>
    <row r="141" spans="1:13" x14ac:dyDescent="0.25">
      <c r="A141" s="9">
        <v>137</v>
      </c>
      <c r="B141" s="10">
        <v>45111</v>
      </c>
      <c r="C141" s="11" t="s">
        <v>101</v>
      </c>
      <c r="D141" s="11" t="s">
        <v>117</v>
      </c>
      <c r="E141" s="11" t="s">
        <v>74</v>
      </c>
      <c r="F141" s="11" t="s">
        <v>212</v>
      </c>
      <c r="G141" s="9">
        <v>10</v>
      </c>
      <c r="H141" s="9">
        <v>7200</v>
      </c>
      <c r="I141" s="9">
        <v>0</v>
      </c>
      <c r="J141" s="9">
        <f t="shared" si="4"/>
        <v>72000</v>
      </c>
      <c r="K141" s="9">
        <f t="shared" si="5"/>
        <v>72000</v>
      </c>
      <c r="L141" s="11" t="s">
        <v>76</v>
      </c>
      <c r="M141" s="11" t="s">
        <v>91</v>
      </c>
    </row>
    <row r="142" spans="1:13" x14ac:dyDescent="0.25">
      <c r="A142" s="6">
        <v>138</v>
      </c>
      <c r="B142" s="7">
        <v>45072</v>
      </c>
      <c r="C142" s="8" t="s">
        <v>78</v>
      </c>
      <c r="D142" s="8" t="s">
        <v>73</v>
      </c>
      <c r="E142" s="8" t="s">
        <v>102</v>
      </c>
      <c r="F142" s="8" t="s">
        <v>181</v>
      </c>
      <c r="G142" s="6">
        <v>30</v>
      </c>
      <c r="H142" s="6">
        <v>4500</v>
      </c>
      <c r="I142" s="6">
        <v>0</v>
      </c>
      <c r="J142" s="6">
        <f t="shared" si="4"/>
        <v>135000</v>
      </c>
      <c r="K142" s="6">
        <f t="shared" si="5"/>
        <v>135000</v>
      </c>
      <c r="L142" s="8" t="s">
        <v>76</v>
      </c>
      <c r="M142" s="8" t="s">
        <v>96</v>
      </c>
    </row>
    <row r="143" spans="1:13" x14ac:dyDescent="0.25">
      <c r="A143" s="9">
        <v>139</v>
      </c>
      <c r="B143" s="10">
        <v>45259</v>
      </c>
      <c r="C143" s="11" t="s">
        <v>214</v>
      </c>
      <c r="D143" s="11" t="s">
        <v>93</v>
      </c>
      <c r="E143" s="11" t="s">
        <v>79</v>
      </c>
      <c r="F143" s="11" t="s">
        <v>136</v>
      </c>
      <c r="G143" s="9">
        <v>49</v>
      </c>
      <c r="H143" s="9">
        <v>79800</v>
      </c>
      <c r="I143" s="9">
        <v>0</v>
      </c>
      <c r="J143" s="9">
        <f t="shared" si="4"/>
        <v>3910200</v>
      </c>
      <c r="K143" s="9">
        <f t="shared" si="5"/>
        <v>3910200</v>
      </c>
      <c r="L143" s="11" t="s">
        <v>76</v>
      </c>
      <c r="M143" s="11" t="s">
        <v>77</v>
      </c>
    </row>
    <row r="144" spans="1:13" x14ac:dyDescent="0.25">
      <c r="A144" s="6">
        <v>140</v>
      </c>
      <c r="B144" s="7">
        <v>45380</v>
      </c>
      <c r="C144" s="8" t="s">
        <v>114</v>
      </c>
      <c r="D144" s="8" t="s">
        <v>83</v>
      </c>
      <c r="E144" s="8" t="s">
        <v>102</v>
      </c>
      <c r="F144" s="8" t="s">
        <v>197</v>
      </c>
      <c r="G144" s="6">
        <v>14</v>
      </c>
      <c r="H144" s="6">
        <v>3800</v>
      </c>
      <c r="I144" s="6">
        <v>0</v>
      </c>
      <c r="J144" s="6">
        <f t="shared" si="4"/>
        <v>53200</v>
      </c>
      <c r="K144" s="6">
        <f t="shared" si="5"/>
        <v>53200</v>
      </c>
      <c r="L144" s="8" t="s">
        <v>86</v>
      </c>
      <c r="M144" s="8" t="s">
        <v>77</v>
      </c>
    </row>
    <row r="145" spans="1:13" x14ac:dyDescent="0.25">
      <c r="A145" s="9">
        <v>141</v>
      </c>
      <c r="B145" s="10">
        <v>45367</v>
      </c>
      <c r="C145" s="11" t="s">
        <v>97</v>
      </c>
      <c r="D145" s="11" t="s">
        <v>117</v>
      </c>
      <c r="E145" s="11" t="s">
        <v>102</v>
      </c>
      <c r="F145" s="11" t="s">
        <v>197</v>
      </c>
      <c r="G145" s="9">
        <v>20</v>
      </c>
      <c r="H145" s="9">
        <v>3900</v>
      </c>
      <c r="I145" s="9">
        <v>10</v>
      </c>
      <c r="J145" s="9">
        <f t="shared" si="4"/>
        <v>78000</v>
      </c>
      <c r="K145" s="9">
        <f t="shared" si="5"/>
        <v>70200</v>
      </c>
      <c r="L145" s="11" t="s">
        <v>76</v>
      </c>
      <c r="M145" s="11" t="s">
        <v>91</v>
      </c>
    </row>
    <row r="146" spans="1:13" x14ac:dyDescent="0.25">
      <c r="A146" s="6">
        <v>142</v>
      </c>
      <c r="B146" s="7">
        <v>44983</v>
      </c>
      <c r="C146" s="8" t="s">
        <v>78</v>
      </c>
      <c r="D146" s="8" t="s">
        <v>109</v>
      </c>
      <c r="E146" s="8" t="s">
        <v>74</v>
      </c>
      <c r="F146" s="8" t="s">
        <v>75</v>
      </c>
      <c r="G146" s="6">
        <v>49</v>
      </c>
      <c r="H146" s="6">
        <v>24000</v>
      </c>
      <c r="I146" s="6">
        <v>0</v>
      </c>
      <c r="J146" s="6">
        <f t="shared" si="4"/>
        <v>1176000</v>
      </c>
      <c r="K146" s="6">
        <f t="shared" si="5"/>
        <v>1176000</v>
      </c>
      <c r="L146" s="8" t="s">
        <v>76</v>
      </c>
      <c r="M146" s="8" t="s">
        <v>96</v>
      </c>
    </row>
    <row r="147" spans="1:13" x14ac:dyDescent="0.25">
      <c r="A147" s="9">
        <v>143</v>
      </c>
      <c r="B147" s="10">
        <v>44934</v>
      </c>
      <c r="C147" s="11" t="s">
        <v>119</v>
      </c>
      <c r="D147" s="11" t="s">
        <v>83</v>
      </c>
      <c r="E147" s="11" t="s">
        <v>176</v>
      </c>
      <c r="F147" s="11" t="s">
        <v>128</v>
      </c>
      <c r="G147" s="9">
        <v>46</v>
      </c>
      <c r="H147" s="9">
        <v>4200</v>
      </c>
      <c r="I147" s="9">
        <v>0</v>
      </c>
      <c r="J147" s="9">
        <f t="shared" si="4"/>
        <v>193200</v>
      </c>
      <c r="K147" s="9">
        <f t="shared" si="5"/>
        <v>193200</v>
      </c>
      <c r="L147" s="11" t="s">
        <v>174</v>
      </c>
      <c r="M147" s="11" t="s">
        <v>96</v>
      </c>
    </row>
    <row r="148" spans="1:13" x14ac:dyDescent="0.25">
      <c r="A148" s="6">
        <v>144</v>
      </c>
      <c r="B148" s="7">
        <v>45333</v>
      </c>
      <c r="C148" s="8" t="s">
        <v>78</v>
      </c>
      <c r="D148" s="8" t="s">
        <v>83</v>
      </c>
      <c r="E148" s="8" t="s">
        <v>79</v>
      </c>
      <c r="F148" s="8" t="s">
        <v>172</v>
      </c>
      <c r="G148" s="6">
        <v>21</v>
      </c>
      <c r="H148" s="6">
        <v>28300</v>
      </c>
      <c r="I148" s="6">
        <v>15</v>
      </c>
      <c r="J148" s="6">
        <f t="shared" si="4"/>
        <v>594300</v>
      </c>
      <c r="K148" s="6">
        <f t="shared" si="5"/>
        <v>505155</v>
      </c>
      <c r="L148" s="8" t="s">
        <v>76</v>
      </c>
      <c r="M148" s="8" t="s">
        <v>91</v>
      </c>
    </row>
    <row r="149" spans="1:13" x14ac:dyDescent="0.25">
      <c r="A149" s="9">
        <v>145</v>
      </c>
      <c r="B149" s="10">
        <v>45582</v>
      </c>
      <c r="C149" s="11" t="s">
        <v>114</v>
      </c>
      <c r="D149" s="11" t="s">
        <v>117</v>
      </c>
      <c r="E149" s="11" t="s">
        <v>79</v>
      </c>
      <c r="F149" s="11" t="s">
        <v>115</v>
      </c>
      <c r="G149" s="9">
        <v>21</v>
      </c>
      <c r="H149" s="9">
        <v>8100</v>
      </c>
      <c r="I149" s="9">
        <v>20</v>
      </c>
      <c r="J149" s="9">
        <f t="shared" si="4"/>
        <v>170100</v>
      </c>
      <c r="K149" s="9">
        <f t="shared" si="5"/>
        <v>136080</v>
      </c>
      <c r="L149" s="11" t="s">
        <v>76</v>
      </c>
      <c r="M149" s="11" t="s">
        <v>91</v>
      </c>
    </row>
    <row r="150" spans="1:13" x14ac:dyDescent="0.25">
      <c r="A150" s="6">
        <v>146</v>
      </c>
      <c r="B150" s="8" t="s">
        <v>215</v>
      </c>
      <c r="C150" s="8" t="s">
        <v>88</v>
      </c>
      <c r="D150" s="8" t="s">
        <v>73</v>
      </c>
      <c r="E150" s="8" t="s">
        <v>111</v>
      </c>
      <c r="F150" s="8" t="s">
        <v>112</v>
      </c>
      <c r="G150" s="6">
        <v>38</v>
      </c>
      <c r="H150" s="6">
        <v>62500</v>
      </c>
      <c r="I150" s="6">
        <v>5</v>
      </c>
      <c r="J150" s="6">
        <f t="shared" si="4"/>
        <v>2375000</v>
      </c>
      <c r="K150" s="6">
        <f t="shared" si="5"/>
        <v>2256250</v>
      </c>
      <c r="L150" s="8" t="s">
        <v>76</v>
      </c>
      <c r="M150" s="8" t="s">
        <v>77</v>
      </c>
    </row>
    <row r="151" spans="1:13" x14ac:dyDescent="0.25">
      <c r="A151" s="9">
        <v>147</v>
      </c>
      <c r="B151" s="10">
        <v>45244</v>
      </c>
      <c r="C151" s="11" t="s">
        <v>88</v>
      </c>
      <c r="D151" s="11" t="s">
        <v>109</v>
      </c>
      <c r="E151" s="11" t="s">
        <v>74</v>
      </c>
      <c r="F151" s="11" t="s">
        <v>142</v>
      </c>
      <c r="G151" s="9">
        <v>41</v>
      </c>
      <c r="H151" s="9">
        <v>11000</v>
      </c>
      <c r="I151" s="9">
        <v>20</v>
      </c>
      <c r="J151" s="9">
        <f t="shared" si="4"/>
        <v>451000</v>
      </c>
      <c r="K151" s="9">
        <f t="shared" si="5"/>
        <v>360800</v>
      </c>
      <c r="L151" s="11" t="s">
        <v>76</v>
      </c>
      <c r="M151" s="11" t="s">
        <v>81</v>
      </c>
    </row>
    <row r="152" spans="1:13" x14ac:dyDescent="0.25">
      <c r="A152" s="6">
        <v>148</v>
      </c>
      <c r="B152" s="7">
        <v>45284</v>
      </c>
      <c r="C152" s="8" t="s">
        <v>88</v>
      </c>
      <c r="D152" s="8" t="s">
        <v>109</v>
      </c>
      <c r="E152" s="8" t="s">
        <v>84</v>
      </c>
      <c r="F152" s="8" t="s">
        <v>150</v>
      </c>
      <c r="G152" s="6">
        <v>13</v>
      </c>
      <c r="H152" s="6">
        <v>5200</v>
      </c>
      <c r="I152" s="6">
        <v>20</v>
      </c>
      <c r="J152" s="6">
        <f t="shared" si="4"/>
        <v>67600</v>
      </c>
      <c r="K152" s="6">
        <f t="shared" si="5"/>
        <v>54080</v>
      </c>
      <c r="L152" s="8" t="s">
        <v>76</v>
      </c>
      <c r="M152" s="8" t="s">
        <v>81</v>
      </c>
    </row>
    <row r="153" spans="1:13" x14ac:dyDescent="0.25">
      <c r="A153" s="9">
        <v>149</v>
      </c>
      <c r="B153" s="10">
        <v>45598</v>
      </c>
      <c r="C153" s="11" t="s">
        <v>216</v>
      </c>
      <c r="D153" s="11" t="s">
        <v>109</v>
      </c>
      <c r="E153" s="11" t="s">
        <v>111</v>
      </c>
      <c r="F153" s="11" t="s">
        <v>159</v>
      </c>
      <c r="G153" s="9">
        <v>49</v>
      </c>
      <c r="H153" s="9">
        <v>13100</v>
      </c>
      <c r="I153" s="9">
        <v>20</v>
      </c>
      <c r="J153" s="9">
        <f t="shared" si="4"/>
        <v>641900</v>
      </c>
      <c r="K153" s="9">
        <f t="shared" si="5"/>
        <v>513520</v>
      </c>
      <c r="L153" s="11" t="s">
        <v>76</v>
      </c>
      <c r="M153" s="11" t="s">
        <v>96</v>
      </c>
    </row>
    <row r="154" spans="1:13" x14ac:dyDescent="0.25">
      <c r="A154" s="6">
        <v>150</v>
      </c>
      <c r="B154" s="7">
        <v>45569</v>
      </c>
      <c r="C154" s="8" t="s">
        <v>88</v>
      </c>
      <c r="D154" s="8" t="s">
        <v>109</v>
      </c>
      <c r="E154" s="8" t="s">
        <v>111</v>
      </c>
      <c r="F154" s="8" t="s">
        <v>112</v>
      </c>
      <c r="G154" s="6">
        <v>41</v>
      </c>
      <c r="H154" s="6">
        <v>66100</v>
      </c>
      <c r="I154" s="6">
        <v>10</v>
      </c>
      <c r="J154" s="6">
        <f t="shared" si="4"/>
        <v>2710100</v>
      </c>
      <c r="K154" s="6">
        <f t="shared" si="5"/>
        <v>2439090</v>
      </c>
      <c r="L154" s="8" t="s">
        <v>76</v>
      </c>
      <c r="M154" s="8" t="s">
        <v>96</v>
      </c>
    </row>
    <row r="155" spans="1:13" x14ac:dyDescent="0.25">
      <c r="A155" s="9">
        <v>151</v>
      </c>
      <c r="B155" s="10">
        <v>44984</v>
      </c>
      <c r="C155" s="11" t="s">
        <v>88</v>
      </c>
      <c r="D155" s="11" t="s">
        <v>93</v>
      </c>
      <c r="E155" s="11" t="s">
        <v>79</v>
      </c>
      <c r="F155" s="11" t="s">
        <v>179</v>
      </c>
      <c r="G155" s="9">
        <v>3</v>
      </c>
      <c r="H155" s="9">
        <v>2500</v>
      </c>
      <c r="I155" s="9">
        <v>0</v>
      </c>
      <c r="J155" s="9">
        <f t="shared" si="4"/>
        <v>7500</v>
      </c>
      <c r="K155" s="9">
        <f t="shared" si="5"/>
        <v>7500</v>
      </c>
      <c r="L155" s="11" t="s">
        <v>76</v>
      </c>
      <c r="M155" s="11" t="s">
        <v>96</v>
      </c>
    </row>
    <row r="156" spans="1:13" x14ac:dyDescent="0.25">
      <c r="A156" s="6">
        <v>152</v>
      </c>
      <c r="B156" s="8" t="s">
        <v>217</v>
      </c>
      <c r="C156" s="8" t="s">
        <v>97</v>
      </c>
      <c r="D156" s="8" t="s">
        <v>93</v>
      </c>
      <c r="E156" s="8" t="s">
        <v>102</v>
      </c>
      <c r="F156" s="8" t="s">
        <v>151</v>
      </c>
      <c r="G156" s="6">
        <v>36</v>
      </c>
      <c r="H156" s="6">
        <v>7600</v>
      </c>
      <c r="I156" s="6">
        <v>5</v>
      </c>
      <c r="J156" s="6">
        <f t="shared" si="4"/>
        <v>273600</v>
      </c>
      <c r="K156" s="6">
        <f t="shared" si="5"/>
        <v>259920</v>
      </c>
      <c r="L156" s="8" t="s">
        <v>218</v>
      </c>
      <c r="M156" s="8" t="s">
        <v>77</v>
      </c>
    </row>
    <row r="157" spans="1:13" x14ac:dyDescent="0.25">
      <c r="A157" s="9">
        <v>153</v>
      </c>
      <c r="B157" s="10">
        <v>45512</v>
      </c>
      <c r="C157" s="11" t="s">
        <v>106</v>
      </c>
      <c r="D157" s="11" t="s">
        <v>117</v>
      </c>
      <c r="E157" s="11" t="s">
        <v>102</v>
      </c>
      <c r="F157" s="11" t="s">
        <v>197</v>
      </c>
      <c r="G157" s="9">
        <v>4</v>
      </c>
      <c r="H157" s="9">
        <v>3900</v>
      </c>
      <c r="I157" s="9">
        <v>15</v>
      </c>
      <c r="J157" s="9">
        <f t="shared" si="4"/>
        <v>15600</v>
      </c>
      <c r="K157" s="9">
        <f t="shared" si="5"/>
        <v>13260</v>
      </c>
      <c r="L157" s="11" t="s">
        <v>76</v>
      </c>
      <c r="M157" s="11" t="s">
        <v>96</v>
      </c>
    </row>
    <row r="158" spans="1:13" x14ac:dyDescent="0.25">
      <c r="A158" s="6">
        <v>154</v>
      </c>
      <c r="B158" s="7">
        <v>45013</v>
      </c>
      <c r="C158" s="8" t="s">
        <v>82</v>
      </c>
      <c r="D158" s="8" t="s">
        <v>109</v>
      </c>
      <c r="E158" s="8" t="s">
        <v>79</v>
      </c>
      <c r="F158" s="8" t="s">
        <v>80</v>
      </c>
      <c r="G158" s="6">
        <v>29</v>
      </c>
      <c r="H158" s="6">
        <v>9200</v>
      </c>
      <c r="I158" s="6">
        <v>0</v>
      </c>
      <c r="J158" s="6">
        <f t="shared" si="4"/>
        <v>266800</v>
      </c>
      <c r="K158" s="6">
        <f t="shared" si="5"/>
        <v>266800</v>
      </c>
      <c r="L158" s="8" t="s">
        <v>76</v>
      </c>
      <c r="M158" s="8" t="s">
        <v>81</v>
      </c>
    </row>
    <row r="159" spans="1:13" x14ac:dyDescent="0.25">
      <c r="A159" s="9">
        <v>155</v>
      </c>
      <c r="B159" s="10">
        <v>45308</v>
      </c>
      <c r="C159" s="11" t="s">
        <v>101</v>
      </c>
      <c r="D159" s="11" t="s">
        <v>83</v>
      </c>
      <c r="E159" s="11" t="s">
        <v>111</v>
      </c>
      <c r="F159" s="11" t="s">
        <v>132</v>
      </c>
      <c r="G159" s="9">
        <v>4</v>
      </c>
      <c r="H159" s="9">
        <v>8000</v>
      </c>
      <c r="I159" s="9"/>
      <c r="J159" s="9">
        <f t="shared" si="4"/>
        <v>32000</v>
      </c>
      <c r="K159" s="9">
        <f t="shared" si="5"/>
        <v>32000</v>
      </c>
      <c r="L159" s="11" t="s">
        <v>86</v>
      </c>
      <c r="M159" s="11" t="s">
        <v>96</v>
      </c>
    </row>
    <row r="160" spans="1:13" x14ac:dyDescent="0.25">
      <c r="A160" s="6">
        <v>156</v>
      </c>
      <c r="B160" s="8" t="s">
        <v>219</v>
      </c>
      <c r="C160" s="8" t="s">
        <v>97</v>
      </c>
      <c r="D160" s="8" t="s">
        <v>93</v>
      </c>
      <c r="E160" s="8" t="s">
        <v>155</v>
      </c>
      <c r="F160" s="8" t="s">
        <v>135</v>
      </c>
      <c r="G160" s="6">
        <v>43</v>
      </c>
      <c r="H160" s="6">
        <v>110700</v>
      </c>
      <c r="I160" s="6">
        <v>0</v>
      </c>
      <c r="J160" s="6">
        <f t="shared" si="4"/>
        <v>4760100</v>
      </c>
      <c r="K160" s="6">
        <f t="shared" si="5"/>
        <v>4760100</v>
      </c>
      <c r="L160" s="8" t="s">
        <v>220</v>
      </c>
      <c r="M160" s="8" t="s">
        <v>81</v>
      </c>
    </row>
    <row r="161" spans="1:13" x14ac:dyDescent="0.25">
      <c r="A161" s="9">
        <v>157</v>
      </c>
      <c r="B161" s="10">
        <v>45010</v>
      </c>
      <c r="C161" s="11" t="s">
        <v>124</v>
      </c>
      <c r="D161" s="11" t="s">
        <v>109</v>
      </c>
      <c r="E161" s="11" t="s">
        <v>74</v>
      </c>
      <c r="F161" s="11" t="s">
        <v>190</v>
      </c>
      <c r="G161" s="9">
        <v>45</v>
      </c>
      <c r="H161" s="9">
        <v>36500</v>
      </c>
      <c r="I161" s="9">
        <v>10</v>
      </c>
      <c r="J161" s="9">
        <f t="shared" si="4"/>
        <v>1642500</v>
      </c>
      <c r="K161" s="9">
        <f t="shared" si="5"/>
        <v>1478250</v>
      </c>
      <c r="L161" s="11" t="s">
        <v>86</v>
      </c>
      <c r="M161" s="11" t="s">
        <v>81</v>
      </c>
    </row>
    <row r="162" spans="1:13" x14ac:dyDescent="0.25">
      <c r="A162" s="6">
        <v>158</v>
      </c>
      <c r="B162" s="7">
        <v>45652</v>
      </c>
      <c r="C162" s="8" t="s">
        <v>97</v>
      </c>
      <c r="D162" s="8" t="s">
        <v>117</v>
      </c>
      <c r="E162" s="8" t="s">
        <v>102</v>
      </c>
      <c r="F162" s="8" t="s">
        <v>151</v>
      </c>
      <c r="G162" s="6">
        <v>22</v>
      </c>
      <c r="H162" s="6">
        <v>8000</v>
      </c>
      <c r="I162" s="6">
        <v>15</v>
      </c>
      <c r="J162" s="6">
        <f t="shared" si="4"/>
        <v>176000</v>
      </c>
      <c r="K162" s="6">
        <f t="shared" si="5"/>
        <v>149600</v>
      </c>
      <c r="L162" s="8" t="s">
        <v>86</v>
      </c>
      <c r="M162" s="8" t="s">
        <v>77</v>
      </c>
    </row>
    <row r="163" spans="1:13" x14ac:dyDescent="0.25">
      <c r="A163" s="9">
        <v>159</v>
      </c>
      <c r="B163" s="11" t="s">
        <v>221</v>
      </c>
      <c r="C163" s="11" t="s">
        <v>114</v>
      </c>
      <c r="D163" s="11" t="s">
        <v>93</v>
      </c>
      <c r="E163" s="11" t="s">
        <v>74</v>
      </c>
      <c r="F163" s="11" t="s">
        <v>94</v>
      </c>
      <c r="G163" s="9">
        <v>12</v>
      </c>
      <c r="H163" s="9">
        <v>34700</v>
      </c>
      <c r="I163" s="9">
        <v>20</v>
      </c>
      <c r="J163" s="9">
        <f t="shared" si="4"/>
        <v>416400</v>
      </c>
      <c r="K163" s="9">
        <f t="shared" si="5"/>
        <v>333120</v>
      </c>
      <c r="L163" s="11" t="s">
        <v>125</v>
      </c>
      <c r="M163" s="11" t="s">
        <v>96</v>
      </c>
    </row>
    <row r="164" spans="1:13" x14ac:dyDescent="0.25">
      <c r="A164" s="6">
        <v>160</v>
      </c>
      <c r="B164" s="7">
        <v>45424</v>
      </c>
      <c r="C164" s="8" t="s">
        <v>106</v>
      </c>
      <c r="D164" s="8" t="s">
        <v>109</v>
      </c>
      <c r="E164" s="8" t="s">
        <v>84</v>
      </c>
      <c r="F164" s="8" t="s">
        <v>128</v>
      </c>
      <c r="G164" s="6">
        <v>7</v>
      </c>
      <c r="H164" s="6">
        <v>3900</v>
      </c>
      <c r="I164" s="6">
        <v>15</v>
      </c>
      <c r="J164" s="6">
        <f t="shared" si="4"/>
        <v>27300</v>
      </c>
      <c r="K164" s="6">
        <f t="shared" si="5"/>
        <v>23205</v>
      </c>
      <c r="L164" s="8" t="s">
        <v>76</v>
      </c>
      <c r="M164" s="8" t="s">
        <v>77</v>
      </c>
    </row>
    <row r="165" spans="1:13" x14ac:dyDescent="0.25">
      <c r="A165" s="9">
        <v>161</v>
      </c>
      <c r="B165" s="10">
        <v>45271</v>
      </c>
      <c r="C165" s="11" t="s">
        <v>124</v>
      </c>
      <c r="D165" s="11" t="s">
        <v>109</v>
      </c>
      <c r="E165" s="11" t="s">
        <v>102</v>
      </c>
      <c r="F165" s="11" t="s">
        <v>151</v>
      </c>
      <c r="G165" s="9">
        <v>12</v>
      </c>
      <c r="H165" s="9">
        <v>7000</v>
      </c>
      <c r="I165" s="9">
        <v>15</v>
      </c>
      <c r="J165" s="9">
        <f t="shared" si="4"/>
        <v>84000</v>
      </c>
      <c r="K165" s="9">
        <f t="shared" si="5"/>
        <v>71400</v>
      </c>
      <c r="L165" s="11" t="s">
        <v>86</v>
      </c>
      <c r="M165" s="11" t="s">
        <v>81</v>
      </c>
    </row>
    <row r="166" spans="1:13" x14ac:dyDescent="0.25">
      <c r="A166" s="6">
        <v>162</v>
      </c>
      <c r="B166" s="7">
        <v>45375</v>
      </c>
      <c r="C166" s="8" t="s">
        <v>78</v>
      </c>
      <c r="D166" s="8" t="s">
        <v>83</v>
      </c>
      <c r="E166" s="8" t="s">
        <v>74</v>
      </c>
      <c r="F166" s="8" t="s">
        <v>75</v>
      </c>
      <c r="G166" s="6">
        <v>40</v>
      </c>
      <c r="H166" s="6">
        <v>25100</v>
      </c>
      <c r="I166" s="6">
        <v>0</v>
      </c>
      <c r="J166" s="6">
        <f t="shared" si="4"/>
        <v>1004000</v>
      </c>
      <c r="K166" s="6">
        <f t="shared" si="5"/>
        <v>1004000</v>
      </c>
      <c r="L166" s="8" t="s">
        <v>76</v>
      </c>
      <c r="M166" s="8" t="s">
        <v>91</v>
      </c>
    </row>
    <row r="167" spans="1:13" x14ac:dyDescent="0.25">
      <c r="A167" s="9">
        <v>163</v>
      </c>
      <c r="B167" s="10">
        <v>45473</v>
      </c>
      <c r="C167" s="11" t="s">
        <v>106</v>
      </c>
      <c r="D167" s="11" t="s">
        <v>117</v>
      </c>
      <c r="E167" s="11" t="s">
        <v>111</v>
      </c>
      <c r="F167" s="11" t="s">
        <v>156</v>
      </c>
      <c r="G167" s="9">
        <v>37</v>
      </c>
      <c r="H167" s="9" t="s">
        <v>222</v>
      </c>
      <c r="I167" s="9">
        <v>20</v>
      </c>
      <c r="J167" s="9">
        <f t="shared" si="4"/>
        <v>1542900</v>
      </c>
      <c r="K167" s="9">
        <f t="shared" si="5"/>
        <v>1234320</v>
      </c>
      <c r="L167" s="11" t="s">
        <v>125</v>
      </c>
      <c r="M167" s="11" t="s">
        <v>91</v>
      </c>
    </row>
    <row r="168" spans="1:13" x14ac:dyDescent="0.25">
      <c r="A168" s="6">
        <v>164</v>
      </c>
      <c r="B168" s="7">
        <v>45215</v>
      </c>
      <c r="C168" s="8" t="s">
        <v>223</v>
      </c>
      <c r="D168" s="8" t="s">
        <v>93</v>
      </c>
      <c r="E168" s="8" t="s">
        <v>102</v>
      </c>
      <c r="F168" s="8" t="s">
        <v>151</v>
      </c>
      <c r="G168" s="6">
        <v>13</v>
      </c>
      <c r="H168" s="6">
        <v>8600</v>
      </c>
      <c r="I168" s="6">
        <v>20</v>
      </c>
      <c r="J168" s="6">
        <f t="shared" si="4"/>
        <v>111800</v>
      </c>
      <c r="K168" s="6">
        <f t="shared" si="5"/>
        <v>89440</v>
      </c>
      <c r="L168" s="8" t="s">
        <v>86</v>
      </c>
      <c r="M168" s="8" t="s">
        <v>81</v>
      </c>
    </row>
    <row r="169" spans="1:13" x14ac:dyDescent="0.25">
      <c r="A169" s="9">
        <v>165</v>
      </c>
      <c r="B169" s="10">
        <v>45183</v>
      </c>
      <c r="C169" s="11" t="s">
        <v>78</v>
      </c>
      <c r="D169" s="11" t="s">
        <v>83</v>
      </c>
      <c r="E169" s="11" t="s">
        <v>74</v>
      </c>
      <c r="F169" s="11" t="s">
        <v>118</v>
      </c>
      <c r="G169" s="9">
        <v>34</v>
      </c>
      <c r="H169" s="9">
        <v>30200</v>
      </c>
      <c r="I169" s="9">
        <v>0</v>
      </c>
      <c r="J169" s="9">
        <f t="shared" si="4"/>
        <v>1026800</v>
      </c>
      <c r="K169" s="9">
        <f t="shared" si="5"/>
        <v>1026800</v>
      </c>
      <c r="L169" s="11" t="s">
        <v>107</v>
      </c>
      <c r="M169" s="11"/>
    </row>
    <row r="170" spans="1:13" x14ac:dyDescent="0.25">
      <c r="A170" s="6">
        <v>166</v>
      </c>
      <c r="B170" s="7">
        <v>45091</v>
      </c>
      <c r="C170" s="8" t="s">
        <v>101</v>
      </c>
      <c r="D170" s="8" t="s">
        <v>83</v>
      </c>
      <c r="E170" s="8" t="s">
        <v>102</v>
      </c>
      <c r="F170" s="8" t="s">
        <v>103</v>
      </c>
      <c r="G170" s="6">
        <v>6</v>
      </c>
      <c r="H170" s="6">
        <v>10900</v>
      </c>
      <c r="I170" s="6">
        <v>20</v>
      </c>
      <c r="J170" s="6">
        <f t="shared" si="4"/>
        <v>65400</v>
      </c>
      <c r="K170" s="6">
        <f t="shared" si="5"/>
        <v>52320</v>
      </c>
      <c r="L170" s="8" t="s">
        <v>125</v>
      </c>
      <c r="M170" s="8" t="s">
        <v>81</v>
      </c>
    </row>
    <row r="171" spans="1:13" x14ac:dyDescent="0.25">
      <c r="A171" s="9">
        <v>167</v>
      </c>
      <c r="B171" s="10">
        <v>45388</v>
      </c>
      <c r="C171" s="11" t="s">
        <v>88</v>
      </c>
      <c r="D171" s="11" t="s">
        <v>73</v>
      </c>
      <c r="E171" s="11" t="s">
        <v>111</v>
      </c>
      <c r="F171" s="11" t="s">
        <v>192</v>
      </c>
      <c r="G171" s="9">
        <v>24</v>
      </c>
      <c r="H171" s="9">
        <v>94900</v>
      </c>
      <c r="I171" s="9">
        <v>0</v>
      </c>
      <c r="J171" s="9">
        <f t="shared" si="4"/>
        <v>2277600</v>
      </c>
      <c r="K171" s="9">
        <f t="shared" si="5"/>
        <v>2277600</v>
      </c>
      <c r="L171" s="11" t="s">
        <v>76</v>
      </c>
      <c r="M171" s="11" t="s">
        <v>77</v>
      </c>
    </row>
    <row r="172" spans="1:13" x14ac:dyDescent="0.25">
      <c r="A172" s="6">
        <v>168</v>
      </c>
      <c r="B172" s="7">
        <v>45156</v>
      </c>
      <c r="C172" s="8" t="s">
        <v>78</v>
      </c>
      <c r="D172" s="8" t="s">
        <v>117</v>
      </c>
      <c r="E172" s="8" t="s">
        <v>79</v>
      </c>
      <c r="F172" s="8" t="s">
        <v>120</v>
      </c>
      <c r="G172" s="6">
        <v>9</v>
      </c>
      <c r="H172" s="6">
        <v>6600</v>
      </c>
      <c r="I172" s="6">
        <v>15</v>
      </c>
      <c r="J172" s="6">
        <f t="shared" si="4"/>
        <v>59400</v>
      </c>
      <c r="K172" s="6">
        <f t="shared" si="5"/>
        <v>50490</v>
      </c>
      <c r="L172" s="8" t="s">
        <v>76</v>
      </c>
      <c r="M172" s="8" t="s">
        <v>91</v>
      </c>
    </row>
    <row r="173" spans="1:13" x14ac:dyDescent="0.25">
      <c r="A173" s="9">
        <v>169</v>
      </c>
      <c r="B173" s="10">
        <v>45069</v>
      </c>
      <c r="C173" s="11" t="s">
        <v>224</v>
      </c>
      <c r="D173" s="11" t="s">
        <v>83</v>
      </c>
      <c r="E173" s="11" t="s">
        <v>102</v>
      </c>
      <c r="F173" s="11" t="s">
        <v>138</v>
      </c>
      <c r="G173" s="9">
        <v>2</v>
      </c>
      <c r="H173" s="9">
        <v>7300</v>
      </c>
      <c r="I173" s="9">
        <v>10</v>
      </c>
      <c r="J173" s="9">
        <f t="shared" si="4"/>
        <v>14600</v>
      </c>
      <c r="K173" s="9">
        <f t="shared" si="5"/>
        <v>13140</v>
      </c>
      <c r="L173" s="11" t="s">
        <v>76</v>
      </c>
      <c r="M173" s="11" t="s">
        <v>81</v>
      </c>
    </row>
    <row r="174" spans="1:13" x14ac:dyDescent="0.25">
      <c r="A174" s="6">
        <v>170</v>
      </c>
      <c r="B174" s="7">
        <v>45550</v>
      </c>
      <c r="C174" s="8" t="s">
        <v>82</v>
      </c>
      <c r="D174" s="8" t="s">
        <v>83</v>
      </c>
      <c r="E174" s="8" t="s">
        <v>79</v>
      </c>
      <c r="F174" s="8" t="s">
        <v>179</v>
      </c>
      <c r="G174" s="6">
        <v>8</v>
      </c>
      <c r="H174" s="6" t="s">
        <v>225</v>
      </c>
      <c r="I174" s="6">
        <v>15</v>
      </c>
      <c r="J174" s="6">
        <f t="shared" si="4"/>
        <v>19200</v>
      </c>
      <c r="K174" s="6">
        <f t="shared" si="5"/>
        <v>16320</v>
      </c>
      <c r="L174" s="8" t="s">
        <v>76</v>
      </c>
      <c r="M174" s="8" t="s">
        <v>91</v>
      </c>
    </row>
    <row r="175" spans="1:13" x14ac:dyDescent="0.25">
      <c r="A175" s="9">
        <v>171</v>
      </c>
      <c r="B175" s="10">
        <v>45564</v>
      </c>
      <c r="C175" s="11" t="s">
        <v>119</v>
      </c>
      <c r="D175" s="11" t="s">
        <v>73</v>
      </c>
      <c r="E175" s="11" t="s">
        <v>79</v>
      </c>
      <c r="F175" s="11" t="s">
        <v>172</v>
      </c>
      <c r="G175" s="9">
        <v>2</v>
      </c>
      <c r="H175" s="9">
        <v>26200</v>
      </c>
      <c r="I175" s="9">
        <v>15</v>
      </c>
      <c r="J175" s="9">
        <f t="shared" si="4"/>
        <v>52400</v>
      </c>
      <c r="K175" s="9">
        <f t="shared" si="5"/>
        <v>44540</v>
      </c>
      <c r="L175" s="11" t="s">
        <v>76</v>
      </c>
      <c r="M175" s="11" t="s">
        <v>81</v>
      </c>
    </row>
    <row r="176" spans="1:13" x14ac:dyDescent="0.25">
      <c r="A176" s="6">
        <v>172</v>
      </c>
      <c r="B176" s="7">
        <v>45074</v>
      </c>
      <c r="C176" s="8" t="s">
        <v>101</v>
      </c>
      <c r="D176" s="8" t="s">
        <v>83</v>
      </c>
      <c r="E176" s="8" t="s">
        <v>79</v>
      </c>
      <c r="F176" s="8" t="s">
        <v>120</v>
      </c>
      <c r="G176" s="6">
        <v>27</v>
      </c>
      <c r="H176" s="6">
        <v>5800</v>
      </c>
      <c r="I176" s="6">
        <v>10</v>
      </c>
      <c r="J176" s="6">
        <f t="shared" si="4"/>
        <v>156600</v>
      </c>
      <c r="K176" s="6">
        <f t="shared" si="5"/>
        <v>140940</v>
      </c>
      <c r="L176" s="8" t="s">
        <v>76</v>
      </c>
      <c r="M176" s="8" t="s">
        <v>77</v>
      </c>
    </row>
    <row r="177" spans="1:13" x14ac:dyDescent="0.25">
      <c r="A177" s="9">
        <v>173</v>
      </c>
      <c r="B177" s="10">
        <v>45296</v>
      </c>
      <c r="C177" s="11" t="s">
        <v>97</v>
      </c>
      <c r="D177" s="11" t="s">
        <v>93</v>
      </c>
      <c r="E177" s="11" t="s">
        <v>102</v>
      </c>
      <c r="F177" s="11" t="s">
        <v>138</v>
      </c>
      <c r="G177" s="9">
        <v>31</v>
      </c>
      <c r="H177" s="9">
        <v>6500</v>
      </c>
      <c r="I177" s="9">
        <v>0</v>
      </c>
      <c r="J177" s="9">
        <f t="shared" si="4"/>
        <v>201500</v>
      </c>
      <c r="K177" s="9">
        <f t="shared" si="5"/>
        <v>201500</v>
      </c>
      <c r="L177" s="11" t="s">
        <v>76</v>
      </c>
      <c r="M177" s="11" t="s">
        <v>91</v>
      </c>
    </row>
    <row r="178" spans="1:13" x14ac:dyDescent="0.25">
      <c r="A178" s="6">
        <v>174</v>
      </c>
      <c r="B178" s="7">
        <v>45186</v>
      </c>
      <c r="C178" s="8" t="s">
        <v>78</v>
      </c>
      <c r="D178" s="8" t="s">
        <v>117</v>
      </c>
      <c r="E178" s="8" t="s">
        <v>79</v>
      </c>
      <c r="F178" s="8" t="s">
        <v>120</v>
      </c>
      <c r="G178" s="6">
        <v>43</v>
      </c>
      <c r="H178" s="6">
        <v>5800</v>
      </c>
      <c r="I178" s="6">
        <v>0</v>
      </c>
      <c r="J178" s="6">
        <f t="shared" si="4"/>
        <v>249400</v>
      </c>
      <c r="K178" s="6">
        <f t="shared" si="5"/>
        <v>249400</v>
      </c>
      <c r="L178" s="8" t="s">
        <v>76</v>
      </c>
      <c r="M178" s="8" t="s">
        <v>96</v>
      </c>
    </row>
    <row r="179" spans="1:13" x14ac:dyDescent="0.25">
      <c r="A179" s="9">
        <v>175</v>
      </c>
      <c r="B179" s="10">
        <v>44972</v>
      </c>
      <c r="C179" s="11" t="s">
        <v>88</v>
      </c>
      <c r="D179" s="11" t="s">
        <v>93</v>
      </c>
      <c r="E179" s="11" t="s">
        <v>74</v>
      </c>
      <c r="F179" s="11" t="s">
        <v>142</v>
      </c>
      <c r="G179" s="9">
        <v>44</v>
      </c>
      <c r="H179" s="9">
        <v>13300</v>
      </c>
      <c r="I179" s="9">
        <v>15</v>
      </c>
      <c r="J179" s="9">
        <f t="shared" si="4"/>
        <v>585200</v>
      </c>
      <c r="K179" s="9">
        <f t="shared" si="5"/>
        <v>497420</v>
      </c>
      <c r="L179" s="11" t="s">
        <v>76</v>
      </c>
      <c r="M179" s="11" t="s">
        <v>91</v>
      </c>
    </row>
    <row r="180" spans="1:13" x14ac:dyDescent="0.25">
      <c r="A180" s="6">
        <v>176</v>
      </c>
      <c r="B180" s="7">
        <v>45113</v>
      </c>
      <c r="C180" s="8" t="s">
        <v>108</v>
      </c>
      <c r="D180" s="8" t="s">
        <v>73</v>
      </c>
      <c r="E180" s="8" t="s">
        <v>111</v>
      </c>
      <c r="F180" s="8" t="s">
        <v>192</v>
      </c>
      <c r="G180" s="6">
        <v>3</v>
      </c>
      <c r="H180" s="6">
        <v>92500</v>
      </c>
      <c r="I180" s="6">
        <v>0</v>
      </c>
      <c r="J180" s="6">
        <f t="shared" si="4"/>
        <v>277500</v>
      </c>
      <c r="K180" s="6">
        <f t="shared" si="5"/>
        <v>277500</v>
      </c>
      <c r="L180" s="8" t="s">
        <v>86</v>
      </c>
      <c r="M180" s="8" t="s">
        <v>77</v>
      </c>
    </row>
    <row r="181" spans="1:13" x14ac:dyDescent="0.25">
      <c r="A181" s="9">
        <v>177</v>
      </c>
      <c r="B181" s="10">
        <v>45244</v>
      </c>
      <c r="C181" s="11" t="s">
        <v>82</v>
      </c>
      <c r="D181" s="11" t="s">
        <v>98</v>
      </c>
      <c r="E181" s="11" t="s">
        <v>102</v>
      </c>
      <c r="F181" s="11" t="s">
        <v>197</v>
      </c>
      <c r="G181" s="9">
        <v>49</v>
      </c>
      <c r="H181" s="9">
        <v>3700</v>
      </c>
      <c r="I181" s="9">
        <v>0</v>
      </c>
      <c r="J181" s="9">
        <f t="shared" si="4"/>
        <v>181300</v>
      </c>
      <c r="K181" s="9">
        <f t="shared" si="5"/>
        <v>181300</v>
      </c>
      <c r="L181" s="11" t="s">
        <v>76</v>
      </c>
      <c r="M181" s="11" t="s">
        <v>96</v>
      </c>
    </row>
    <row r="182" spans="1:13" x14ac:dyDescent="0.25">
      <c r="A182" s="6">
        <v>178</v>
      </c>
      <c r="B182" s="8" t="s">
        <v>226</v>
      </c>
      <c r="C182" s="8" t="s">
        <v>88</v>
      </c>
      <c r="D182" s="8" t="s">
        <v>117</v>
      </c>
      <c r="E182" s="8" t="s">
        <v>79</v>
      </c>
      <c r="F182" s="8" t="s">
        <v>120</v>
      </c>
      <c r="G182" s="6">
        <v>26</v>
      </c>
      <c r="H182" s="6" t="s">
        <v>227</v>
      </c>
      <c r="I182" s="6">
        <v>0</v>
      </c>
      <c r="J182" s="6">
        <f t="shared" si="4"/>
        <v>158600</v>
      </c>
      <c r="K182" s="6">
        <f t="shared" si="5"/>
        <v>158600</v>
      </c>
      <c r="L182" s="8" t="s">
        <v>86</v>
      </c>
      <c r="M182" s="8" t="s">
        <v>91</v>
      </c>
    </row>
    <row r="183" spans="1:13" x14ac:dyDescent="0.25">
      <c r="A183" s="9">
        <v>179</v>
      </c>
      <c r="B183" s="10">
        <v>45118</v>
      </c>
      <c r="C183" s="11" t="s">
        <v>119</v>
      </c>
      <c r="D183" s="11" t="s">
        <v>83</v>
      </c>
      <c r="E183" s="11" t="s">
        <v>74</v>
      </c>
      <c r="F183" s="11" t="s">
        <v>190</v>
      </c>
      <c r="G183" s="9">
        <v>47</v>
      </c>
      <c r="H183" s="9">
        <v>35200</v>
      </c>
      <c r="I183" s="9">
        <v>10</v>
      </c>
      <c r="J183" s="9">
        <f t="shared" si="4"/>
        <v>1654400</v>
      </c>
      <c r="K183" s="9">
        <f t="shared" si="5"/>
        <v>1488960</v>
      </c>
      <c r="L183" s="11" t="s">
        <v>76</v>
      </c>
      <c r="M183" s="11" t="s">
        <v>91</v>
      </c>
    </row>
    <row r="184" spans="1:13" x14ac:dyDescent="0.25">
      <c r="A184" s="6">
        <v>180</v>
      </c>
      <c r="B184" s="7">
        <v>45111</v>
      </c>
      <c r="C184" s="8" t="s">
        <v>82</v>
      </c>
      <c r="D184" s="8" t="s">
        <v>117</v>
      </c>
      <c r="E184" s="8" t="s">
        <v>74</v>
      </c>
      <c r="F184" s="8" t="s">
        <v>118</v>
      </c>
      <c r="G184" s="6">
        <v>43</v>
      </c>
      <c r="H184" s="6" t="s">
        <v>228</v>
      </c>
      <c r="I184" s="6">
        <v>10</v>
      </c>
      <c r="J184" s="6" t="e">
        <f t="shared" si="4"/>
        <v>#VALUE!</v>
      </c>
      <c r="K184" s="6" t="e">
        <f t="shared" si="5"/>
        <v>#VALUE!</v>
      </c>
      <c r="L184" s="8" t="s">
        <v>229</v>
      </c>
      <c r="M184" s="8" t="s">
        <v>91</v>
      </c>
    </row>
    <row r="185" spans="1:13" x14ac:dyDescent="0.25">
      <c r="A185" s="9">
        <v>181</v>
      </c>
      <c r="B185" s="11" t="s">
        <v>230</v>
      </c>
      <c r="C185" s="11" t="s">
        <v>108</v>
      </c>
      <c r="D185" s="11" t="s">
        <v>83</v>
      </c>
      <c r="E185" s="11" t="s">
        <v>74</v>
      </c>
      <c r="F185" s="11" t="s">
        <v>99</v>
      </c>
      <c r="G185" s="9">
        <v>23</v>
      </c>
      <c r="H185" s="9">
        <v>3200</v>
      </c>
      <c r="I185" s="9">
        <v>0</v>
      </c>
      <c r="J185" s="9">
        <f t="shared" si="4"/>
        <v>73600</v>
      </c>
      <c r="K185" s="9">
        <f t="shared" si="5"/>
        <v>73600</v>
      </c>
      <c r="L185" s="11" t="s">
        <v>76</v>
      </c>
      <c r="M185" s="11" t="s">
        <v>91</v>
      </c>
    </row>
    <row r="186" spans="1:13" x14ac:dyDescent="0.25">
      <c r="A186" s="6">
        <v>182</v>
      </c>
      <c r="B186" s="7">
        <v>45581</v>
      </c>
      <c r="C186" s="8" t="s">
        <v>78</v>
      </c>
      <c r="D186" s="8" t="s">
        <v>73</v>
      </c>
      <c r="E186" s="8" t="s">
        <v>111</v>
      </c>
      <c r="F186" s="8" t="s">
        <v>132</v>
      </c>
      <c r="G186" s="6">
        <v>48</v>
      </c>
      <c r="H186" s="6">
        <v>7700</v>
      </c>
      <c r="I186" s="6">
        <v>0</v>
      </c>
      <c r="J186" s="6">
        <f t="shared" si="4"/>
        <v>369600</v>
      </c>
      <c r="K186" s="6">
        <f t="shared" si="5"/>
        <v>369600</v>
      </c>
      <c r="L186" s="8" t="s">
        <v>86</v>
      </c>
      <c r="M186" s="8" t="s">
        <v>77</v>
      </c>
    </row>
    <row r="187" spans="1:13" x14ac:dyDescent="0.25">
      <c r="A187" s="9">
        <v>183</v>
      </c>
      <c r="B187" s="11" t="s">
        <v>231</v>
      </c>
      <c r="C187" s="11" t="s">
        <v>119</v>
      </c>
      <c r="D187" s="11" t="s">
        <v>73</v>
      </c>
      <c r="E187" s="11" t="s">
        <v>84</v>
      </c>
      <c r="F187" s="11" t="s">
        <v>150</v>
      </c>
      <c r="G187" s="9">
        <v>42</v>
      </c>
      <c r="H187" s="9">
        <v>5300</v>
      </c>
      <c r="I187" s="9">
        <v>10</v>
      </c>
      <c r="J187" s="9">
        <f t="shared" si="4"/>
        <v>222600</v>
      </c>
      <c r="K187" s="9">
        <f t="shared" si="5"/>
        <v>200340</v>
      </c>
      <c r="L187" s="11" t="s">
        <v>164</v>
      </c>
      <c r="M187" s="11" t="s">
        <v>91</v>
      </c>
    </row>
    <row r="188" spans="1:13" x14ac:dyDescent="0.25">
      <c r="A188" s="6">
        <v>184</v>
      </c>
      <c r="B188" s="8" t="s">
        <v>232</v>
      </c>
      <c r="C188" s="8" t="s">
        <v>124</v>
      </c>
      <c r="D188" s="8" t="s">
        <v>109</v>
      </c>
      <c r="E188" s="8" t="s">
        <v>111</v>
      </c>
      <c r="F188" s="8" t="s">
        <v>132</v>
      </c>
      <c r="G188" s="6">
        <v>49</v>
      </c>
      <c r="H188" s="6">
        <v>7400</v>
      </c>
      <c r="I188" s="6">
        <v>10</v>
      </c>
      <c r="J188" s="6">
        <f t="shared" si="4"/>
        <v>362600</v>
      </c>
      <c r="K188" s="6">
        <f t="shared" si="5"/>
        <v>326340</v>
      </c>
      <c r="L188" s="8" t="s">
        <v>229</v>
      </c>
      <c r="M188" s="8" t="s">
        <v>81</v>
      </c>
    </row>
    <row r="189" spans="1:13" x14ac:dyDescent="0.25">
      <c r="A189" s="9">
        <v>185</v>
      </c>
      <c r="B189" s="10">
        <v>45302</v>
      </c>
      <c r="C189" s="11" t="s">
        <v>114</v>
      </c>
      <c r="D189" s="11" t="s">
        <v>117</v>
      </c>
      <c r="E189" s="11" t="s">
        <v>74</v>
      </c>
      <c r="F189" s="11" t="s">
        <v>75</v>
      </c>
      <c r="G189" s="9">
        <v>2</v>
      </c>
      <c r="H189" s="9">
        <v>25100</v>
      </c>
      <c r="I189" s="9">
        <v>10</v>
      </c>
      <c r="J189" s="9">
        <f t="shared" si="4"/>
        <v>50200</v>
      </c>
      <c r="K189" s="9">
        <f t="shared" si="5"/>
        <v>45180</v>
      </c>
      <c r="L189" s="11" t="s">
        <v>86</v>
      </c>
      <c r="M189" s="11" t="s">
        <v>91</v>
      </c>
    </row>
    <row r="190" spans="1:13" x14ac:dyDescent="0.25">
      <c r="A190" s="6">
        <v>186</v>
      </c>
      <c r="B190" s="7">
        <v>45323</v>
      </c>
      <c r="C190" s="8" t="s">
        <v>82</v>
      </c>
      <c r="D190" s="8" t="s">
        <v>73</v>
      </c>
      <c r="E190" s="8" t="s">
        <v>74</v>
      </c>
      <c r="F190" s="8" t="s">
        <v>190</v>
      </c>
      <c r="G190" s="6">
        <v>14</v>
      </c>
      <c r="H190" s="6">
        <v>34400</v>
      </c>
      <c r="I190" s="6">
        <v>15</v>
      </c>
      <c r="J190" s="6">
        <f t="shared" si="4"/>
        <v>481600</v>
      </c>
      <c r="K190" s="6">
        <f t="shared" si="5"/>
        <v>409360</v>
      </c>
      <c r="L190" s="8" t="s">
        <v>125</v>
      </c>
      <c r="M190" s="8" t="s">
        <v>96</v>
      </c>
    </row>
    <row r="191" spans="1:13" x14ac:dyDescent="0.25">
      <c r="A191" s="9">
        <v>187</v>
      </c>
      <c r="B191" s="11" t="s">
        <v>233</v>
      </c>
      <c r="C191" s="11" t="s">
        <v>106</v>
      </c>
      <c r="D191" s="11" t="s">
        <v>73</v>
      </c>
      <c r="E191" s="11" t="s">
        <v>84</v>
      </c>
      <c r="F191" s="11" t="s">
        <v>150</v>
      </c>
      <c r="G191" s="9">
        <v>46</v>
      </c>
      <c r="H191" s="9">
        <v>5600</v>
      </c>
      <c r="I191" s="9">
        <v>20</v>
      </c>
      <c r="J191" s="9">
        <f t="shared" si="4"/>
        <v>257600</v>
      </c>
      <c r="K191" s="9">
        <f t="shared" si="5"/>
        <v>206080</v>
      </c>
      <c r="L191" s="11" t="s">
        <v>76</v>
      </c>
      <c r="M191" s="11" t="s">
        <v>77</v>
      </c>
    </row>
    <row r="192" spans="1:13" x14ac:dyDescent="0.25">
      <c r="A192" s="6">
        <v>188</v>
      </c>
      <c r="B192" s="8" t="s">
        <v>234</v>
      </c>
      <c r="C192" s="8" t="s">
        <v>235</v>
      </c>
      <c r="D192" s="8"/>
      <c r="E192" s="8" t="s">
        <v>79</v>
      </c>
      <c r="F192" s="8" t="s">
        <v>179</v>
      </c>
      <c r="G192" s="6">
        <v>11</v>
      </c>
      <c r="H192" s="6">
        <v>2800</v>
      </c>
      <c r="I192" s="6">
        <v>20</v>
      </c>
      <c r="J192" s="6">
        <f t="shared" si="4"/>
        <v>30800</v>
      </c>
      <c r="K192" s="6">
        <f t="shared" si="5"/>
        <v>24640</v>
      </c>
      <c r="L192" s="8" t="s">
        <v>86</v>
      </c>
      <c r="M192" s="8" t="s">
        <v>81</v>
      </c>
    </row>
    <row r="193" spans="1:13" x14ac:dyDescent="0.25">
      <c r="A193" s="9">
        <v>189</v>
      </c>
      <c r="B193" s="11" t="s">
        <v>236</v>
      </c>
      <c r="C193" s="11" t="s">
        <v>237</v>
      </c>
      <c r="D193" s="11" t="s">
        <v>109</v>
      </c>
      <c r="E193" s="11" t="s">
        <v>79</v>
      </c>
      <c r="F193" s="11" t="s">
        <v>80</v>
      </c>
      <c r="G193" s="9">
        <v>16</v>
      </c>
      <c r="H193" s="9">
        <v>9300</v>
      </c>
      <c r="I193" s="9">
        <v>0</v>
      </c>
      <c r="J193" s="9">
        <f t="shared" si="4"/>
        <v>148800</v>
      </c>
      <c r="K193" s="9">
        <f t="shared" si="5"/>
        <v>148800</v>
      </c>
      <c r="L193" s="11" t="s">
        <v>86</v>
      </c>
      <c r="M193" s="11" t="s">
        <v>77</v>
      </c>
    </row>
    <row r="194" spans="1:13" x14ac:dyDescent="0.25">
      <c r="A194" s="6">
        <v>190</v>
      </c>
      <c r="B194" s="7">
        <v>45494</v>
      </c>
      <c r="C194" s="8" t="s">
        <v>238</v>
      </c>
      <c r="D194" s="8" t="s">
        <v>117</v>
      </c>
      <c r="E194" s="8" t="s">
        <v>111</v>
      </c>
      <c r="F194" s="8" t="s">
        <v>166</v>
      </c>
      <c r="G194" s="6">
        <v>6</v>
      </c>
      <c r="H194" s="6">
        <v>29500</v>
      </c>
      <c r="I194" s="6">
        <v>15</v>
      </c>
      <c r="J194" s="6">
        <f t="shared" ref="J194:J257" si="6">G194*H194</f>
        <v>177000</v>
      </c>
      <c r="K194" s="6">
        <f t="shared" ref="K194:K257" si="7">J194*(1-I194/100)</f>
        <v>150450</v>
      </c>
      <c r="L194" s="8" t="s">
        <v>164</v>
      </c>
      <c r="M194" s="8" t="s">
        <v>91</v>
      </c>
    </row>
    <row r="195" spans="1:13" x14ac:dyDescent="0.25">
      <c r="A195" s="9">
        <v>191</v>
      </c>
      <c r="B195" s="10">
        <v>45417</v>
      </c>
      <c r="C195" s="11" t="s">
        <v>82</v>
      </c>
      <c r="D195" s="11" t="s">
        <v>83</v>
      </c>
      <c r="E195" s="11" t="s">
        <v>111</v>
      </c>
      <c r="F195" s="11" t="s">
        <v>112</v>
      </c>
      <c r="G195" s="9">
        <v>21</v>
      </c>
      <c r="H195" s="9">
        <v>60500</v>
      </c>
      <c r="I195" s="9">
        <v>5</v>
      </c>
      <c r="J195" s="9">
        <f t="shared" si="6"/>
        <v>1270500</v>
      </c>
      <c r="K195" s="9">
        <f t="shared" si="7"/>
        <v>1206975</v>
      </c>
      <c r="L195" s="11" t="s">
        <v>76</v>
      </c>
      <c r="M195" s="11" t="s">
        <v>91</v>
      </c>
    </row>
    <row r="196" spans="1:13" x14ac:dyDescent="0.25">
      <c r="A196" s="6">
        <v>192</v>
      </c>
      <c r="B196" s="8" t="s">
        <v>239</v>
      </c>
      <c r="C196" s="8" t="s">
        <v>82</v>
      </c>
      <c r="D196" s="8" t="s">
        <v>117</v>
      </c>
      <c r="E196" s="8" t="s">
        <v>84</v>
      </c>
      <c r="F196" s="8" t="s">
        <v>128</v>
      </c>
      <c r="G196" s="6">
        <v>9</v>
      </c>
      <c r="H196" s="6">
        <v>4600</v>
      </c>
      <c r="I196" s="6">
        <v>20</v>
      </c>
      <c r="J196" s="6">
        <f t="shared" si="6"/>
        <v>41400</v>
      </c>
      <c r="K196" s="6">
        <f t="shared" si="7"/>
        <v>33120</v>
      </c>
      <c r="L196" s="8" t="s">
        <v>76</v>
      </c>
      <c r="M196" s="8" t="s">
        <v>77</v>
      </c>
    </row>
    <row r="197" spans="1:13" x14ac:dyDescent="0.25">
      <c r="A197" s="9">
        <v>193</v>
      </c>
      <c r="B197" s="10">
        <v>45054</v>
      </c>
      <c r="C197" s="11" t="s">
        <v>82</v>
      </c>
      <c r="D197" s="11" t="s">
        <v>109</v>
      </c>
      <c r="E197" s="11" t="s">
        <v>74</v>
      </c>
      <c r="F197" s="11" t="s">
        <v>142</v>
      </c>
      <c r="G197" s="9">
        <v>46</v>
      </c>
      <c r="H197" s="9">
        <v>11300</v>
      </c>
      <c r="I197" s="9">
        <v>20</v>
      </c>
      <c r="J197" s="9">
        <f t="shared" si="6"/>
        <v>519800</v>
      </c>
      <c r="K197" s="9">
        <f t="shared" si="7"/>
        <v>415840</v>
      </c>
      <c r="L197" s="11" t="s">
        <v>76</v>
      </c>
      <c r="M197" s="11" t="s">
        <v>96</v>
      </c>
    </row>
    <row r="198" spans="1:13" x14ac:dyDescent="0.25">
      <c r="A198" s="6">
        <v>194</v>
      </c>
      <c r="B198" s="7">
        <v>45007</v>
      </c>
      <c r="C198" s="8" t="s">
        <v>101</v>
      </c>
      <c r="D198" s="8" t="s">
        <v>109</v>
      </c>
      <c r="E198" s="8" t="s">
        <v>102</v>
      </c>
      <c r="F198" s="8" t="s">
        <v>110</v>
      </c>
      <c r="G198" s="6">
        <v>20</v>
      </c>
      <c r="H198" s="6" t="s">
        <v>240</v>
      </c>
      <c r="I198" s="6"/>
      <c r="J198" s="6">
        <f t="shared" si="6"/>
        <v>410000</v>
      </c>
      <c r="K198" s="6">
        <f t="shared" si="7"/>
        <v>410000</v>
      </c>
      <c r="L198" s="8" t="s">
        <v>76</v>
      </c>
      <c r="M198" s="8" t="s">
        <v>77</v>
      </c>
    </row>
    <row r="199" spans="1:13" x14ac:dyDescent="0.25">
      <c r="A199" s="9">
        <v>195</v>
      </c>
      <c r="B199" s="10">
        <v>45583</v>
      </c>
      <c r="C199" s="11" t="s">
        <v>160</v>
      </c>
      <c r="D199" s="11" t="s">
        <v>93</v>
      </c>
      <c r="E199" s="11" t="s">
        <v>102</v>
      </c>
      <c r="F199" s="11" t="s">
        <v>103</v>
      </c>
      <c r="G199" s="9">
        <v>40</v>
      </c>
      <c r="H199" s="9">
        <v>9200</v>
      </c>
      <c r="I199" s="9">
        <v>20</v>
      </c>
      <c r="J199" s="9">
        <f t="shared" si="6"/>
        <v>368000</v>
      </c>
      <c r="K199" s="9">
        <f t="shared" si="7"/>
        <v>294400</v>
      </c>
      <c r="L199" s="11" t="s">
        <v>86</v>
      </c>
      <c r="M199" s="11" t="s">
        <v>96</v>
      </c>
    </row>
    <row r="200" spans="1:13" x14ac:dyDescent="0.25">
      <c r="A200" s="6">
        <v>196</v>
      </c>
      <c r="B200" s="8" t="s">
        <v>241</v>
      </c>
      <c r="C200" s="8" t="s">
        <v>78</v>
      </c>
      <c r="D200" s="8" t="s">
        <v>73</v>
      </c>
      <c r="E200" s="8" t="s">
        <v>79</v>
      </c>
      <c r="F200" s="8" t="s">
        <v>136</v>
      </c>
      <c r="G200" s="6">
        <v>50</v>
      </c>
      <c r="H200" s="6">
        <v>96700</v>
      </c>
      <c r="I200" s="6">
        <v>20</v>
      </c>
      <c r="J200" s="6">
        <f t="shared" si="6"/>
        <v>4835000</v>
      </c>
      <c r="K200" s="6">
        <f t="shared" si="7"/>
        <v>3868000</v>
      </c>
      <c r="L200" s="8" t="s">
        <v>76</v>
      </c>
      <c r="M200" s="8" t="s">
        <v>81</v>
      </c>
    </row>
    <row r="201" spans="1:13" x14ac:dyDescent="0.25">
      <c r="A201" s="9">
        <v>197</v>
      </c>
      <c r="B201" s="10">
        <v>45512</v>
      </c>
      <c r="C201" s="11" t="s">
        <v>114</v>
      </c>
      <c r="D201" s="11" t="s">
        <v>93</v>
      </c>
      <c r="E201" s="11" t="s">
        <v>79</v>
      </c>
      <c r="F201" s="11" t="s">
        <v>172</v>
      </c>
      <c r="G201" s="9">
        <v>35</v>
      </c>
      <c r="H201" s="9">
        <v>28100</v>
      </c>
      <c r="I201" s="9">
        <v>5</v>
      </c>
      <c r="J201" s="9">
        <f t="shared" si="6"/>
        <v>983500</v>
      </c>
      <c r="K201" s="9">
        <f t="shared" si="7"/>
        <v>934325</v>
      </c>
      <c r="L201" s="11" t="s">
        <v>129</v>
      </c>
      <c r="M201" s="11" t="s">
        <v>96</v>
      </c>
    </row>
    <row r="202" spans="1:13" x14ac:dyDescent="0.25">
      <c r="A202" s="6">
        <v>198</v>
      </c>
      <c r="B202" s="7">
        <v>45177</v>
      </c>
      <c r="C202" s="8" t="s">
        <v>223</v>
      </c>
      <c r="D202" s="8"/>
      <c r="E202" s="8" t="s">
        <v>111</v>
      </c>
      <c r="F202" s="8" t="s">
        <v>112</v>
      </c>
      <c r="G202" s="6">
        <v>11</v>
      </c>
      <c r="H202" s="6">
        <v>69700</v>
      </c>
      <c r="I202" s="6">
        <v>5</v>
      </c>
      <c r="J202" s="6">
        <f t="shared" si="6"/>
        <v>766700</v>
      </c>
      <c r="K202" s="6">
        <f t="shared" si="7"/>
        <v>728365</v>
      </c>
      <c r="L202" s="8" t="s">
        <v>76</v>
      </c>
      <c r="M202" s="8" t="s">
        <v>91</v>
      </c>
    </row>
    <row r="203" spans="1:13" x14ac:dyDescent="0.25">
      <c r="A203" s="9">
        <v>199</v>
      </c>
      <c r="B203" s="10">
        <v>45135</v>
      </c>
      <c r="C203" s="11" t="s">
        <v>88</v>
      </c>
      <c r="D203" s="11" t="s">
        <v>93</v>
      </c>
      <c r="E203" s="11" t="s">
        <v>84</v>
      </c>
      <c r="F203" s="11" t="s">
        <v>200</v>
      </c>
      <c r="G203" s="9">
        <v>21</v>
      </c>
      <c r="H203" s="9">
        <v>3600</v>
      </c>
      <c r="I203" s="9">
        <v>5</v>
      </c>
      <c r="J203" s="9">
        <f t="shared" si="6"/>
        <v>75600</v>
      </c>
      <c r="K203" s="9">
        <f t="shared" si="7"/>
        <v>71820</v>
      </c>
      <c r="L203" s="11" t="s">
        <v>86</v>
      </c>
      <c r="M203" s="11" t="s">
        <v>96</v>
      </c>
    </row>
    <row r="204" spans="1:13" x14ac:dyDescent="0.25">
      <c r="A204" s="6">
        <v>200</v>
      </c>
      <c r="B204" s="7">
        <v>45060</v>
      </c>
      <c r="C204" s="8" t="s">
        <v>88</v>
      </c>
      <c r="D204" s="8" t="s">
        <v>93</v>
      </c>
      <c r="E204" s="8" t="s">
        <v>102</v>
      </c>
      <c r="F204" s="8" t="s">
        <v>137</v>
      </c>
      <c r="G204" s="6">
        <v>30</v>
      </c>
      <c r="H204" s="6">
        <v>2200</v>
      </c>
      <c r="I204" s="6">
        <v>0</v>
      </c>
      <c r="J204" s="6">
        <f t="shared" si="6"/>
        <v>66000</v>
      </c>
      <c r="K204" s="6">
        <f t="shared" si="7"/>
        <v>66000</v>
      </c>
      <c r="L204" s="8" t="s">
        <v>76</v>
      </c>
      <c r="M204" s="8" t="s">
        <v>91</v>
      </c>
    </row>
    <row r="205" spans="1:13" x14ac:dyDescent="0.25">
      <c r="A205" s="9">
        <v>201</v>
      </c>
      <c r="B205" s="11" t="s">
        <v>242</v>
      </c>
      <c r="C205" s="11" t="s">
        <v>97</v>
      </c>
      <c r="D205" s="11" t="s">
        <v>195</v>
      </c>
      <c r="E205" s="11" t="s">
        <v>74</v>
      </c>
      <c r="F205" s="11" t="s">
        <v>140</v>
      </c>
      <c r="G205" s="9">
        <v>27</v>
      </c>
      <c r="H205" s="9">
        <v>5000</v>
      </c>
      <c r="I205" s="9">
        <v>20</v>
      </c>
      <c r="J205" s="9">
        <f t="shared" si="6"/>
        <v>135000</v>
      </c>
      <c r="K205" s="9">
        <f t="shared" si="7"/>
        <v>108000</v>
      </c>
      <c r="L205" s="11" t="s">
        <v>76</v>
      </c>
      <c r="M205" s="11" t="s">
        <v>81</v>
      </c>
    </row>
    <row r="206" spans="1:13" x14ac:dyDescent="0.25">
      <c r="A206" s="6">
        <v>202</v>
      </c>
      <c r="B206" s="7">
        <v>45262</v>
      </c>
      <c r="C206" s="8" t="s">
        <v>124</v>
      </c>
      <c r="D206" s="8" t="s">
        <v>117</v>
      </c>
      <c r="E206" s="8" t="s">
        <v>84</v>
      </c>
      <c r="F206" s="8" t="s">
        <v>128</v>
      </c>
      <c r="G206" s="6">
        <v>33</v>
      </c>
      <c r="H206" s="6">
        <v>4300</v>
      </c>
      <c r="I206" s="6">
        <v>5</v>
      </c>
      <c r="J206" s="6">
        <f t="shared" si="6"/>
        <v>141900</v>
      </c>
      <c r="K206" s="6">
        <f t="shared" si="7"/>
        <v>134805</v>
      </c>
      <c r="L206" s="8" t="s">
        <v>76</v>
      </c>
      <c r="M206" s="8" t="s">
        <v>96</v>
      </c>
    </row>
    <row r="207" spans="1:13" x14ac:dyDescent="0.25">
      <c r="A207" s="9">
        <v>203</v>
      </c>
      <c r="B207" s="10">
        <v>44950</v>
      </c>
      <c r="C207" s="11" t="s">
        <v>72</v>
      </c>
      <c r="D207" s="11" t="s">
        <v>83</v>
      </c>
      <c r="E207" s="11" t="s">
        <v>102</v>
      </c>
      <c r="F207" s="11" t="s">
        <v>197</v>
      </c>
      <c r="G207" s="9">
        <v>14</v>
      </c>
      <c r="H207" s="9">
        <v>4300</v>
      </c>
      <c r="I207" s="9">
        <v>0</v>
      </c>
      <c r="J207" s="9">
        <f t="shared" si="6"/>
        <v>60200</v>
      </c>
      <c r="K207" s="9">
        <f t="shared" si="7"/>
        <v>60200</v>
      </c>
      <c r="L207" s="11" t="s">
        <v>76</v>
      </c>
      <c r="M207" s="11" t="s">
        <v>77</v>
      </c>
    </row>
    <row r="208" spans="1:13" x14ac:dyDescent="0.25">
      <c r="A208" s="6">
        <v>204</v>
      </c>
      <c r="B208" s="7">
        <v>45215</v>
      </c>
      <c r="C208" s="8" t="s">
        <v>224</v>
      </c>
      <c r="D208" s="8" t="s">
        <v>93</v>
      </c>
      <c r="E208" s="8" t="s">
        <v>111</v>
      </c>
      <c r="F208" s="8" t="s">
        <v>135</v>
      </c>
      <c r="G208" s="6">
        <v>7</v>
      </c>
      <c r="H208" s="6">
        <v>118900</v>
      </c>
      <c r="I208" s="6">
        <v>15</v>
      </c>
      <c r="J208" s="6">
        <f t="shared" si="6"/>
        <v>832300</v>
      </c>
      <c r="K208" s="6">
        <f t="shared" si="7"/>
        <v>707455</v>
      </c>
      <c r="L208" s="8" t="s">
        <v>229</v>
      </c>
      <c r="M208" s="8" t="s">
        <v>96</v>
      </c>
    </row>
    <row r="209" spans="1:13" x14ac:dyDescent="0.25">
      <c r="A209" s="9">
        <v>205</v>
      </c>
      <c r="B209" s="10">
        <v>45301</v>
      </c>
      <c r="C209" s="11" t="s">
        <v>114</v>
      </c>
      <c r="D209" s="11" t="s">
        <v>117</v>
      </c>
      <c r="E209" s="11" t="s">
        <v>79</v>
      </c>
      <c r="F209" s="11" t="s">
        <v>115</v>
      </c>
      <c r="G209" s="9">
        <v>36</v>
      </c>
      <c r="H209" s="9">
        <v>8200</v>
      </c>
      <c r="I209" s="9">
        <v>0</v>
      </c>
      <c r="J209" s="9">
        <f t="shared" si="6"/>
        <v>295200</v>
      </c>
      <c r="K209" s="9">
        <f t="shared" si="7"/>
        <v>295200</v>
      </c>
      <c r="L209" s="11" t="s">
        <v>76</v>
      </c>
      <c r="M209" s="11" t="s">
        <v>96</v>
      </c>
    </row>
    <row r="210" spans="1:13" x14ac:dyDescent="0.25">
      <c r="A210" s="6">
        <v>206</v>
      </c>
      <c r="B210" s="8" t="s">
        <v>243</v>
      </c>
      <c r="C210" s="8" t="s">
        <v>82</v>
      </c>
      <c r="D210" s="8" t="s">
        <v>83</v>
      </c>
      <c r="E210" s="8" t="s">
        <v>102</v>
      </c>
      <c r="F210" s="8" t="s">
        <v>110</v>
      </c>
      <c r="G210" s="6">
        <v>40</v>
      </c>
      <c r="H210" s="6">
        <v>24300</v>
      </c>
      <c r="I210" s="6">
        <v>0</v>
      </c>
      <c r="J210" s="6">
        <f t="shared" si="6"/>
        <v>972000</v>
      </c>
      <c r="K210" s="6">
        <f t="shared" si="7"/>
        <v>972000</v>
      </c>
      <c r="L210" s="8" t="s">
        <v>86</v>
      </c>
      <c r="M210" s="8" t="s">
        <v>77</v>
      </c>
    </row>
    <row r="211" spans="1:13" x14ac:dyDescent="0.25">
      <c r="A211" s="9">
        <v>207</v>
      </c>
      <c r="B211" s="10">
        <v>45026</v>
      </c>
      <c r="C211" s="11" t="s">
        <v>114</v>
      </c>
      <c r="D211" s="11" t="s">
        <v>117</v>
      </c>
      <c r="E211" s="11" t="s">
        <v>149</v>
      </c>
      <c r="F211" s="11" t="s">
        <v>212</v>
      </c>
      <c r="G211" s="9">
        <v>13</v>
      </c>
      <c r="H211" s="9" t="s">
        <v>244</v>
      </c>
      <c r="I211" s="9">
        <v>10</v>
      </c>
      <c r="J211" s="9">
        <f t="shared" si="6"/>
        <v>113100</v>
      </c>
      <c r="K211" s="9">
        <f t="shared" si="7"/>
        <v>101790</v>
      </c>
      <c r="L211" s="11" t="s">
        <v>76</v>
      </c>
      <c r="M211" s="11" t="s">
        <v>91</v>
      </c>
    </row>
    <row r="212" spans="1:13" x14ac:dyDescent="0.25">
      <c r="A212" s="6">
        <v>208</v>
      </c>
      <c r="B212" s="7">
        <v>44968</v>
      </c>
      <c r="C212" s="8" t="s">
        <v>78</v>
      </c>
      <c r="D212" s="8" t="s">
        <v>73</v>
      </c>
      <c r="E212" s="8" t="s">
        <v>84</v>
      </c>
      <c r="F212" s="8" t="s">
        <v>200</v>
      </c>
      <c r="G212" s="6">
        <v>34</v>
      </c>
      <c r="H212" s="6">
        <v>3500</v>
      </c>
      <c r="I212" s="6">
        <v>0</v>
      </c>
      <c r="J212" s="6">
        <f t="shared" si="6"/>
        <v>119000</v>
      </c>
      <c r="K212" s="6">
        <f t="shared" si="7"/>
        <v>119000</v>
      </c>
      <c r="L212" s="8" t="s">
        <v>76</v>
      </c>
      <c r="M212" s="8" t="s">
        <v>81</v>
      </c>
    </row>
    <row r="213" spans="1:13" x14ac:dyDescent="0.25">
      <c r="A213" s="9">
        <v>209</v>
      </c>
      <c r="B213" s="10">
        <v>45554</v>
      </c>
      <c r="C213" s="11" t="s">
        <v>88</v>
      </c>
      <c r="D213" s="11" t="s">
        <v>109</v>
      </c>
      <c r="E213" s="11" t="s">
        <v>111</v>
      </c>
      <c r="F213" s="11" t="s">
        <v>135</v>
      </c>
      <c r="G213" s="9">
        <v>33</v>
      </c>
      <c r="H213" s="9">
        <v>120600</v>
      </c>
      <c r="I213" s="9">
        <v>15</v>
      </c>
      <c r="J213" s="9">
        <f t="shared" si="6"/>
        <v>3979800</v>
      </c>
      <c r="K213" s="9">
        <f t="shared" si="7"/>
        <v>3382830</v>
      </c>
      <c r="L213" s="11" t="s">
        <v>86</v>
      </c>
      <c r="M213" s="11" t="s">
        <v>91</v>
      </c>
    </row>
    <row r="214" spans="1:13" x14ac:dyDescent="0.25">
      <c r="A214" s="6">
        <v>210</v>
      </c>
      <c r="B214" s="7">
        <v>45503</v>
      </c>
      <c r="C214" s="8" t="s">
        <v>101</v>
      </c>
      <c r="D214" s="8" t="s">
        <v>83</v>
      </c>
      <c r="E214" s="8" t="s">
        <v>79</v>
      </c>
      <c r="F214" s="8" t="s">
        <v>120</v>
      </c>
      <c r="G214" s="6">
        <v>8</v>
      </c>
      <c r="H214" s="6">
        <v>5900</v>
      </c>
      <c r="I214" s="6">
        <v>20</v>
      </c>
      <c r="J214" s="6">
        <f t="shared" si="6"/>
        <v>47200</v>
      </c>
      <c r="K214" s="6">
        <f t="shared" si="7"/>
        <v>37760</v>
      </c>
      <c r="L214" s="8" t="s">
        <v>125</v>
      </c>
      <c r="M214" s="8" t="s">
        <v>96</v>
      </c>
    </row>
    <row r="215" spans="1:13" x14ac:dyDescent="0.25">
      <c r="A215" s="9">
        <v>211</v>
      </c>
      <c r="B215" s="10">
        <v>45631</v>
      </c>
      <c r="C215" s="11" t="s">
        <v>78</v>
      </c>
      <c r="D215" s="11" t="s">
        <v>93</v>
      </c>
      <c r="E215" s="11" t="s">
        <v>111</v>
      </c>
      <c r="F215" s="11" t="s">
        <v>135</v>
      </c>
      <c r="G215" s="9">
        <v>50</v>
      </c>
      <c r="H215" s="9">
        <v>131300</v>
      </c>
      <c r="I215" s="9">
        <v>15</v>
      </c>
      <c r="J215" s="9">
        <f t="shared" si="6"/>
        <v>6565000</v>
      </c>
      <c r="K215" s="9">
        <f t="shared" si="7"/>
        <v>5580250</v>
      </c>
      <c r="L215" s="11" t="s">
        <v>229</v>
      </c>
      <c r="M215" s="11" t="s">
        <v>81</v>
      </c>
    </row>
    <row r="216" spans="1:13" x14ac:dyDescent="0.25">
      <c r="A216" s="6">
        <v>212</v>
      </c>
      <c r="B216" s="7">
        <v>44979</v>
      </c>
      <c r="C216" s="8" t="s">
        <v>124</v>
      </c>
      <c r="D216" s="8" t="s">
        <v>83</v>
      </c>
      <c r="E216" s="8" t="s">
        <v>84</v>
      </c>
      <c r="F216" s="8" t="s">
        <v>148</v>
      </c>
      <c r="G216" s="6">
        <v>44</v>
      </c>
      <c r="H216" s="6" t="s">
        <v>245</v>
      </c>
      <c r="I216" s="6">
        <v>0</v>
      </c>
      <c r="J216" s="6">
        <f t="shared" si="6"/>
        <v>198000</v>
      </c>
      <c r="K216" s="6">
        <f t="shared" si="7"/>
        <v>198000</v>
      </c>
      <c r="L216" s="8" t="s">
        <v>76</v>
      </c>
      <c r="M216" s="8" t="s">
        <v>77</v>
      </c>
    </row>
    <row r="217" spans="1:13" x14ac:dyDescent="0.25">
      <c r="A217" s="9">
        <v>213</v>
      </c>
      <c r="B217" s="10">
        <v>44946</v>
      </c>
      <c r="C217" s="11" t="s">
        <v>119</v>
      </c>
      <c r="D217" s="11" t="s">
        <v>117</v>
      </c>
      <c r="E217" s="11" t="s">
        <v>111</v>
      </c>
      <c r="F217" s="11" t="s">
        <v>166</v>
      </c>
      <c r="G217" s="9">
        <v>14</v>
      </c>
      <c r="H217" s="9">
        <v>28100</v>
      </c>
      <c r="I217" s="9">
        <v>20</v>
      </c>
      <c r="J217" s="9">
        <f t="shared" si="6"/>
        <v>393400</v>
      </c>
      <c r="K217" s="9">
        <f t="shared" si="7"/>
        <v>314720</v>
      </c>
      <c r="L217" s="11" t="s">
        <v>129</v>
      </c>
      <c r="M217" s="11" t="s">
        <v>91</v>
      </c>
    </row>
    <row r="218" spans="1:13" x14ac:dyDescent="0.25">
      <c r="A218" s="6">
        <v>214</v>
      </c>
      <c r="B218" s="7">
        <v>44990</v>
      </c>
      <c r="C218" s="8" t="s">
        <v>108</v>
      </c>
      <c r="D218" s="8" t="s">
        <v>93</v>
      </c>
      <c r="E218" s="8" t="s">
        <v>84</v>
      </c>
      <c r="F218" s="8" t="s">
        <v>200</v>
      </c>
      <c r="G218" s="6">
        <v>31</v>
      </c>
      <c r="H218" s="6">
        <v>3700</v>
      </c>
      <c r="I218" s="6">
        <v>0</v>
      </c>
      <c r="J218" s="6">
        <f t="shared" si="6"/>
        <v>114700</v>
      </c>
      <c r="K218" s="6">
        <f t="shared" si="7"/>
        <v>114700</v>
      </c>
      <c r="L218" s="8" t="s">
        <v>76</v>
      </c>
      <c r="M218" s="8" t="s">
        <v>96</v>
      </c>
    </row>
    <row r="219" spans="1:13" x14ac:dyDescent="0.25">
      <c r="A219" s="9">
        <v>215</v>
      </c>
      <c r="B219" s="10">
        <v>45397</v>
      </c>
      <c r="C219" s="11" t="s">
        <v>246</v>
      </c>
      <c r="D219" s="11" t="s">
        <v>117</v>
      </c>
      <c r="E219" s="11" t="s">
        <v>102</v>
      </c>
      <c r="F219" s="11" t="s">
        <v>157</v>
      </c>
      <c r="G219" s="9">
        <v>47</v>
      </c>
      <c r="H219" s="9">
        <v>12800</v>
      </c>
      <c r="I219" s="9">
        <v>10</v>
      </c>
      <c r="J219" s="9">
        <f t="shared" si="6"/>
        <v>601600</v>
      </c>
      <c r="K219" s="9">
        <f t="shared" si="7"/>
        <v>541440</v>
      </c>
      <c r="L219" s="11" t="s">
        <v>247</v>
      </c>
      <c r="M219" s="11" t="s">
        <v>96</v>
      </c>
    </row>
    <row r="220" spans="1:13" x14ac:dyDescent="0.25">
      <c r="A220" s="6">
        <v>216</v>
      </c>
      <c r="B220" s="8" t="s">
        <v>248</v>
      </c>
      <c r="C220" s="8" t="s">
        <v>106</v>
      </c>
      <c r="D220" s="8" t="s">
        <v>249</v>
      </c>
      <c r="E220" s="8" t="s">
        <v>74</v>
      </c>
      <c r="F220" s="8" t="s">
        <v>190</v>
      </c>
      <c r="G220" s="6">
        <v>20</v>
      </c>
      <c r="H220" s="6">
        <v>30600</v>
      </c>
      <c r="I220" s="6">
        <v>15</v>
      </c>
      <c r="J220" s="6">
        <f t="shared" si="6"/>
        <v>612000</v>
      </c>
      <c r="K220" s="6">
        <f t="shared" si="7"/>
        <v>520200</v>
      </c>
      <c r="L220" s="8" t="s">
        <v>250</v>
      </c>
      <c r="M220" s="8" t="s">
        <v>81</v>
      </c>
    </row>
    <row r="221" spans="1:13" x14ac:dyDescent="0.25">
      <c r="A221" s="9">
        <v>217</v>
      </c>
      <c r="B221" s="10">
        <v>45648</v>
      </c>
      <c r="C221" s="11" t="s">
        <v>119</v>
      </c>
      <c r="D221" s="11" t="s">
        <v>117</v>
      </c>
      <c r="E221" s="11" t="s">
        <v>111</v>
      </c>
      <c r="F221" s="11" t="s">
        <v>132</v>
      </c>
      <c r="G221" s="9">
        <v>47</v>
      </c>
      <c r="H221" s="9">
        <v>7800</v>
      </c>
      <c r="I221" s="9">
        <v>10</v>
      </c>
      <c r="J221" s="9">
        <f t="shared" si="6"/>
        <v>366600</v>
      </c>
      <c r="K221" s="9">
        <f t="shared" si="7"/>
        <v>329940</v>
      </c>
      <c r="L221" s="11" t="s">
        <v>76</v>
      </c>
      <c r="M221" s="11" t="s">
        <v>77</v>
      </c>
    </row>
    <row r="222" spans="1:13" x14ac:dyDescent="0.25">
      <c r="A222" s="6">
        <v>218</v>
      </c>
      <c r="B222" s="7">
        <v>45619</v>
      </c>
      <c r="C222" s="8" t="s">
        <v>82</v>
      </c>
      <c r="D222" s="8" t="s">
        <v>83</v>
      </c>
      <c r="E222" s="8" t="s">
        <v>111</v>
      </c>
      <c r="F222" s="8" t="s">
        <v>132</v>
      </c>
      <c r="G222" s="6">
        <v>10</v>
      </c>
      <c r="H222" s="6">
        <v>8500</v>
      </c>
      <c r="I222" s="6">
        <v>15</v>
      </c>
      <c r="J222" s="6">
        <f t="shared" si="6"/>
        <v>85000</v>
      </c>
      <c r="K222" s="6">
        <f t="shared" si="7"/>
        <v>72250</v>
      </c>
      <c r="L222" s="8" t="s">
        <v>76</v>
      </c>
      <c r="M222" s="8" t="s">
        <v>96</v>
      </c>
    </row>
    <row r="223" spans="1:13" x14ac:dyDescent="0.25">
      <c r="A223" s="9">
        <v>219</v>
      </c>
      <c r="B223" s="10">
        <v>45007</v>
      </c>
      <c r="C223" s="11" t="s">
        <v>88</v>
      </c>
      <c r="D223" s="11" t="s">
        <v>83</v>
      </c>
      <c r="E223" s="11" t="s">
        <v>74</v>
      </c>
      <c r="F223" s="11" t="s">
        <v>99</v>
      </c>
      <c r="G223" s="9">
        <v>35</v>
      </c>
      <c r="H223" s="9">
        <v>3300</v>
      </c>
      <c r="I223" s="9">
        <v>0</v>
      </c>
      <c r="J223" s="9">
        <f t="shared" si="6"/>
        <v>115500</v>
      </c>
      <c r="K223" s="9">
        <f t="shared" si="7"/>
        <v>115500</v>
      </c>
      <c r="L223" s="11" t="s">
        <v>76</v>
      </c>
      <c r="M223" s="11" t="s">
        <v>96</v>
      </c>
    </row>
    <row r="224" spans="1:13" x14ac:dyDescent="0.25">
      <c r="A224" s="6">
        <v>220</v>
      </c>
      <c r="B224" s="7">
        <v>45038</v>
      </c>
      <c r="C224" s="8" t="s">
        <v>124</v>
      </c>
      <c r="D224" s="8" t="s">
        <v>93</v>
      </c>
      <c r="E224" s="8" t="s">
        <v>84</v>
      </c>
      <c r="F224" s="8" t="s">
        <v>90</v>
      </c>
      <c r="G224" s="6">
        <v>34</v>
      </c>
      <c r="H224" s="6">
        <v>1600</v>
      </c>
      <c r="I224" s="6">
        <v>0</v>
      </c>
      <c r="J224" s="6">
        <f t="shared" si="6"/>
        <v>54400</v>
      </c>
      <c r="K224" s="6">
        <f t="shared" si="7"/>
        <v>54400</v>
      </c>
      <c r="L224" s="8" t="s">
        <v>76</v>
      </c>
      <c r="M224" s="8"/>
    </row>
    <row r="225" spans="1:13" x14ac:dyDescent="0.25">
      <c r="A225" s="9">
        <v>221</v>
      </c>
      <c r="B225" s="10">
        <v>45029</v>
      </c>
      <c r="C225" s="11" t="s">
        <v>114</v>
      </c>
      <c r="D225" s="11" t="s">
        <v>117</v>
      </c>
      <c r="E225" s="11" t="s">
        <v>111</v>
      </c>
      <c r="F225" s="11" t="s">
        <v>112</v>
      </c>
      <c r="G225" s="9">
        <v>9</v>
      </c>
      <c r="H225" s="9">
        <v>69600</v>
      </c>
      <c r="I225" s="9">
        <v>5</v>
      </c>
      <c r="J225" s="9">
        <f t="shared" si="6"/>
        <v>626400</v>
      </c>
      <c r="K225" s="9">
        <f t="shared" si="7"/>
        <v>595080</v>
      </c>
      <c r="L225" s="11" t="s">
        <v>76</v>
      </c>
      <c r="M225" s="11" t="s">
        <v>81</v>
      </c>
    </row>
    <row r="226" spans="1:13" x14ac:dyDescent="0.25">
      <c r="A226" s="6">
        <v>222</v>
      </c>
      <c r="B226" s="7">
        <v>45595</v>
      </c>
      <c r="C226" s="8" t="s">
        <v>119</v>
      </c>
      <c r="D226" s="8" t="s">
        <v>83</v>
      </c>
      <c r="E226" s="8" t="s">
        <v>84</v>
      </c>
      <c r="F226" s="8" t="s">
        <v>134</v>
      </c>
      <c r="G226" s="6">
        <v>42</v>
      </c>
      <c r="H226" s="6">
        <v>9400</v>
      </c>
      <c r="I226" s="6">
        <v>15</v>
      </c>
      <c r="J226" s="6">
        <f t="shared" si="6"/>
        <v>394800</v>
      </c>
      <c r="K226" s="6">
        <f t="shared" si="7"/>
        <v>335580</v>
      </c>
      <c r="L226" s="8" t="s">
        <v>76</v>
      </c>
      <c r="M226" s="8" t="s">
        <v>77</v>
      </c>
    </row>
    <row r="227" spans="1:13" x14ac:dyDescent="0.25">
      <c r="A227" s="9">
        <v>223</v>
      </c>
      <c r="B227" s="10">
        <v>45514</v>
      </c>
      <c r="C227" s="11" t="s">
        <v>251</v>
      </c>
      <c r="D227" s="11" t="s">
        <v>93</v>
      </c>
      <c r="E227" s="11" t="s">
        <v>79</v>
      </c>
      <c r="F227" s="11" t="s">
        <v>122</v>
      </c>
      <c r="G227" s="9">
        <v>12</v>
      </c>
      <c r="H227" s="9">
        <v>18100</v>
      </c>
      <c r="I227" s="9">
        <v>20</v>
      </c>
      <c r="J227" s="9">
        <f t="shared" si="6"/>
        <v>217200</v>
      </c>
      <c r="K227" s="9">
        <f t="shared" si="7"/>
        <v>173760</v>
      </c>
      <c r="L227" s="11" t="s">
        <v>125</v>
      </c>
      <c r="M227" s="11" t="s">
        <v>77</v>
      </c>
    </row>
    <row r="228" spans="1:13" x14ac:dyDescent="0.25">
      <c r="A228" s="6">
        <v>224</v>
      </c>
      <c r="B228" s="8" t="s">
        <v>252</v>
      </c>
      <c r="C228" s="8" t="s">
        <v>119</v>
      </c>
      <c r="D228" s="8" t="s">
        <v>109</v>
      </c>
      <c r="E228" s="8" t="s">
        <v>74</v>
      </c>
      <c r="F228" s="8" t="s">
        <v>94</v>
      </c>
      <c r="G228" s="6">
        <v>37</v>
      </c>
      <c r="H228" s="6">
        <v>31600</v>
      </c>
      <c r="I228" s="6">
        <v>0</v>
      </c>
      <c r="J228" s="6">
        <f t="shared" si="6"/>
        <v>1169200</v>
      </c>
      <c r="K228" s="6">
        <f t="shared" si="7"/>
        <v>1169200</v>
      </c>
      <c r="L228" s="8" t="s">
        <v>76</v>
      </c>
      <c r="M228" s="8" t="s">
        <v>96</v>
      </c>
    </row>
    <row r="229" spans="1:13" x14ac:dyDescent="0.25">
      <c r="A229" s="9">
        <v>225</v>
      </c>
      <c r="B229" s="10">
        <v>45392</v>
      </c>
      <c r="C229" s="11" t="s">
        <v>82</v>
      </c>
      <c r="D229" s="11" t="s">
        <v>93</v>
      </c>
      <c r="E229" s="11" t="s">
        <v>111</v>
      </c>
      <c r="F229" s="11" t="s">
        <v>166</v>
      </c>
      <c r="G229" s="9">
        <v>30</v>
      </c>
      <c r="H229" s="9">
        <v>31200</v>
      </c>
      <c r="I229" s="9">
        <v>0</v>
      </c>
      <c r="J229" s="9">
        <f t="shared" si="6"/>
        <v>936000</v>
      </c>
      <c r="K229" s="9">
        <f t="shared" si="7"/>
        <v>936000</v>
      </c>
      <c r="L229" s="11" t="s">
        <v>76</v>
      </c>
      <c r="M229" s="11" t="s">
        <v>77</v>
      </c>
    </row>
    <row r="230" spans="1:13" x14ac:dyDescent="0.25">
      <c r="A230" s="6">
        <v>226</v>
      </c>
      <c r="B230" s="7">
        <v>45093</v>
      </c>
      <c r="C230" s="8" t="s">
        <v>119</v>
      </c>
      <c r="D230" s="8" t="s">
        <v>117</v>
      </c>
      <c r="E230" s="8" t="s">
        <v>84</v>
      </c>
      <c r="F230" s="8" t="s">
        <v>206</v>
      </c>
      <c r="G230" s="6">
        <v>19</v>
      </c>
      <c r="H230" s="6">
        <v>15200</v>
      </c>
      <c r="I230" s="6">
        <v>0</v>
      </c>
      <c r="J230" s="6">
        <f t="shared" si="6"/>
        <v>288800</v>
      </c>
      <c r="K230" s="6">
        <f t="shared" si="7"/>
        <v>288800</v>
      </c>
      <c r="L230" s="8" t="s">
        <v>76</v>
      </c>
      <c r="M230" s="8" t="s">
        <v>81</v>
      </c>
    </row>
    <row r="231" spans="1:13" x14ac:dyDescent="0.25">
      <c r="A231" s="9">
        <v>227</v>
      </c>
      <c r="B231" s="10">
        <v>45552</v>
      </c>
      <c r="C231" s="11" t="s">
        <v>114</v>
      </c>
      <c r="D231" s="11" t="s">
        <v>83</v>
      </c>
      <c r="E231" s="11" t="s">
        <v>102</v>
      </c>
      <c r="F231" s="11" t="s">
        <v>157</v>
      </c>
      <c r="G231" s="9">
        <v>43</v>
      </c>
      <c r="H231" s="9">
        <v>11100</v>
      </c>
      <c r="I231" s="9">
        <v>5</v>
      </c>
      <c r="J231" s="9">
        <f t="shared" si="6"/>
        <v>477300</v>
      </c>
      <c r="K231" s="9">
        <f t="shared" si="7"/>
        <v>453435</v>
      </c>
      <c r="L231" s="11" t="s">
        <v>76</v>
      </c>
      <c r="M231" s="11"/>
    </row>
    <row r="232" spans="1:13" x14ac:dyDescent="0.25">
      <c r="A232" s="6">
        <v>228</v>
      </c>
      <c r="B232" s="7">
        <v>45258</v>
      </c>
      <c r="C232" s="8" t="s">
        <v>106</v>
      </c>
      <c r="D232" s="8" t="s">
        <v>73</v>
      </c>
      <c r="E232" s="8" t="s">
        <v>74</v>
      </c>
      <c r="F232" s="8" t="s">
        <v>140</v>
      </c>
      <c r="G232" s="6">
        <v>49</v>
      </c>
      <c r="H232" s="6" t="s">
        <v>253</v>
      </c>
      <c r="I232" s="6">
        <v>0</v>
      </c>
      <c r="J232" s="6">
        <f t="shared" si="6"/>
        <v>210700</v>
      </c>
      <c r="K232" s="6">
        <f t="shared" si="7"/>
        <v>210700</v>
      </c>
      <c r="L232" s="8" t="s">
        <v>174</v>
      </c>
      <c r="M232" s="8" t="s">
        <v>96</v>
      </c>
    </row>
    <row r="233" spans="1:13" x14ac:dyDescent="0.25">
      <c r="A233" s="9">
        <v>229</v>
      </c>
      <c r="B233" s="10">
        <v>45523</v>
      </c>
      <c r="C233" s="11" t="s">
        <v>124</v>
      </c>
      <c r="D233" s="11" t="s">
        <v>73</v>
      </c>
      <c r="E233" s="11" t="s">
        <v>74</v>
      </c>
      <c r="F233" s="11" t="s">
        <v>212</v>
      </c>
      <c r="G233" s="9">
        <v>4</v>
      </c>
      <c r="H233" s="9" t="s">
        <v>254</v>
      </c>
      <c r="I233" s="9">
        <v>0</v>
      </c>
      <c r="J233" s="9" t="e">
        <f t="shared" si="6"/>
        <v>#VALUE!</v>
      </c>
      <c r="K233" s="9" t="e">
        <f t="shared" si="7"/>
        <v>#VALUE!</v>
      </c>
      <c r="L233" s="11" t="s">
        <v>86</v>
      </c>
      <c r="M233" s="11" t="s">
        <v>91</v>
      </c>
    </row>
    <row r="234" spans="1:13" x14ac:dyDescent="0.25">
      <c r="A234" s="6">
        <v>230</v>
      </c>
      <c r="B234" s="7">
        <v>45090</v>
      </c>
      <c r="C234" s="8" t="s">
        <v>114</v>
      </c>
      <c r="D234" s="8" t="s">
        <v>93</v>
      </c>
      <c r="E234" s="8" t="s">
        <v>255</v>
      </c>
      <c r="F234" s="8" t="s">
        <v>118</v>
      </c>
      <c r="G234" s="6">
        <v>19</v>
      </c>
      <c r="H234" s="6">
        <v>29700</v>
      </c>
      <c r="I234" s="6">
        <v>0</v>
      </c>
      <c r="J234" s="6">
        <f t="shared" si="6"/>
        <v>564300</v>
      </c>
      <c r="K234" s="6">
        <f t="shared" si="7"/>
        <v>564300</v>
      </c>
      <c r="L234" s="8" t="s">
        <v>76</v>
      </c>
      <c r="M234" s="8" t="s">
        <v>81</v>
      </c>
    </row>
    <row r="235" spans="1:13" x14ac:dyDescent="0.25">
      <c r="A235" s="9">
        <v>231</v>
      </c>
      <c r="B235" s="10">
        <v>45063</v>
      </c>
      <c r="C235" s="11" t="s">
        <v>119</v>
      </c>
      <c r="D235" s="11" t="s">
        <v>109</v>
      </c>
      <c r="E235" s="11" t="s">
        <v>111</v>
      </c>
      <c r="F235" s="11" t="s">
        <v>132</v>
      </c>
      <c r="G235" s="9">
        <v>36</v>
      </c>
      <c r="H235" s="9">
        <v>7500</v>
      </c>
      <c r="I235" s="9">
        <v>20</v>
      </c>
      <c r="J235" s="9">
        <f t="shared" si="6"/>
        <v>270000</v>
      </c>
      <c r="K235" s="9">
        <f t="shared" si="7"/>
        <v>216000</v>
      </c>
      <c r="L235" s="11" t="s">
        <v>107</v>
      </c>
      <c r="M235" s="11" t="s">
        <v>81</v>
      </c>
    </row>
    <row r="236" spans="1:13" x14ac:dyDescent="0.25">
      <c r="A236" s="6">
        <v>232</v>
      </c>
      <c r="B236" s="7">
        <v>45180</v>
      </c>
      <c r="C236" s="8" t="s">
        <v>124</v>
      </c>
      <c r="D236" s="8" t="s">
        <v>73</v>
      </c>
      <c r="E236" s="8" t="s">
        <v>102</v>
      </c>
      <c r="F236" s="8" t="s">
        <v>197</v>
      </c>
      <c r="G236" s="6">
        <v>24</v>
      </c>
      <c r="H236" s="6">
        <v>3900</v>
      </c>
      <c r="I236" s="6">
        <v>0</v>
      </c>
      <c r="J236" s="6">
        <f t="shared" si="6"/>
        <v>93600</v>
      </c>
      <c r="K236" s="6">
        <f t="shared" si="7"/>
        <v>93600</v>
      </c>
      <c r="L236" s="8" t="s">
        <v>76</v>
      </c>
      <c r="M236" s="8" t="s">
        <v>77</v>
      </c>
    </row>
    <row r="237" spans="1:13" x14ac:dyDescent="0.25">
      <c r="A237" s="9">
        <v>233</v>
      </c>
      <c r="B237" s="10">
        <v>45487</v>
      </c>
      <c r="C237" s="11" t="s">
        <v>82</v>
      </c>
      <c r="D237" s="11" t="s">
        <v>109</v>
      </c>
      <c r="E237" s="11" t="s">
        <v>102</v>
      </c>
      <c r="F237" s="11" t="s">
        <v>103</v>
      </c>
      <c r="G237" s="9">
        <v>34</v>
      </c>
      <c r="H237" s="9">
        <v>9200</v>
      </c>
      <c r="I237" s="9">
        <v>15</v>
      </c>
      <c r="J237" s="9">
        <f t="shared" si="6"/>
        <v>312800</v>
      </c>
      <c r="K237" s="9">
        <f t="shared" si="7"/>
        <v>265880</v>
      </c>
      <c r="L237" s="11" t="s">
        <v>76</v>
      </c>
      <c r="M237" s="11" t="s">
        <v>81</v>
      </c>
    </row>
    <row r="238" spans="1:13" x14ac:dyDescent="0.25">
      <c r="A238" s="6">
        <v>234</v>
      </c>
      <c r="B238" s="7">
        <v>45524</v>
      </c>
      <c r="C238" s="8" t="s">
        <v>119</v>
      </c>
      <c r="D238" s="8" t="s">
        <v>73</v>
      </c>
      <c r="E238" s="8" t="s">
        <v>102</v>
      </c>
      <c r="F238" s="8" t="s">
        <v>197</v>
      </c>
      <c r="G238" s="6">
        <v>30</v>
      </c>
      <c r="H238" s="6">
        <v>4200</v>
      </c>
      <c r="I238" s="6">
        <v>5</v>
      </c>
      <c r="J238" s="6">
        <f t="shared" si="6"/>
        <v>126000</v>
      </c>
      <c r="K238" s="6">
        <f t="shared" si="7"/>
        <v>119700</v>
      </c>
      <c r="L238" s="8" t="s">
        <v>76</v>
      </c>
      <c r="M238" s="8" t="s">
        <v>91</v>
      </c>
    </row>
    <row r="239" spans="1:13" x14ac:dyDescent="0.25">
      <c r="A239" s="9">
        <v>235</v>
      </c>
      <c r="B239" s="10">
        <v>45504</v>
      </c>
      <c r="C239" s="11" t="s">
        <v>199</v>
      </c>
      <c r="D239" s="11" t="s">
        <v>93</v>
      </c>
      <c r="E239" s="11" t="s">
        <v>111</v>
      </c>
      <c r="F239" s="11" t="s">
        <v>135</v>
      </c>
      <c r="G239" s="9">
        <v>26</v>
      </c>
      <c r="H239" s="9">
        <v>124300</v>
      </c>
      <c r="I239" s="9">
        <v>15</v>
      </c>
      <c r="J239" s="9">
        <f t="shared" si="6"/>
        <v>3231800</v>
      </c>
      <c r="K239" s="9">
        <f t="shared" si="7"/>
        <v>2747030</v>
      </c>
      <c r="L239" s="11" t="s">
        <v>76</v>
      </c>
      <c r="M239" s="11" t="s">
        <v>77</v>
      </c>
    </row>
    <row r="240" spans="1:13" x14ac:dyDescent="0.25">
      <c r="A240" s="6">
        <v>236</v>
      </c>
      <c r="B240" s="7">
        <v>45150</v>
      </c>
      <c r="C240" s="8" t="s">
        <v>124</v>
      </c>
      <c r="D240" s="8" t="s">
        <v>73</v>
      </c>
      <c r="E240" s="8" t="s">
        <v>79</v>
      </c>
      <c r="F240" s="8" t="s">
        <v>115</v>
      </c>
      <c r="G240" s="6">
        <v>5</v>
      </c>
      <c r="H240" s="6">
        <v>8900</v>
      </c>
      <c r="I240" s="6">
        <v>0</v>
      </c>
      <c r="J240" s="6">
        <f t="shared" si="6"/>
        <v>44500</v>
      </c>
      <c r="K240" s="6">
        <f t="shared" si="7"/>
        <v>44500</v>
      </c>
      <c r="L240" s="8" t="s">
        <v>76</v>
      </c>
      <c r="M240" s="8" t="s">
        <v>77</v>
      </c>
    </row>
    <row r="241" spans="1:13" x14ac:dyDescent="0.25">
      <c r="A241" s="9">
        <v>237</v>
      </c>
      <c r="B241" s="10">
        <v>45410</v>
      </c>
      <c r="C241" s="11" t="s">
        <v>256</v>
      </c>
      <c r="D241" s="11"/>
      <c r="E241" s="11" t="s">
        <v>111</v>
      </c>
      <c r="F241" s="11" t="s">
        <v>166</v>
      </c>
      <c r="G241" s="9">
        <v>50</v>
      </c>
      <c r="H241" s="9">
        <v>30600</v>
      </c>
      <c r="I241" s="9">
        <v>0</v>
      </c>
      <c r="J241" s="9">
        <f t="shared" si="6"/>
        <v>1530000</v>
      </c>
      <c r="K241" s="9">
        <f t="shared" si="7"/>
        <v>1530000</v>
      </c>
      <c r="L241" s="11" t="s">
        <v>76</v>
      </c>
      <c r="M241" s="11" t="s">
        <v>91</v>
      </c>
    </row>
    <row r="242" spans="1:13" x14ac:dyDescent="0.25">
      <c r="A242" s="6">
        <v>238</v>
      </c>
      <c r="B242" s="7">
        <v>45318</v>
      </c>
      <c r="C242" s="8" t="s">
        <v>119</v>
      </c>
      <c r="D242" s="8" t="s">
        <v>83</v>
      </c>
      <c r="E242" s="8" t="s">
        <v>111</v>
      </c>
      <c r="F242" s="8" t="s">
        <v>112</v>
      </c>
      <c r="G242" s="6">
        <v>43</v>
      </c>
      <c r="H242" s="6">
        <v>69600</v>
      </c>
      <c r="I242" s="6">
        <v>15</v>
      </c>
      <c r="J242" s="6">
        <f t="shared" si="6"/>
        <v>2992800</v>
      </c>
      <c r="K242" s="6">
        <f t="shared" si="7"/>
        <v>2543880</v>
      </c>
      <c r="L242" s="8" t="s">
        <v>107</v>
      </c>
      <c r="M242" s="8" t="s">
        <v>81</v>
      </c>
    </row>
    <row r="243" spans="1:13" x14ac:dyDescent="0.25">
      <c r="A243" s="9">
        <v>239</v>
      </c>
      <c r="B243" s="10">
        <v>45283</v>
      </c>
      <c r="C243" s="11" t="s">
        <v>97</v>
      </c>
      <c r="D243" s="11" t="s">
        <v>109</v>
      </c>
      <c r="E243" s="11" t="s">
        <v>102</v>
      </c>
      <c r="F243" s="11" t="s">
        <v>151</v>
      </c>
      <c r="G243" s="9">
        <v>47</v>
      </c>
      <c r="H243" s="9">
        <v>7700</v>
      </c>
      <c r="I243" s="9">
        <v>20</v>
      </c>
      <c r="J243" s="9">
        <f t="shared" si="6"/>
        <v>361900</v>
      </c>
      <c r="K243" s="9">
        <f t="shared" si="7"/>
        <v>289520</v>
      </c>
      <c r="L243" s="11" t="s">
        <v>125</v>
      </c>
      <c r="M243" s="11" t="s">
        <v>77</v>
      </c>
    </row>
    <row r="244" spans="1:13" x14ac:dyDescent="0.25">
      <c r="A244" s="6">
        <v>240</v>
      </c>
      <c r="B244" s="7">
        <v>44950</v>
      </c>
      <c r="C244" s="8" t="s">
        <v>101</v>
      </c>
      <c r="D244" s="8" t="s">
        <v>83</v>
      </c>
      <c r="E244" s="8" t="s">
        <v>102</v>
      </c>
      <c r="F244" s="8" t="s">
        <v>151</v>
      </c>
      <c r="G244" s="6">
        <v>15</v>
      </c>
      <c r="H244" s="6">
        <v>7700</v>
      </c>
      <c r="I244" s="6">
        <v>0</v>
      </c>
      <c r="J244" s="6">
        <f t="shared" si="6"/>
        <v>115500</v>
      </c>
      <c r="K244" s="6">
        <f t="shared" si="7"/>
        <v>115500</v>
      </c>
      <c r="L244" s="8" t="s">
        <v>76</v>
      </c>
      <c r="M244" s="8" t="s">
        <v>96</v>
      </c>
    </row>
    <row r="245" spans="1:13" x14ac:dyDescent="0.25">
      <c r="A245" s="9">
        <v>241</v>
      </c>
      <c r="B245" s="11" t="s">
        <v>257</v>
      </c>
      <c r="C245" s="11" t="s">
        <v>106</v>
      </c>
      <c r="D245" s="11" t="s">
        <v>73</v>
      </c>
      <c r="E245" s="11" t="s">
        <v>79</v>
      </c>
      <c r="F245" s="11" t="s">
        <v>115</v>
      </c>
      <c r="G245" s="9">
        <v>2</v>
      </c>
      <c r="H245" s="9" t="s">
        <v>258</v>
      </c>
      <c r="I245" s="9">
        <v>0</v>
      </c>
      <c r="J245" s="9" t="e">
        <f t="shared" si="6"/>
        <v>#VALUE!</v>
      </c>
      <c r="K245" s="9" t="e">
        <f t="shared" si="7"/>
        <v>#VALUE!</v>
      </c>
      <c r="L245" s="11" t="s">
        <v>76</v>
      </c>
      <c r="M245" s="11" t="s">
        <v>77</v>
      </c>
    </row>
    <row r="246" spans="1:13" x14ac:dyDescent="0.25">
      <c r="A246" s="6">
        <v>242</v>
      </c>
      <c r="B246" s="7">
        <v>45535</v>
      </c>
      <c r="C246" s="8" t="s">
        <v>78</v>
      </c>
      <c r="D246" s="8" t="s">
        <v>83</v>
      </c>
      <c r="E246" s="8" t="s">
        <v>102</v>
      </c>
      <c r="F246" s="8" t="s">
        <v>138</v>
      </c>
      <c r="G246" s="6">
        <v>3</v>
      </c>
      <c r="H246" s="6" t="s">
        <v>259</v>
      </c>
      <c r="I246" s="6">
        <v>10</v>
      </c>
      <c r="J246" s="6">
        <f t="shared" si="6"/>
        <v>18600</v>
      </c>
      <c r="K246" s="6">
        <f t="shared" si="7"/>
        <v>16740</v>
      </c>
      <c r="L246" s="8" t="s">
        <v>76</v>
      </c>
      <c r="M246" s="8" t="s">
        <v>81</v>
      </c>
    </row>
    <row r="247" spans="1:13" x14ac:dyDescent="0.25">
      <c r="A247" s="9">
        <v>243</v>
      </c>
      <c r="B247" s="10">
        <v>45149</v>
      </c>
      <c r="C247" s="11" t="s">
        <v>260</v>
      </c>
      <c r="D247" s="11" t="s">
        <v>109</v>
      </c>
      <c r="E247" s="11" t="s">
        <v>102</v>
      </c>
      <c r="F247" s="11" t="s">
        <v>110</v>
      </c>
      <c r="G247" s="9">
        <v>47</v>
      </c>
      <c r="H247" s="9">
        <v>21100</v>
      </c>
      <c r="I247" s="9">
        <v>0</v>
      </c>
      <c r="J247" s="9">
        <f t="shared" si="6"/>
        <v>991700</v>
      </c>
      <c r="K247" s="9">
        <f t="shared" si="7"/>
        <v>991700</v>
      </c>
      <c r="L247" s="11" t="s">
        <v>76</v>
      </c>
      <c r="M247" s="11" t="s">
        <v>96</v>
      </c>
    </row>
    <row r="248" spans="1:13" x14ac:dyDescent="0.25">
      <c r="A248" s="6">
        <v>244</v>
      </c>
      <c r="B248" s="7">
        <v>45236</v>
      </c>
      <c r="C248" s="8" t="s">
        <v>108</v>
      </c>
      <c r="D248" s="8" t="s">
        <v>261</v>
      </c>
      <c r="E248" s="8" t="s">
        <v>84</v>
      </c>
      <c r="F248" s="8" t="s">
        <v>148</v>
      </c>
      <c r="G248" s="6">
        <v>4</v>
      </c>
      <c r="H248" s="6">
        <v>4700</v>
      </c>
      <c r="I248" s="6">
        <v>15</v>
      </c>
      <c r="J248" s="6">
        <f t="shared" si="6"/>
        <v>18800</v>
      </c>
      <c r="K248" s="6">
        <f t="shared" si="7"/>
        <v>15980</v>
      </c>
      <c r="L248" s="8" t="s">
        <v>76</v>
      </c>
      <c r="M248" s="8" t="s">
        <v>81</v>
      </c>
    </row>
    <row r="249" spans="1:13" x14ac:dyDescent="0.25">
      <c r="A249" s="9">
        <v>245</v>
      </c>
      <c r="B249" s="10">
        <v>45622</v>
      </c>
      <c r="C249" s="11" t="s">
        <v>114</v>
      </c>
      <c r="D249" s="11" t="s">
        <v>93</v>
      </c>
      <c r="E249" s="11" t="s">
        <v>111</v>
      </c>
      <c r="F249" s="11" t="s">
        <v>192</v>
      </c>
      <c r="G249" s="9">
        <v>42</v>
      </c>
      <c r="H249" s="9">
        <v>108600</v>
      </c>
      <c r="I249" s="9">
        <v>15</v>
      </c>
      <c r="J249" s="9">
        <f t="shared" si="6"/>
        <v>4561200</v>
      </c>
      <c r="K249" s="9">
        <f t="shared" si="7"/>
        <v>3877020</v>
      </c>
      <c r="L249" s="11" t="s">
        <v>86</v>
      </c>
      <c r="M249" s="11" t="s">
        <v>96</v>
      </c>
    </row>
    <row r="250" spans="1:13" x14ac:dyDescent="0.25">
      <c r="A250" s="6">
        <v>246</v>
      </c>
      <c r="B250" s="7">
        <v>45353</v>
      </c>
      <c r="C250" s="8" t="s">
        <v>114</v>
      </c>
      <c r="D250" s="8" t="s">
        <v>109</v>
      </c>
      <c r="E250" s="8" t="s">
        <v>74</v>
      </c>
      <c r="F250" s="8" t="s">
        <v>140</v>
      </c>
      <c r="G250" s="6">
        <v>35</v>
      </c>
      <c r="H250" s="6">
        <v>4300</v>
      </c>
      <c r="I250" s="6">
        <v>0</v>
      </c>
      <c r="J250" s="6">
        <f t="shared" si="6"/>
        <v>150500</v>
      </c>
      <c r="K250" s="6">
        <f t="shared" si="7"/>
        <v>150500</v>
      </c>
      <c r="L250" s="8" t="s">
        <v>76</v>
      </c>
      <c r="M250" s="8" t="s">
        <v>81</v>
      </c>
    </row>
    <row r="251" spans="1:13" x14ac:dyDescent="0.25">
      <c r="A251" s="9">
        <v>247</v>
      </c>
      <c r="B251" s="10">
        <v>45651</v>
      </c>
      <c r="C251" s="11" t="s">
        <v>108</v>
      </c>
      <c r="D251" s="11" t="s">
        <v>83</v>
      </c>
      <c r="E251" s="11" t="s">
        <v>79</v>
      </c>
      <c r="F251" s="11" t="s">
        <v>115</v>
      </c>
      <c r="G251" s="9">
        <v>36</v>
      </c>
      <c r="H251" s="9">
        <v>10300</v>
      </c>
      <c r="I251" s="9">
        <v>0</v>
      </c>
      <c r="J251" s="9">
        <f t="shared" si="6"/>
        <v>370800</v>
      </c>
      <c r="K251" s="9">
        <f t="shared" si="7"/>
        <v>370800</v>
      </c>
      <c r="L251" s="11" t="s">
        <v>76</v>
      </c>
      <c r="M251" s="11" t="s">
        <v>91</v>
      </c>
    </row>
    <row r="252" spans="1:13" x14ac:dyDescent="0.25">
      <c r="A252" s="6">
        <v>248</v>
      </c>
      <c r="B252" s="7">
        <v>45188</v>
      </c>
      <c r="C252" s="8" t="s">
        <v>106</v>
      </c>
      <c r="D252" s="8" t="s">
        <v>117</v>
      </c>
      <c r="E252" s="8" t="s">
        <v>79</v>
      </c>
      <c r="F252" s="8" t="s">
        <v>172</v>
      </c>
      <c r="G252" s="6">
        <v>6</v>
      </c>
      <c r="H252" s="6">
        <v>27800</v>
      </c>
      <c r="I252" s="6">
        <v>0</v>
      </c>
      <c r="J252" s="6">
        <f t="shared" si="6"/>
        <v>166800</v>
      </c>
      <c r="K252" s="6">
        <f t="shared" si="7"/>
        <v>166800</v>
      </c>
      <c r="L252" s="8" t="s">
        <v>76</v>
      </c>
      <c r="M252" s="8" t="s">
        <v>81</v>
      </c>
    </row>
    <row r="253" spans="1:13" x14ac:dyDescent="0.25">
      <c r="A253" s="9">
        <v>249</v>
      </c>
      <c r="B253" s="10">
        <v>45201</v>
      </c>
      <c r="C253" s="11" t="s">
        <v>114</v>
      </c>
      <c r="D253" s="11" t="s">
        <v>93</v>
      </c>
      <c r="E253" s="11" t="s">
        <v>102</v>
      </c>
      <c r="F253" s="11" t="s">
        <v>138</v>
      </c>
      <c r="G253" s="9">
        <v>13</v>
      </c>
      <c r="H253" s="9">
        <v>7300</v>
      </c>
      <c r="I253" s="9">
        <v>5</v>
      </c>
      <c r="J253" s="9">
        <f t="shared" si="6"/>
        <v>94900</v>
      </c>
      <c r="K253" s="9">
        <f t="shared" si="7"/>
        <v>90155</v>
      </c>
      <c r="L253" s="11" t="s">
        <v>86</v>
      </c>
      <c r="M253" s="11" t="s">
        <v>81</v>
      </c>
    </row>
    <row r="254" spans="1:13" x14ac:dyDescent="0.25">
      <c r="A254" s="6">
        <v>250</v>
      </c>
      <c r="B254" s="7">
        <v>45140</v>
      </c>
      <c r="C254" s="8" t="s">
        <v>88</v>
      </c>
      <c r="D254" s="8" t="s">
        <v>117</v>
      </c>
      <c r="E254" s="8" t="s">
        <v>79</v>
      </c>
      <c r="F254" s="8" t="s">
        <v>80</v>
      </c>
      <c r="G254" s="6">
        <v>48</v>
      </c>
      <c r="H254" s="6">
        <v>9600</v>
      </c>
      <c r="I254" s="6">
        <v>0</v>
      </c>
      <c r="J254" s="6">
        <f t="shared" si="6"/>
        <v>460800</v>
      </c>
      <c r="K254" s="6">
        <f t="shared" si="7"/>
        <v>460800</v>
      </c>
      <c r="L254" s="8" t="s">
        <v>76</v>
      </c>
      <c r="M254" s="8" t="s">
        <v>91</v>
      </c>
    </row>
    <row r="255" spans="1:13" x14ac:dyDescent="0.25">
      <c r="A255" s="9">
        <v>251</v>
      </c>
      <c r="B255" s="11" t="s">
        <v>262</v>
      </c>
      <c r="C255" s="11" t="s">
        <v>124</v>
      </c>
      <c r="D255" s="11" t="s">
        <v>109</v>
      </c>
      <c r="E255" s="11" t="s">
        <v>111</v>
      </c>
      <c r="F255" s="11" t="s">
        <v>156</v>
      </c>
      <c r="G255" s="9">
        <v>50</v>
      </c>
      <c r="H255" s="9">
        <v>43600</v>
      </c>
      <c r="I255" s="9">
        <v>10</v>
      </c>
      <c r="J255" s="9">
        <f t="shared" si="6"/>
        <v>2180000</v>
      </c>
      <c r="K255" s="9">
        <f t="shared" si="7"/>
        <v>1962000</v>
      </c>
      <c r="L255" s="11" t="s">
        <v>76</v>
      </c>
      <c r="M255" s="11" t="s">
        <v>91</v>
      </c>
    </row>
    <row r="256" spans="1:13" x14ac:dyDescent="0.25">
      <c r="A256" s="6">
        <v>391</v>
      </c>
      <c r="B256" s="7">
        <v>45236</v>
      </c>
      <c r="C256" s="8" t="s">
        <v>82</v>
      </c>
      <c r="D256" s="8" t="s">
        <v>93</v>
      </c>
      <c r="E256" s="8" t="s">
        <v>111</v>
      </c>
      <c r="F256" s="8" t="s">
        <v>112</v>
      </c>
      <c r="G256" s="6">
        <v>43</v>
      </c>
      <c r="H256" s="6">
        <v>58600</v>
      </c>
      <c r="I256" s="6">
        <v>10</v>
      </c>
      <c r="J256" s="6">
        <f t="shared" si="6"/>
        <v>2519800</v>
      </c>
      <c r="K256" s="6">
        <f t="shared" si="7"/>
        <v>2267820</v>
      </c>
      <c r="L256" s="8" t="s">
        <v>125</v>
      </c>
      <c r="M256" s="8" t="s">
        <v>96</v>
      </c>
    </row>
    <row r="257" spans="1:13" x14ac:dyDescent="0.25">
      <c r="A257" s="9">
        <v>252</v>
      </c>
      <c r="B257" s="10">
        <v>45591</v>
      </c>
      <c r="C257" s="11" t="s">
        <v>88</v>
      </c>
      <c r="D257" s="11" t="s">
        <v>117</v>
      </c>
      <c r="E257" s="11" t="s">
        <v>74</v>
      </c>
      <c r="F257" s="11" t="s">
        <v>212</v>
      </c>
      <c r="G257" s="9">
        <v>32</v>
      </c>
      <c r="H257" s="9">
        <v>8200</v>
      </c>
      <c r="I257" s="9">
        <v>20</v>
      </c>
      <c r="J257" s="9">
        <f t="shared" si="6"/>
        <v>262400</v>
      </c>
      <c r="K257" s="9">
        <f t="shared" si="7"/>
        <v>209920</v>
      </c>
      <c r="L257" s="11" t="s">
        <v>76</v>
      </c>
      <c r="M257" s="11" t="s">
        <v>91</v>
      </c>
    </row>
    <row r="258" spans="1:13" x14ac:dyDescent="0.25">
      <c r="A258" s="6">
        <v>253</v>
      </c>
      <c r="B258" s="7">
        <v>45254</v>
      </c>
      <c r="C258" s="8" t="s">
        <v>106</v>
      </c>
      <c r="D258" s="8" t="s">
        <v>117</v>
      </c>
      <c r="E258" s="8" t="s">
        <v>74</v>
      </c>
      <c r="F258" s="8" t="s">
        <v>140</v>
      </c>
      <c r="G258" s="6">
        <v>15</v>
      </c>
      <c r="H258" s="6">
        <v>4100</v>
      </c>
      <c r="I258" s="6">
        <v>0</v>
      </c>
      <c r="J258" s="6">
        <f t="shared" ref="J258:J321" si="8">G258*H258</f>
        <v>61500</v>
      </c>
      <c r="K258" s="6">
        <f t="shared" ref="K258:K321" si="9">J258*(1-I258/100)</f>
        <v>61500</v>
      </c>
      <c r="L258" s="8" t="s">
        <v>86</v>
      </c>
      <c r="M258" s="8" t="s">
        <v>77</v>
      </c>
    </row>
    <row r="259" spans="1:13" x14ac:dyDescent="0.25">
      <c r="A259" s="9">
        <v>254</v>
      </c>
      <c r="B259" s="10">
        <v>45493</v>
      </c>
      <c r="C259" s="11" t="s">
        <v>124</v>
      </c>
      <c r="D259" s="11" t="s">
        <v>93</v>
      </c>
      <c r="E259" s="11" t="s">
        <v>263</v>
      </c>
      <c r="F259" s="11" t="s">
        <v>135</v>
      </c>
      <c r="G259" s="9">
        <v>22</v>
      </c>
      <c r="H259" s="9">
        <v>107900</v>
      </c>
      <c r="I259" s="9">
        <v>5</v>
      </c>
      <c r="J259" s="9">
        <f t="shared" si="8"/>
        <v>2373800</v>
      </c>
      <c r="K259" s="9">
        <f t="shared" si="9"/>
        <v>2255110</v>
      </c>
      <c r="L259" s="11" t="s">
        <v>76</v>
      </c>
      <c r="M259" s="11" t="s">
        <v>81</v>
      </c>
    </row>
    <row r="260" spans="1:13" x14ac:dyDescent="0.25">
      <c r="A260" s="6">
        <v>255</v>
      </c>
      <c r="B260" s="7">
        <v>45490</v>
      </c>
      <c r="C260" s="8" t="s">
        <v>88</v>
      </c>
      <c r="D260" s="8" t="s">
        <v>117</v>
      </c>
      <c r="E260" s="8" t="s">
        <v>111</v>
      </c>
      <c r="F260" s="8" t="s">
        <v>159</v>
      </c>
      <c r="G260" s="6">
        <v>47</v>
      </c>
      <c r="H260" s="6">
        <v>12200</v>
      </c>
      <c r="I260" s="6">
        <v>0</v>
      </c>
      <c r="J260" s="6">
        <f t="shared" si="8"/>
        <v>573400</v>
      </c>
      <c r="K260" s="6">
        <f t="shared" si="9"/>
        <v>573400</v>
      </c>
      <c r="L260" s="8" t="s">
        <v>264</v>
      </c>
      <c r="M260" s="8" t="s">
        <v>81</v>
      </c>
    </row>
    <row r="261" spans="1:13" x14ac:dyDescent="0.25">
      <c r="A261" s="9">
        <v>256</v>
      </c>
      <c r="B261" s="10">
        <v>45486</v>
      </c>
      <c r="C261" s="11" t="s">
        <v>119</v>
      </c>
      <c r="D261" s="11" t="s">
        <v>109</v>
      </c>
      <c r="E261" s="11" t="s">
        <v>102</v>
      </c>
      <c r="F261" s="11" t="s">
        <v>138</v>
      </c>
      <c r="G261" s="9">
        <v>5</v>
      </c>
      <c r="H261" s="9">
        <v>6700</v>
      </c>
      <c r="I261" s="9">
        <v>20</v>
      </c>
      <c r="J261" s="9">
        <f t="shared" si="8"/>
        <v>33500</v>
      </c>
      <c r="K261" s="9">
        <f t="shared" si="9"/>
        <v>26800</v>
      </c>
      <c r="L261" s="11" t="s">
        <v>125</v>
      </c>
      <c r="M261" s="11" t="s">
        <v>77</v>
      </c>
    </row>
    <row r="262" spans="1:13" x14ac:dyDescent="0.25">
      <c r="A262" s="6">
        <v>257</v>
      </c>
      <c r="B262" s="7">
        <v>44933</v>
      </c>
      <c r="C262" s="8" t="s">
        <v>114</v>
      </c>
      <c r="D262" s="8" t="s">
        <v>109</v>
      </c>
      <c r="E262" s="8" t="s">
        <v>84</v>
      </c>
      <c r="F262" s="8" t="s">
        <v>150</v>
      </c>
      <c r="G262" s="6">
        <v>1</v>
      </c>
      <c r="H262" s="6">
        <v>5900</v>
      </c>
      <c r="I262" s="6">
        <v>0</v>
      </c>
      <c r="J262" s="6">
        <f t="shared" si="8"/>
        <v>5900</v>
      </c>
      <c r="K262" s="6">
        <f t="shared" si="9"/>
        <v>5900</v>
      </c>
      <c r="L262" s="8" t="s">
        <v>76</v>
      </c>
      <c r="M262" s="8" t="s">
        <v>91</v>
      </c>
    </row>
    <row r="263" spans="1:13" x14ac:dyDescent="0.25">
      <c r="A263" s="9">
        <v>258</v>
      </c>
      <c r="B263" s="10">
        <v>44988</v>
      </c>
      <c r="C263" s="11" t="s">
        <v>124</v>
      </c>
      <c r="D263" s="11" t="s">
        <v>93</v>
      </c>
      <c r="E263" s="11" t="s">
        <v>111</v>
      </c>
      <c r="F263" s="11" t="s">
        <v>159</v>
      </c>
      <c r="G263" s="9">
        <v>35</v>
      </c>
      <c r="H263" s="9">
        <v>10800</v>
      </c>
      <c r="I263" s="9">
        <v>0</v>
      </c>
      <c r="J263" s="9">
        <f t="shared" si="8"/>
        <v>378000</v>
      </c>
      <c r="K263" s="9">
        <f t="shared" si="9"/>
        <v>378000</v>
      </c>
      <c r="L263" s="11" t="s">
        <v>76</v>
      </c>
      <c r="M263" s="11" t="s">
        <v>77</v>
      </c>
    </row>
    <row r="264" spans="1:13" x14ac:dyDescent="0.25">
      <c r="A264" s="6">
        <v>259</v>
      </c>
      <c r="B264" s="7">
        <v>45469</v>
      </c>
      <c r="C264" s="8" t="s">
        <v>101</v>
      </c>
      <c r="D264" s="8" t="s">
        <v>93</v>
      </c>
      <c r="E264" s="8" t="s">
        <v>74</v>
      </c>
      <c r="F264" s="8" t="s">
        <v>94</v>
      </c>
      <c r="G264" s="6">
        <v>45</v>
      </c>
      <c r="H264" s="6">
        <v>35900</v>
      </c>
      <c r="I264" s="6">
        <v>0</v>
      </c>
      <c r="J264" s="6">
        <f t="shared" si="8"/>
        <v>1615500</v>
      </c>
      <c r="K264" s="6">
        <f t="shared" si="9"/>
        <v>1615500</v>
      </c>
      <c r="L264" s="8" t="s">
        <v>86</v>
      </c>
      <c r="M264" s="8" t="s">
        <v>81</v>
      </c>
    </row>
    <row r="265" spans="1:13" x14ac:dyDescent="0.25">
      <c r="A265" s="9">
        <v>260</v>
      </c>
      <c r="B265" s="10">
        <v>45025</v>
      </c>
      <c r="C265" s="11" t="s">
        <v>82</v>
      </c>
      <c r="D265" s="11" t="s">
        <v>109</v>
      </c>
      <c r="E265" s="11" t="s">
        <v>84</v>
      </c>
      <c r="F265" s="11" t="s">
        <v>90</v>
      </c>
      <c r="G265" s="9">
        <v>17</v>
      </c>
      <c r="H265" s="9">
        <v>1900</v>
      </c>
      <c r="I265" s="9">
        <v>20</v>
      </c>
      <c r="J265" s="9">
        <f t="shared" si="8"/>
        <v>32300</v>
      </c>
      <c r="K265" s="9">
        <f t="shared" si="9"/>
        <v>25840</v>
      </c>
      <c r="L265" s="11" t="s">
        <v>86</v>
      </c>
      <c r="M265" s="11" t="s">
        <v>96</v>
      </c>
    </row>
    <row r="266" spans="1:13" x14ac:dyDescent="0.25">
      <c r="A266" s="6">
        <v>261</v>
      </c>
      <c r="B266" s="8" t="s">
        <v>265</v>
      </c>
      <c r="C266" s="8" t="s">
        <v>97</v>
      </c>
      <c r="D266" s="8" t="s">
        <v>117</v>
      </c>
      <c r="E266" s="8" t="s">
        <v>111</v>
      </c>
      <c r="F266" s="8" t="s">
        <v>159</v>
      </c>
      <c r="G266" s="6">
        <v>45</v>
      </c>
      <c r="H266" s="6">
        <v>12500</v>
      </c>
      <c r="I266" s="6">
        <v>15</v>
      </c>
      <c r="J266" s="6">
        <f t="shared" si="8"/>
        <v>562500</v>
      </c>
      <c r="K266" s="6">
        <f t="shared" si="9"/>
        <v>478125</v>
      </c>
      <c r="L266" s="8" t="s">
        <v>76</v>
      </c>
      <c r="M266" s="8" t="s">
        <v>77</v>
      </c>
    </row>
    <row r="267" spans="1:13" x14ac:dyDescent="0.25">
      <c r="A267" s="9">
        <v>262</v>
      </c>
      <c r="B267" s="10">
        <v>45592</v>
      </c>
      <c r="C267" s="11" t="s">
        <v>78</v>
      </c>
      <c r="D267" s="11" t="s">
        <v>73</v>
      </c>
      <c r="E267" s="11" t="s">
        <v>111</v>
      </c>
      <c r="F267" s="11" t="s">
        <v>165</v>
      </c>
      <c r="G267" s="9">
        <v>31</v>
      </c>
      <c r="H267" s="9">
        <v>17900</v>
      </c>
      <c r="I267" s="9">
        <v>15</v>
      </c>
      <c r="J267" s="9">
        <f t="shared" si="8"/>
        <v>554900</v>
      </c>
      <c r="K267" s="9">
        <f t="shared" si="9"/>
        <v>471665</v>
      </c>
      <c r="L267" s="11" t="s">
        <v>76</v>
      </c>
      <c r="M267" s="11" t="s">
        <v>77</v>
      </c>
    </row>
    <row r="268" spans="1:13" x14ac:dyDescent="0.25">
      <c r="A268" s="6">
        <v>263</v>
      </c>
      <c r="B268" s="7">
        <v>45102</v>
      </c>
      <c r="C268" s="8" t="s">
        <v>97</v>
      </c>
      <c r="D268" s="8" t="s">
        <v>83</v>
      </c>
      <c r="E268" s="8" t="s">
        <v>111</v>
      </c>
      <c r="F268" s="8" t="s">
        <v>132</v>
      </c>
      <c r="G268" s="6">
        <v>7</v>
      </c>
      <c r="H268" s="6">
        <v>7800</v>
      </c>
      <c r="I268" s="6">
        <v>0</v>
      </c>
      <c r="J268" s="6">
        <f t="shared" si="8"/>
        <v>54600</v>
      </c>
      <c r="K268" s="6">
        <f t="shared" si="9"/>
        <v>54600</v>
      </c>
      <c r="L268" s="8" t="s">
        <v>107</v>
      </c>
      <c r="M268" s="8" t="s">
        <v>77</v>
      </c>
    </row>
    <row r="269" spans="1:13" x14ac:dyDescent="0.25">
      <c r="A269" s="9">
        <v>264</v>
      </c>
      <c r="B269" s="10">
        <v>45143</v>
      </c>
      <c r="C269" s="11" t="s">
        <v>124</v>
      </c>
      <c r="D269" s="11" t="s">
        <v>83</v>
      </c>
      <c r="E269" s="11" t="s">
        <v>74</v>
      </c>
      <c r="F269" s="11" t="s">
        <v>94</v>
      </c>
      <c r="G269" s="9">
        <v>44</v>
      </c>
      <c r="H269" s="9">
        <v>39600</v>
      </c>
      <c r="I269" s="9">
        <v>0</v>
      </c>
      <c r="J269" s="9">
        <f t="shared" si="8"/>
        <v>1742400</v>
      </c>
      <c r="K269" s="9">
        <f t="shared" si="9"/>
        <v>1742400</v>
      </c>
      <c r="L269" s="11" t="s">
        <v>107</v>
      </c>
      <c r="M269" s="11" t="s">
        <v>77</v>
      </c>
    </row>
    <row r="270" spans="1:13" x14ac:dyDescent="0.25">
      <c r="A270" s="6">
        <v>265</v>
      </c>
      <c r="B270" s="7">
        <v>45249</v>
      </c>
      <c r="C270" s="8" t="s">
        <v>78</v>
      </c>
      <c r="D270" s="8" t="s">
        <v>109</v>
      </c>
      <c r="E270" s="8" t="s">
        <v>102</v>
      </c>
      <c r="F270" s="8" t="s">
        <v>103</v>
      </c>
      <c r="G270" s="6">
        <v>46</v>
      </c>
      <c r="H270" s="6">
        <v>10700</v>
      </c>
      <c r="I270" s="6">
        <v>0</v>
      </c>
      <c r="J270" s="6">
        <f t="shared" si="8"/>
        <v>492200</v>
      </c>
      <c r="K270" s="6">
        <f t="shared" si="9"/>
        <v>492200</v>
      </c>
      <c r="L270" s="8" t="s">
        <v>247</v>
      </c>
      <c r="M270" s="8" t="s">
        <v>77</v>
      </c>
    </row>
    <row r="271" spans="1:13" x14ac:dyDescent="0.25">
      <c r="A271" s="9">
        <v>266</v>
      </c>
      <c r="B271" s="10">
        <v>45093</v>
      </c>
      <c r="C271" s="11" t="s">
        <v>124</v>
      </c>
      <c r="D271" s="11" t="s">
        <v>109</v>
      </c>
      <c r="E271" s="11" t="s">
        <v>102</v>
      </c>
      <c r="F271" s="11" t="s">
        <v>151</v>
      </c>
      <c r="G271" s="9">
        <v>35</v>
      </c>
      <c r="H271" s="9">
        <v>8000</v>
      </c>
      <c r="I271" s="9">
        <v>20</v>
      </c>
      <c r="J271" s="9">
        <f t="shared" si="8"/>
        <v>280000</v>
      </c>
      <c r="K271" s="9">
        <f t="shared" si="9"/>
        <v>224000</v>
      </c>
      <c r="L271" s="11" t="s">
        <v>76</v>
      </c>
      <c r="M271" s="11" t="s">
        <v>81</v>
      </c>
    </row>
    <row r="272" spans="1:13" x14ac:dyDescent="0.25">
      <c r="A272" s="6">
        <v>267</v>
      </c>
      <c r="B272" s="7">
        <v>45632</v>
      </c>
      <c r="C272" s="8" t="s">
        <v>97</v>
      </c>
      <c r="D272" s="8" t="s">
        <v>93</v>
      </c>
      <c r="E272" s="8" t="s">
        <v>74</v>
      </c>
      <c r="F272" s="8" t="s">
        <v>94</v>
      </c>
      <c r="G272" s="6">
        <v>15</v>
      </c>
      <c r="H272" s="6">
        <v>32400</v>
      </c>
      <c r="I272" s="6">
        <v>10</v>
      </c>
      <c r="J272" s="6">
        <f t="shared" si="8"/>
        <v>486000</v>
      </c>
      <c r="K272" s="6">
        <f t="shared" si="9"/>
        <v>437400</v>
      </c>
      <c r="L272" s="8" t="s">
        <v>187</v>
      </c>
      <c r="M272" s="8" t="s">
        <v>96</v>
      </c>
    </row>
    <row r="273" spans="1:13" x14ac:dyDescent="0.25">
      <c r="A273" s="9">
        <v>268</v>
      </c>
      <c r="B273" s="10">
        <v>45555</v>
      </c>
      <c r="C273" s="11" t="s">
        <v>124</v>
      </c>
      <c r="D273" s="11" t="s">
        <v>266</v>
      </c>
      <c r="E273" s="11" t="s">
        <v>74</v>
      </c>
      <c r="F273" s="11" t="s">
        <v>94</v>
      </c>
      <c r="G273" s="9">
        <v>29</v>
      </c>
      <c r="H273" s="9">
        <v>37000</v>
      </c>
      <c r="I273" s="9">
        <v>10</v>
      </c>
      <c r="J273" s="9">
        <f t="shared" si="8"/>
        <v>1073000</v>
      </c>
      <c r="K273" s="9">
        <f t="shared" si="9"/>
        <v>965700</v>
      </c>
      <c r="L273" s="11" t="s">
        <v>76</v>
      </c>
      <c r="M273" s="11" t="s">
        <v>96</v>
      </c>
    </row>
    <row r="274" spans="1:13" x14ac:dyDescent="0.25">
      <c r="A274" s="6">
        <v>269</v>
      </c>
      <c r="B274" s="8" t="s">
        <v>267</v>
      </c>
      <c r="C274" s="8" t="s">
        <v>114</v>
      </c>
      <c r="D274" s="8"/>
      <c r="E274" s="8" t="s">
        <v>102</v>
      </c>
      <c r="F274" s="8" t="s">
        <v>151</v>
      </c>
      <c r="G274" s="6">
        <v>40</v>
      </c>
      <c r="H274" s="6">
        <v>6900</v>
      </c>
      <c r="I274" s="6">
        <v>15</v>
      </c>
      <c r="J274" s="6">
        <f t="shared" si="8"/>
        <v>276000</v>
      </c>
      <c r="K274" s="6">
        <f t="shared" si="9"/>
        <v>234600</v>
      </c>
      <c r="L274" s="8" t="s">
        <v>76</v>
      </c>
      <c r="M274" s="8" t="s">
        <v>81</v>
      </c>
    </row>
    <row r="275" spans="1:13" x14ac:dyDescent="0.25">
      <c r="A275" s="9">
        <v>270</v>
      </c>
      <c r="B275" s="10">
        <v>45002</v>
      </c>
      <c r="C275" s="11" t="s">
        <v>97</v>
      </c>
      <c r="D275" s="11"/>
      <c r="E275" s="11" t="s">
        <v>84</v>
      </c>
      <c r="F275" s="11" t="s">
        <v>148</v>
      </c>
      <c r="G275" s="9">
        <v>41</v>
      </c>
      <c r="H275" s="9">
        <v>5200</v>
      </c>
      <c r="I275" s="9">
        <v>0</v>
      </c>
      <c r="J275" s="9">
        <f t="shared" si="8"/>
        <v>213200</v>
      </c>
      <c r="K275" s="9">
        <f t="shared" si="9"/>
        <v>213200</v>
      </c>
      <c r="L275" s="11" t="s">
        <v>76</v>
      </c>
      <c r="M275" s="11" t="s">
        <v>91</v>
      </c>
    </row>
    <row r="276" spans="1:13" x14ac:dyDescent="0.25">
      <c r="A276" s="6">
        <v>271</v>
      </c>
      <c r="B276" s="7">
        <v>45296</v>
      </c>
      <c r="C276" s="8" t="s">
        <v>97</v>
      </c>
      <c r="D276" s="8" t="s">
        <v>268</v>
      </c>
      <c r="E276" s="8" t="s">
        <v>79</v>
      </c>
      <c r="F276" s="8" t="s">
        <v>179</v>
      </c>
      <c r="G276" s="6">
        <v>49</v>
      </c>
      <c r="H276" s="6">
        <v>2500</v>
      </c>
      <c r="I276" s="6">
        <v>0</v>
      </c>
      <c r="J276" s="6">
        <f t="shared" si="8"/>
        <v>122500</v>
      </c>
      <c r="K276" s="6">
        <f t="shared" si="9"/>
        <v>122500</v>
      </c>
      <c r="L276" s="8" t="s">
        <v>76</v>
      </c>
      <c r="M276" s="8" t="s">
        <v>81</v>
      </c>
    </row>
    <row r="277" spans="1:13" x14ac:dyDescent="0.25">
      <c r="A277" s="9">
        <v>272</v>
      </c>
      <c r="B277" s="10">
        <v>45118</v>
      </c>
      <c r="C277" s="11" t="s">
        <v>114</v>
      </c>
      <c r="D277" s="11" t="s">
        <v>83</v>
      </c>
      <c r="E277" s="11" t="s">
        <v>102</v>
      </c>
      <c r="F277" s="11" t="s">
        <v>151</v>
      </c>
      <c r="G277" s="9">
        <v>6</v>
      </c>
      <c r="H277" s="9">
        <v>6900</v>
      </c>
      <c r="I277" s="9">
        <v>10</v>
      </c>
      <c r="J277" s="9">
        <f t="shared" si="8"/>
        <v>41400</v>
      </c>
      <c r="K277" s="9">
        <f t="shared" si="9"/>
        <v>37260</v>
      </c>
      <c r="L277" s="11" t="s">
        <v>76</v>
      </c>
      <c r="M277" s="11" t="s">
        <v>77</v>
      </c>
    </row>
    <row r="278" spans="1:13" x14ac:dyDescent="0.25">
      <c r="A278" s="6">
        <v>273</v>
      </c>
      <c r="B278" s="8" t="s">
        <v>269</v>
      </c>
      <c r="C278" s="8" t="s">
        <v>88</v>
      </c>
      <c r="D278" s="8" t="s">
        <v>83</v>
      </c>
      <c r="E278" s="8" t="s">
        <v>79</v>
      </c>
      <c r="F278" s="8" t="s">
        <v>179</v>
      </c>
      <c r="G278" s="6">
        <v>50</v>
      </c>
      <c r="H278" s="6">
        <v>2500</v>
      </c>
      <c r="I278" s="6"/>
      <c r="J278" s="6">
        <f t="shared" si="8"/>
        <v>125000</v>
      </c>
      <c r="K278" s="6">
        <f t="shared" si="9"/>
        <v>125000</v>
      </c>
      <c r="L278" s="8" t="s">
        <v>76</v>
      </c>
      <c r="M278" s="8" t="s">
        <v>81</v>
      </c>
    </row>
    <row r="279" spans="1:13" x14ac:dyDescent="0.25">
      <c r="A279" s="9">
        <v>274</v>
      </c>
      <c r="B279" s="10">
        <v>45460</v>
      </c>
      <c r="C279" s="11" t="s">
        <v>108</v>
      </c>
      <c r="D279" s="11" t="s">
        <v>83</v>
      </c>
      <c r="E279" s="11" t="s">
        <v>84</v>
      </c>
      <c r="F279" s="11" t="s">
        <v>128</v>
      </c>
      <c r="G279" s="9">
        <v>18</v>
      </c>
      <c r="H279" s="9">
        <v>4100</v>
      </c>
      <c r="I279" s="9">
        <v>0</v>
      </c>
      <c r="J279" s="9">
        <f t="shared" si="8"/>
        <v>73800</v>
      </c>
      <c r="K279" s="9">
        <f t="shared" si="9"/>
        <v>73800</v>
      </c>
      <c r="L279" s="11" t="s">
        <v>76</v>
      </c>
      <c r="M279" s="11" t="s">
        <v>77</v>
      </c>
    </row>
    <row r="280" spans="1:13" x14ac:dyDescent="0.25">
      <c r="A280" s="6">
        <v>275</v>
      </c>
      <c r="B280" s="7">
        <v>45372</v>
      </c>
      <c r="C280" s="8" t="s">
        <v>101</v>
      </c>
      <c r="D280" s="8" t="s">
        <v>83</v>
      </c>
      <c r="E280" s="8" t="s">
        <v>270</v>
      </c>
      <c r="F280" s="8" t="s">
        <v>99</v>
      </c>
      <c r="G280" s="6">
        <v>24</v>
      </c>
      <c r="H280" s="6" t="s">
        <v>271</v>
      </c>
      <c r="I280" s="6">
        <v>15</v>
      </c>
      <c r="J280" s="6">
        <f t="shared" si="8"/>
        <v>91200</v>
      </c>
      <c r="K280" s="6">
        <f t="shared" si="9"/>
        <v>77520</v>
      </c>
      <c r="L280" s="8" t="s">
        <v>76</v>
      </c>
      <c r="M280" s="8" t="s">
        <v>81</v>
      </c>
    </row>
    <row r="281" spans="1:13" x14ac:dyDescent="0.25">
      <c r="A281" s="9">
        <v>276</v>
      </c>
      <c r="B281" s="10">
        <v>45567</v>
      </c>
      <c r="C281" s="11" t="s">
        <v>119</v>
      </c>
      <c r="D281" s="11" t="s">
        <v>93</v>
      </c>
      <c r="E281" s="11" t="s">
        <v>102</v>
      </c>
      <c r="F281" s="11" t="s">
        <v>181</v>
      </c>
      <c r="G281" s="9">
        <v>9</v>
      </c>
      <c r="H281" s="9">
        <v>4600</v>
      </c>
      <c r="I281" s="9">
        <v>0</v>
      </c>
      <c r="J281" s="9">
        <f t="shared" si="8"/>
        <v>41400</v>
      </c>
      <c r="K281" s="9">
        <f t="shared" si="9"/>
        <v>41400</v>
      </c>
      <c r="L281" s="11" t="s">
        <v>76</v>
      </c>
      <c r="M281" s="11" t="s">
        <v>91</v>
      </c>
    </row>
    <row r="282" spans="1:13" x14ac:dyDescent="0.25">
      <c r="A282" s="6">
        <v>277</v>
      </c>
      <c r="B282" s="7">
        <v>45562</v>
      </c>
      <c r="C282" s="8" t="s">
        <v>114</v>
      </c>
      <c r="D282" s="8" t="s">
        <v>117</v>
      </c>
      <c r="E282" s="8" t="s">
        <v>111</v>
      </c>
      <c r="F282" s="8" t="s">
        <v>132</v>
      </c>
      <c r="G282" s="6">
        <v>42</v>
      </c>
      <c r="H282" s="6">
        <v>7600</v>
      </c>
      <c r="I282" s="6">
        <v>0</v>
      </c>
      <c r="J282" s="6">
        <f t="shared" si="8"/>
        <v>319200</v>
      </c>
      <c r="K282" s="6">
        <f t="shared" si="9"/>
        <v>319200</v>
      </c>
      <c r="L282" s="8" t="s">
        <v>125</v>
      </c>
      <c r="M282" s="8" t="s">
        <v>81</v>
      </c>
    </row>
    <row r="283" spans="1:13" x14ac:dyDescent="0.25">
      <c r="A283" s="9">
        <v>278</v>
      </c>
      <c r="B283" s="11" t="s">
        <v>272</v>
      </c>
      <c r="C283" s="11" t="s">
        <v>124</v>
      </c>
      <c r="D283" s="11" t="s">
        <v>109</v>
      </c>
      <c r="E283" s="11" t="s">
        <v>111</v>
      </c>
      <c r="F283" s="11" t="s">
        <v>132</v>
      </c>
      <c r="G283" s="9">
        <v>26</v>
      </c>
      <c r="H283" s="9">
        <v>7100</v>
      </c>
      <c r="I283" s="9">
        <v>15</v>
      </c>
      <c r="J283" s="9">
        <f t="shared" si="8"/>
        <v>184600</v>
      </c>
      <c r="K283" s="9">
        <f t="shared" si="9"/>
        <v>156910</v>
      </c>
      <c r="L283" s="11" t="s">
        <v>125</v>
      </c>
      <c r="M283" s="11" t="s">
        <v>96</v>
      </c>
    </row>
    <row r="284" spans="1:13" x14ac:dyDescent="0.25">
      <c r="A284" s="6">
        <v>279</v>
      </c>
      <c r="B284" s="7">
        <v>45638</v>
      </c>
      <c r="C284" s="8" t="s">
        <v>119</v>
      </c>
      <c r="D284" s="8" t="s">
        <v>93</v>
      </c>
      <c r="E284" s="8" t="s">
        <v>84</v>
      </c>
      <c r="F284" s="8" t="s">
        <v>200</v>
      </c>
      <c r="G284" s="6">
        <v>26</v>
      </c>
      <c r="H284" s="6">
        <v>3200</v>
      </c>
      <c r="I284" s="6">
        <v>10</v>
      </c>
      <c r="J284" s="6">
        <f t="shared" si="8"/>
        <v>83200</v>
      </c>
      <c r="K284" s="6">
        <f t="shared" si="9"/>
        <v>74880</v>
      </c>
      <c r="L284" s="8" t="s">
        <v>76</v>
      </c>
      <c r="M284" s="8" t="s">
        <v>81</v>
      </c>
    </row>
    <row r="285" spans="1:13" x14ac:dyDescent="0.25">
      <c r="A285" s="9">
        <v>280</v>
      </c>
      <c r="B285" s="10">
        <v>45485</v>
      </c>
      <c r="C285" s="11" t="s">
        <v>153</v>
      </c>
      <c r="D285" s="11" t="s">
        <v>93</v>
      </c>
      <c r="E285" s="11" t="s">
        <v>79</v>
      </c>
      <c r="F285" s="11" t="s">
        <v>172</v>
      </c>
      <c r="G285" s="9">
        <v>14</v>
      </c>
      <c r="H285" s="9">
        <v>28400</v>
      </c>
      <c r="I285" s="9">
        <v>20</v>
      </c>
      <c r="J285" s="9">
        <f t="shared" si="8"/>
        <v>397600</v>
      </c>
      <c r="K285" s="9">
        <f t="shared" si="9"/>
        <v>318080</v>
      </c>
      <c r="L285" s="11" t="s">
        <v>76</v>
      </c>
      <c r="M285" s="11" t="s">
        <v>96</v>
      </c>
    </row>
    <row r="286" spans="1:13" x14ac:dyDescent="0.25">
      <c r="A286" s="6">
        <v>281</v>
      </c>
      <c r="B286" s="8" t="s">
        <v>273</v>
      </c>
      <c r="C286" s="8" t="s">
        <v>274</v>
      </c>
      <c r="D286" s="8" t="s">
        <v>83</v>
      </c>
      <c r="E286" s="8" t="s">
        <v>111</v>
      </c>
      <c r="F286" s="8" t="s">
        <v>166</v>
      </c>
      <c r="G286" s="6">
        <v>16</v>
      </c>
      <c r="H286" s="6">
        <v>29600</v>
      </c>
      <c r="I286" s="6">
        <v>15</v>
      </c>
      <c r="J286" s="6">
        <f t="shared" si="8"/>
        <v>473600</v>
      </c>
      <c r="K286" s="6">
        <f t="shared" si="9"/>
        <v>402560</v>
      </c>
      <c r="L286" s="8" t="s">
        <v>76</v>
      </c>
      <c r="M286" s="8" t="s">
        <v>81</v>
      </c>
    </row>
    <row r="287" spans="1:13" x14ac:dyDescent="0.25">
      <c r="A287" s="9">
        <v>282</v>
      </c>
      <c r="B287" s="11" t="s">
        <v>275</v>
      </c>
      <c r="C287" s="11" t="s">
        <v>114</v>
      </c>
      <c r="D287" s="11" t="s">
        <v>73</v>
      </c>
      <c r="E287" s="11" t="s">
        <v>111</v>
      </c>
      <c r="F287" s="11" t="s">
        <v>159</v>
      </c>
      <c r="G287" s="9">
        <v>35</v>
      </c>
      <c r="H287" s="9">
        <v>12500</v>
      </c>
      <c r="I287" s="9">
        <v>10</v>
      </c>
      <c r="J287" s="9">
        <f t="shared" si="8"/>
        <v>437500</v>
      </c>
      <c r="K287" s="9">
        <f t="shared" si="9"/>
        <v>393750</v>
      </c>
      <c r="L287" s="11" t="s">
        <v>174</v>
      </c>
      <c r="M287" s="11" t="s">
        <v>91</v>
      </c>
    </row>
    <row r="288" spans="1:13" x14ac:dyDescent="0.25">
      <c r="A288" s="6">
        <v>283</v>
      </c>
      <c r="B288" s="7">
        <v>44964</v>
      </c>
      <c r="C288" s="8" t="s">
        <v>88</v>
      </c>
      <c r="D288" s="8" t="s">
        <v>93</v>
      </c>
      <c r="E288" s="8" t="s">
        <v>102</v>
      </c>
      <c r="F288" s="8" t="s">
        <v>137</v>
      </c>
      <c r="G288" s="6">
        <v>16</v>
      </c>
      <c r="H288" s="6">
        <v>2000</v>
      </c>
      <c r="I288" s="6">
        <v>0</v>
      </c>
      <c r="J288" s="6">
        <f t="shared" si="8"/>
        <v>32000</v>
      </c>
      <c r="K288" s="6">
        <f t="shared" si="9"/>
        <v>32000</v>
      </c>
      <c r="L288" s="8" t="s">
        <v>86</v>
      </c>
      <c r="M288" s="8" t="s">
        <v>96</v>
      </c>
    </row>
    <row r="289" spans="1:13" x14ac:dyDescent="0.25">
      <c r="A289" s="9">
        <v>284</v>
      </c>
      <c r="B289" s="10">
        <v>45589</v>
      </c>
      <c r="C289" s="11" t="s">
        <v>124</v>
      </c>
      <c r="D289" s="11" t="s">
        <v>73</v>
      </c>
      <c r="E289" s="11" t="s">
        <v>203</v>
      </c>
      <c r="F289" s="11" t="s">
        <v>151</v>
      </c>
      <c r="G289" s="9">
        <v>22</v>
      </c>
      <c r="H289" s="9">
        <v>8600</v>
      </c>
      <c r="I289" s="9">
        <v>0</v>
      </c>
      <c r="J289" s="9">
        <f t="shared" si="8"/>
        <v>189200</v>
      </c>
      <c r="K289" s="9">
        <f t="shared" si="9"/>
        <v>189200</v>
      </c>
      <c r="L289" s="11" t="s">
        <v>125</v>
      </c>
      <c r="M289" s="11" t="s">
        <v>91</v>
      </c>
    </row>
    <row r="290" spans="1:13" x14ac:dyDescent="0.25">
      <c r="A290" s="6">
        <v>285</v>
      </c>
      <c r="B290" s="7">
        <v>44937</v>
      </c>
      <c r="C290" s="8" t="s">
        <v>72</v>
      </c>
      <c r="D290" s="8" t="s">
        <v>117</v>
      </c>
      <c r="E290" s="8" t="s">
        <v>84</v>
      </c>
      <c r="F290" s="8" t="s">
        <v>90</v>
      </c>
      <c r="G290" s="6">
        <v>26</v>
      </c>
      <c r="H290" s="6" t="s">
        <v>276</v>
      </c>
      <c r="I290" s="6">
        <v>0</v>
      </c>
      <c r="J290" s="6" t="e">
        <f t="shared" si="8"/>
        <v>#VALUE!</v>
      </c>
      <c r="K290" s="6" t="e">
        <f t="shared" si="9"/>
        <v>#VALUE!</v>
      </c>
      <c r="L290" s="8" t="s">
        <v>76</v>
      </c>
      <c r="M290" s="8" t="s">
        <v>81</v>
      </c>
    </row>
    <row r="291" spans="1:13" x14ac:dyDescent="0.25">
      <c r="A291" s="9">
        <v>286</v>
      </c>
      <c r="B291" s="11" t="s">
        <v>277</v>
      </c>
      <c r="C291" s="11" t="s">
        <v>119</v>
      </c>
      <c r="D291" s="11" t="s">
        <v>73</v>
      </c>
      <c r="E291" s="11" t="s">
        <v>255</v>
      </c>
      <c r="F291" s="11" t="s">
        <v>140</v>
      </c>
      <c r="G291" s="9">
        <v>6</v>
      </c>
      <c r="H291" s="9">
        <v>5100</v>
      </c>
      <c r="I291" s="9">
        <v>0</v>
      </c>
      <c r="J291" s="9">
        <f t="shared" si="8"/>
        <v>30600</v>
      </c>
      <c r="K291" s="9">
        <f t="shared" si="9"/>
        <v>30600</v>
      </c>
      <c r="L291" s="11" t="s">
        <v>76</v>
      </c>
      <c r="M291" s="11" t="s">
        <v>81</v>
      </c>
    </row>
    <row r="292" spans="1:13" x14ac:dyDescent="0.25">
      <c r="A292" s="6">
        <v>287</v>
      </c>
      <c r="B292" s="7">
        <v>45246</v>
      </c>
      <c r="C292" s="8" t="s">
        <v>88</v>
      </c>
      <c r="D292" s="8" t="s">
        <v>266</v>
      </c>
      <c r="E292" s="8" t="s">
        <v>84</v>
      </c>
      <c r="F292" s="8" t="s">
        <v>85</v>
      </c>
      <c r="G292" s="6">
        <v>7</v>
      </c>
      <c r="H292" s="6">
        <v>5300</v>
      </c>
      <c r="I292" s="6">
        <v>0</v>
      </c>
      <c r="J292" s="6">
        <f t="shared" si="8"/>
        <v>37100</v>
      </c>
      <c r="K292" s="6">
        <f t="shared" si="9"/>
        <v>37100</v>
      </c>
      <c r="L292" s="8" t="s">
        <v>129</v>
      </c>
      <c r="M292" s="8" t="s">
        <v>91</v>
      </c>
    </row>
    <row r="293" spans="1:13" x14ac:dyDescent="0.25">
      <c r="A293" s="9">
        <v>288</v>
      </c>
      <c r="B293" s="10">
        <v>44995</v>
      </c>
      <c r="C293" s="11" t="s">
        <v>101</v>
      </c>
      <c r="D293" s="11" t="s">
        <v>73</v>
      </c>
      <c r="E293" s="11" t="s">
        <v>79</v>
      </c>
      <c r="F293" s="11" t="s">
        <v>136</v>
      </c>
      <c r="G293" s="9">
        <v>42</v>
      </c>
      <c r="H293" s="9">
        <v>94500</v>
      </c>
      <c r="I293" s="9">
        <v>15</v>
      </c>
      <c r="J293" s="9">
        <f t="shared" si="8"/>
        <v>3969000</v>
      </c>
      <c r="K293" s="9">
        <f t="shared" si="9"/>
        <v>3373650</v>
      </c>
      <c r="L293" s="11" t="s">
        <v>76</v>
      </c>
      <c r="M293" s="11" t="s">
        <v>81</v>
      </c>
    </row>
    <row r="294" spans="1:13" x14ac:dyDescent="0.25">
      <c r="A294" s="6">
        <v>289</v>
      </c>
      <c r="B294" s="8" t="s">
        <v>278</v>
      </c>
      <c r="C294" s="8" t="s">
        <v>82</v>
      </c>
      <c r="D294" s="8" t="s">
        <v>279</v>
      </c>
      <c r="E294" s="8" t="s">
        <v>102</v>
      </c>
      <c r="F294" s="8" t="s">
        <v>103</v>
      </c>
      <c r="G294" s="6">
        <v>28</v>
      </c>
      <c r="H294" s="6">
        <v>9600</v>
      </c>
      <c r="I294" s="6">
        <v>20</v>
      </c>
      <c r="J294" s="6">
        <f t="shared" si="8"/>
        <v>268800</v>
      </c>
      <c r="K294" s="6">
        <f t="shared" si="9"/>
        <v>215040</v>
      </c>
      <c r="L294" s="8" t="s">
        <v>125</v>
      </c>
      <c r="M294" s="8" t="s">
        <v>81</v>
      </c>
    </row>
    <row r="295" spans="1:13" x14ac:dyDescent="0.25">
      <c r="A295" s="9">
        <v>290</v>
      </c>
      <c r="B295" s="10">
        <v>45341</v>
      </c>
      <c r="C295" s="11" t="s">
        <v>108</v>
      </c>
      <c r="D295" s="11" t="s">
        <v>109</v>
      </c>
      <c r="E295" s="11" t="s">
        <v>111</v>
      </c>
      <c r="F295" s="11" t="s">
        <v>165</v>
      </c>
      <c r="G295" s="9">
        <v>40</v>
      </c>
      <c r="H295" s="9">
        <v>16300</v>
      </c>
      <c r="I295" s="9"/>
      <c r="J295" s="9">
        <f t="shared" si="8"/>
        <v>652000</v>
      </c>
      <c r="K295" s="9">
        <f t="shared" si="9"/>
        <v>652000</v>
      </c>
      <c r="L295" s="11" t="s">
        <v>107</v>
      </c>
      <c r="M295" s="11" t="s">
        <v>91</v>
      </c>
    </row>
    <row r="296" spans="1:13" x14ac:dyDescent="0.25">
      <c r="A296" s="6">
        <v>291</v>
      </c>
      <c r="B296" s="7">
        <v>45366</v>
      </c>
      <c r="C296" s="8" t="s">
        <v>114</v>
      </c>
      <c r="D296" s="8" t="s">
        <v>73</v>
      </c>
      <c r="E296" s="8" t="s">
        <v>84</v>
      </c>
      <c r="F296" s="8" t="s">
        <v>90</v>
      </c>
      <c r="G296" s="6">
        <v>46</v>
      </c>
      <c r="H296" s="6">
        <v>1700</v>
      </c>
      <c r="I296" s="6">
        <v>10</v>
      </c>
      <c r="J296" s="6">
        <f t="shared" si="8"/>
        <v>78200</v>
      </c>
      <c r="K296" s="6">
        <f t="shared" si="9"/>
        <v>70380</v>
      </c>
      <c r="L296" s="8" t="s">
        <v>86</v>
      </c>
      <c r="M296" s="8" t="s">
        <v>77</v>
      </c>
    </row>
    <row r="297" spans="1:13" x14ac:dyDescent="0.25">
      <c r="A297" s="9">
        <v>292</v>
      </c>
      <c r="B297" s="10">
        <v>45031</v>
      </c>
      <c r="C297" s="11" t="s">
        <v>237</v>
      </c>
      <c r="D297" s="11" t="s">
        <v>109</v>
      </c>
      <c r="E297" s="11" t="s">
        <v>74</v>
      </c>
      <c r="F297" s="11" t="s">
        <v>212</v>
      </c>
      <c r="G297" s="9">
        <v>8</v>
      </c>
      <c r="H297" s="9">
        <v>7600</v>
      </c>
      <c r="I297" s="9">
        <v>10</v>
      </c>
      <c r="J297" s="9">
        <f t="shared" si="8"/>
        <v>60800</v>
      </c>
      <c r="K297" s="9">
        <f t="shared" si="9"/>
        <v>54720</v>
      </c>
      <c r="L297" s="11" t="s">
        <v>76</v>
      </c>
      <c r="M297" s="11" t="s">
        <v>91</v>
      </c>
    </row>
    <row r="298" spans="1:13" x14ac:dyDescent="0.25">
      <c r="A298" s="6">
        <v>293</v>
      </c>
      <c r="B298" s="8" t="s">
        <v>280</v>
      </c>
      <c r="C298" s="8" t="s">
        <v>88</v>
      </c>
      <c r="D298" s="8" t="s">
        <v>93</v>
      </c>
      <c r="E298" s="8" t="s">
        <v>111</v>
      </c>
      <c r="F298" s="8" t="s">
        <v>165</v>
      </c>
      <c r="G298" s="6">
        <v>23</v>
      </c>
      <c r="H298" s="6" t="s">
        <v>281</v>
      </c>
      <c r="I298" s="6">
        <v>10</v>
      </c>
      <c r="J298" s="6">
        <f t="shared" si="8"/>
        <v>432400</v>
      </c>
      <c r="K298" s="6">
        <f t="shared" si="9"/>
        <v>389160</v>
      </c>
      <c r="L298" s="8" t="s">
        <v>76</v>
      </c>
      <c r="M298" s="8" t="s">
        <v>91</v>
      </c>
    </row>
    <row r="299" spans="1:13" x14ac:dyDescent="0.25">
      <c r="A299" s="9">
        <v>294</v>
      </c>
      <c r="B299" s="10">
        <v>45103</v>
      </c>
      <c r="C299" s="11" t="s">
        <v>101</v>
      </c>
      <c r="D299" s="11" t="s">
        <v>93</v>
      </c>
      <c r="E299" s="11" t="s">
        <v>102</v>
      </c>
      <c r="F299" s="11" t="s">
        <v>137</v>
      </c>
      <c r="G299" s="9">
        <v>21</v>
      </c>
      <c r="H299" s="9">
        <v>2300</v>
      </c>
      <c r="I299" s="9">
        <v>0</v>
      </c>
      <c r="J299" s="9">
        <f t="shared" si="8"/>
        <v>48300</v>
      </c>
      <c r="K299" s="9">
        <f t="shared" si="9"/>
        <v>48300</v>
      </c>
      <c r="L299" s="11" t="s">
        <v>76</v>
      </c>
      <c r="M299" s="11" t="s">
        <v>96</v>
      </c>
    </row>
    <row r="300" spans="1:13" x14ac:dyDescent="0.25">
      <c r="A300" s="6">
        <v>295</v>
      </c>
      <c r="B300" s="7">
        <v>45114</v>
      </c>
      <c r="C300" s="8" t="s">
        <v>282</v>
      </c>
      <c r="D300" s="8" t="s">
        <v>109</v>
      </c>
      <c r="E300" s="8" t="s">
        <v>102</v>
      </c>
      <c r="F300" s="8" t="s">
        <v>151</v>
      </c>
      <c r="G300" s="6">
        <v>9</v>
      </c>
      <c r="H300" s="6" t="s">
        <v>283</v>
      </c>
      <c r="I300" s="6">
        <v>0</v>
      </c>
      <c r="J300" s="6" t="e">
        <f t="shared" si="8"/>
        <v>#VALUE!</v>
      </c>
      <c r="K300" s="6" t="e">
        <f t="shared" si="9"/>
        <v>#VALUE!</v>
      </c>
      <c r="L300" s="8" t="s">
        <v>76</v>
      </c>
      <c r="M300" s="8" t="s">
        <v>91</v>
      </c>
    </row>
    <row r="301" spans="1:13" x14ac:dyDescent="0.25">
      <c r="A301" s="9">
        <v>296</v>
      </c>
      <c r="B301" s="10">
        <v>45425</v>
      </c>
      <c r="C301" s="11" t="s">
        <v>82</v>
      </c>
      <c r="D301" s="11" t="s">
        <v>109</v>
      </c>
      <c r="E301" s="11" t="s">
        <v>102</v>
      </c>
      <c r="F301" s="11" t="s">
        <v>103</v>
      </c>
      <c r="G301" s="9">
        <v>9</v>
      </c>
      <c r="H301" s="9">
        <v>10000</v>
      </c>
      <c r="I301" s="9">
        <v>10</v>
      </c>
      <c r="J301" s="9">
        <f t="shared" si="8"/>
        <v>90000</v>
      </c>
      <c r="K301" s="9">
        <f t="shared" si="9"/>
        <v>81000</v>
      </c>
      <c r="L301" s="11" t="s">
        <v>76</v>
      </c>
      <c r="M301" s="11" t="s">
        <v>91</v>
      </c>
    </row>
    <row r="302" spans="1:13" x14ac:dyDescent="0.25">
      <c r="A302" s="6">
        <v>297</v>
      </c>
      <c r="B302" s="7">
        <v>44981</v>
      </c>
      <c r="C302" s="8" t="s">
        <v>88</v>
      </c>
      <c r="D302" s="8" t="s">
        <v>73</v>
      </c>
      <c r="E302" s="8" t="s">
        <v>111</v>
      </c>
      <c r="F302" s="8" t="s">
        <v>166</v>
      </c>
      <c r="G302" s="6">
        <v>25</v>
      </c>
      <c r="H302" s="6">
        <v>26600</v>
      </c>
      <c r="I302" s="6">
        <v>5</v>
      </c>
      <c r="J302" s="6">
        <f t="shared" si="8"/>
        <v>665000</v>
      </c>
      <c r="K302" s="6">
        <f t="shared" si="9"/>
        <v>631750</v>
      </c>
      <c r="L302" s="8" t="s">
        <v>125</v>
      </c>
      <c r="M302" s="8" t="s">
        <v>91</v>
      </c>
    </row>
    <row r="303" spans="1:13" x14ac:dyDescent="0.25">
      <c r="A303" s="9">
        <v>298</v>
      </c>
      <c r="B303" s="10">
        <v>45628</v>
      </c>
      <c r="C303" s="11" t="s">
        <v>119</v>
      </c>
      <c r="D303" s="11" t="s">
        <v>83</v>
      </c>
      <c r="E303" s="11" t="s">
        <v>111</v>
      </c>
      <c r="F303" s="11" t="s">
        <v>159</v>
      </c>
      <c r="G303" s="9">
        <v>37</v>
      </c>
      <c r="H303" s="9">
        <v>11300</v>
      </c>
      <c r="I303" s="9">
        <v>0</v>
      </c>
      <c r="J303" s="9">
        <f t="shared" si="8"/>
        <v>418100</v>
      </c>
      <c r="K303" s="9">
        <f t="shared" si="9"/>
        <v>418100</v>
      </c>
      <c r="L303" s="11" t="s">
        <v>76</v>
      </c>
      <c r="M303" s="11" t="s">
        <v>81</v>
      </c>
    </row>
    <row r="304" spans="1:13" x14ac:dyDescent="0.25">
      <c r="A304" s="6">
        <v>299</v>
      </c>
      <c r="B304" s="7">
        <v>44960</v>
      </c>
      <c r="C304" s="8" t="s">
        <v>101</v>
      </c>
      <c r="D304" s="8" t="s">
        <v>109</v>
      </c>
      <c r="E304" s="8" t="s">
        <v>102</v>
      </c>
      <c r="F304" s="8" t="s">
        <v>110</v>
      </c>
      <c r="G304" s="6">
        <v>30</v>
      </c>
      <c r="H304" s="6">
        <v>20700</v>
      </c>
      <c r="I304" s="6">
        <v>10</v>
      </c>
      <c r="J304" s="6">
        <f t="shared" si="8"/>
        <v>621000</v>
      </c>
      <c r="K304" s="6">
        <f t="shared" si="9"/>
        <v>558900</v>
      </c>
      <c r="L304" s="8" t="s">
        <v>76</v>
      </c>
      <c r="M304" s="8" t="s">
        <v>91</v>
      </c>
    </row>
    <row r="305" spans="1:13" x14ac:dyDescent="0.25">
      <c r="A305" s="9">
        <v>300</v>
      </c>
      <c r="B305" s="10">
        <v>45450</v>
      </c>
      <c r="C305" s="11" t="s">
        <v>97</v>
      </c>
      <c r="D305" s="11" t="s">
        <v>284</v>
      </c>
      <c r="E305" s="11" t="s">
        <v>79</v>
      </c>
      <c r="F305" s="11" t="s">
        <v>179</v>
      </c>
      <c r="G305" s="9">
        <v>24</v>
      </c>
      <c r="H305" s="9">
        <v>2700</v>
      </c>
      <c r="I305" s="9">
        <v>20</v>
      </c>
      <c r="J305" s="9">
        <f t="shared" si="8"/>
        <v>64800</v>
      </c>
      <c r="K305" s="9">
        <f t="shared" si="9"/>
        <v>51840</v>
      </c>
      <c r="L305" s="11" t="s">
        <v>76</v>
      </c>
      <c r="M305" s="11" t="s">
        <v>77</v>
      </c>
    </row>
    <row r="306" spans="1:13" x14ac:dyDescent="0.25">
      <c r="A306" s="6">
        <v>301</v>
      </c>
      <c r="B306" s="7">
        <v>45378</v>
      </c>
      <c r="C306" s="8" t="s">
        <v>82</v>
      </c>
      <c r="D306" s="8" t="s">
        <v>109</v>
      </c>
      <c r="E306" s="8" t="s">
        <v>111</v>
      </c>
      <c r="F306" s="8" t="s">
        <v>112</v>
      </c>
      <c r="G306" s="6">
        <v>42</v>
      </c>
      <c r="H306" s="6">
        <v>70500</v>
      </c>
      <c r="I306" s="6">
        <v>20</v>
      </c>
      <c r="J306" s="6">
        <f t="shared" si="8"/>
        <v>2961000</v>
      </c>
      <c r="K306" s="6">
        <f t="shared" si="9"/>
        <v>2368800</v>
      </c>
      <c r="L306" s="8" t="s">
        <v>86</v>
      </c>
      <c r="M306" s="8" t="s">
        <v>96</v>
      </c>
    </row>
    <row r="307" spans="1:13" x14ac:dyDescent="0.25">
      <c r="A307" s="9">
        <v>302</v>
      </c>
      <c r="B307" s="10">
        <v>44960</v>
      </c>
      <c r="C307" s="11" t="s">
        <v>119</v>
      </c>
      <c r="D307" s="11" t="s">
        <v>117</v>
      </c>
      <c r="E307" s="11" t="s">
        <v>149</v>
      </c>
      <c r="F307" s="11" t="s">
        <v>118</v>
      </c>
      <c r="G307" s="9">
        <v>8</v>
      </c>
      <c r="H307" s="9">
        <v>28300</v>
      </c>
      <c r="I307" s="9">
        <v>0</v>
      </c>
      <c r="J307" s="9">
        <f t="shared" si="8"/>
        <v>226400</v>
      </c>
      <c r="K307" s="9">
        <f t="shared" si="9"/>
        <v>226400</v>
      </c>
      <c r="L307" s="11" t="s">
        <v>86</v>
      </c>
      <c r="M307" s="11" t="s">
        <v>81</v>
      </c>
    </row>
    <row r="308" spans="1:13" x14ac:dyDescent="0.25">
      <c r="A308" s="6">
        <v>303</v>
      </c>
      <c r="B308" s="7">
        <v>45529</v>
      </c>
      <c r="C308" s="8" t="s">
        <v>88</v>
      </c>
      <c r="D308" s="8" t="s">
        <v>93</v>
      </c>
      <c r="E308" s="8" t="s">
        <v>111</v>
      </c>
      <c r="F308" s="8" t="s">
        <v>166</v>
      </c>
      <c r="G308" s="6">
        <v>14</v>
      </c>
      <c r="H308" s="6">
        <v>29500</v>
      </c>
      <c r="I308" s="6">
        <v>10</v>
      </c>
      <c r="J308" s="6">
        <f t="shared" si="8"/>
        <v>413000</v>
      </c>
      <c r="K308" s="6">
        <f t="shared" si="9"/>
        <v>371700</v>
      </c>
      <c r="L308" s="8" t="s">
        <v>86</v>
      </c>
      <c r="M308" s="8" t="s">
        <v>77</v>
      </c>
    </row>
    <row r="309" spans="1:13" x14ac:dyDescent="0.25">
      <c r="A309" s="9">
        <v>153</v>
      </c>
      <c r="B309" s="10">
        <v>45512</v>
      </c>
      <c r="C309" s="11" t="s">
        <v>106</v>
      </c>
      <c r="D309" s="11" t="s">
        <v>117</v>
      </c>
      <c r="E309" s="11" t="s">
        <v>102</v>
      </c>
      <c r="F309" s="11" t="s">
        <v>197</v>
      </c>
      <c r="G309" s="9">
        <v>4</v>
      </c>
      <c r="H309" s="9">
        <v>3900</v>
      </c>
      <c r="I309" s="9">
        <v>15</v>
      </c>
      <c r="J309" s="9">
        <f t="shared" si="8"/>
        <v>15600</v>
      </c>
      <c r="K309" s="9">
        <f t="shared" si="9"/>
        <v>13260</v>
      </c>
      <c r="L309" s="11" t="s">
        <v>76</v>
      </c>
      <c r="M309" s="11" t="s">
        <v>96</v>
      </c>
    </row>
    <row r="310" spans="1:13" x14ac:dyDescent="0.25">
      <c r="A310" s="6">
        <v>304</v>
      </c>
      <c r="B310" s="7">
        <v>45286</v>
      </c>
      <c r="C310" s="8" t="s">
        <v>82</v>
      </c>
      <c r="D310" s="8" t="s">
        <v>117</v>
      </c>
      <c r="E310" s="8" t="s">
        <v>102</v>
      </c>
      <c r="F310" s="8" t="s">
        <v>103</v>
      </c>
      <c r="G310" s="6">
        <v>46</v>
      </c>
      <c r="H310" s="6">
        <v>9600</v>
      </c>
      <c r="I310" s="6">
        <v>20</v>
      </c>
      <c r="J310" s="6">
        <f t="shared" si="8"/>
        <v>441600</v>
      </c>
      <c r="K310" s="6">
        <f t="shared" si="9"/>
        <v>353280</v>
      </c>
      <c r="L310" s="8" t="s">
        <v>174</v>
      </c>
      <c r="M310" s="8" t="s">
        <v>96</v>
      </c>
    </row>
    <row r="311" spans="1:13" x14ac:dyDescent="0.25">
      <c r="A311" s="9">
        <v>305</v>
      </c>
      <c r="B311" s="10">
        <v>45453</v>
      </c>
      <c r="C311" s="11" t="s">
        <v>72</v>
      </c>
      <c r="D311" s="11" t="s">
        <v>109</v>
      </c>
      <c r="E311" s="11" t="s">
        <v>111</v>
      </c>
      <c r="F311" s="11" t="s">
        <v>192</v>
      </c>
      <c r="G311" s="9">
        <v>42</v>
      </c>
      <c r="H311" s="9">
        <v>109100</v>
      </c>
      <c r="I311" s="9">
        <v>0</v>
      </c>
      <c r="J311" s="9">
        <f t="shared" si="8"/>
        <v>4582200</v>
      </c>
      <c r="K311" s="9">
        <f t="shared" si="9"/>
        <v>4582200</v>
      </c>
      <c r="L311" s="11" t="s">
        <v>76</v>
      </c>
      <c r="M311" s="11" t="s">
        <v>81</v>
      </c>
    </row>
    <row r="312" spans="1:13" x14ac:dyDescent="0.25">
      <c r="A312" s="6">
        <v>306</v>
      </c>
      <c r="B312" s="7">
        <v>45076</v>
      </c>
      <c r="C312" s="8" t="s">
        <v>88</v>
      </c>
      <c r="D312" s="8" t="s">
        <v>109</v>
      </c>
      <c r="E312" s="8" t="s">
        <v>111</v>
      </c>
      <c r="F312" s="8" t="s">
        <v>159</v>
      </c>
      <c r="G312" s="6">
        <v>41</v>
      </c>
      <c r="H312" s="6">
        <v>11200</v>
      </c>
      <c r="I312" s="6">
        <v>5</v>
      </c>
      <c r="J312" s="6">
        <f t="shared" si="8"/>
        <v>459200</v>
      </c>
      <c r="K312" s="6">
        <f t="shared" si="9"/>
        <v>436240</v>
      </c>
      <c r="L312" s="8" t="s">
        <v>76</v>
      </c>
      <c r="M312" s="8" t="s">
        <v>91</v>
      </c>
    </row>
    <row r="313" spans="1:13" x14ac:dyDescent="0.25">
      <c r="A313" s="9">
        <v>307</v>
      </c>
      <c r="B313" s="10">
        <v>45389</v>
      </c>
      <c r="C313" s="11" t="s">
        <v>97</v>
      </c>
      <c r="D313" s="11" t="s">
        <v>73</v>
      </c>
      <c r="E313" s="11" t="s">
        <v>111</v>
      </c>
      <c r="F313" s="11" t="s">
        <v>135</v>
      </c>
      <c r="G313" s="9">
        <v>24</v>
      </c>
      <c r="H313" s="9">
        <v>123500</v>
      </c>
      <c r="I313" s="9">
        <v>0</v>
      </c>
      <c r="J313" s="9">
        <f t="shared" si="8"/>
        <v>2964000</v>
      </c>
      <c r="K313" s="9">
        <f t="shared" si="9"/>
        <v>2964000</v>
      </c>
      <c r="L313" s="11" t="s">
        <v>76</v>
      </c>
      <c r="M313" s="11" t="s">
        <v>91</v>
      </c>
    </row>
    <row r="314" spans="1:13" x14ac:dyDescent="0.25">
      <c r="A314" s="6">
        <v>308</v>
      </c>
      <c r="B314" s="7">
        <v>45522</v>
      </c>
      <c r="C314" s="8" t="s">
        <v>78</v>
      </c>
      <c r="D314" s="8" t="s">
        <v>73</v>
      </c>
      <c r="E314" s="8" t="s">
        <v>111</v>
      </c>
      <c r="F314" s="8" t="s">
        <v>132</v>
      </c>
      <c r="G314" s="6">
        <v>35</v>
      </c>
      <c r="H314" s="6">
        <v>8300</v>
      </c>
      <c r="I314" s="6">
        <v>20</v>
      </c>
      <c r="J314" s="6">
        <f t="shared" si="8"/>
        <v>290500</v>
      </c>
      <c r="K314" s="6">
        <f t="shared" si="9"/>
        <v>232400</v>
      </c>
      <c r="L314" s="8" t="s">
        <v>76</v>
      </c>
      <c r="M314" s="8" t="s">
        <v>91</v>
      </c>
    </row>
    <row r="315" spans="1:13" x14ac:dyDescent="0.25">
      <c r="A315" s="9">
        <v>309</v>
      </c>
      <c r="B315" s="10">
        <v>45143</v>
      </c>
      <c r="C315" s="11" t="s">
        <v>119</v>
      </c>
      <c r="D315" s="11" t="s">
        <v>117</v>
      </c>
      <c r="E315" s="11" t="s">
        <v>74</v>
      </c>
      <c r="F315" s="11" t="s">
        <v>190</v>
      </c>
      <c r="G315" s="9">
        <v>37</v>
      </c>
      <c r="H315" s="9" t="s">
        <v>285</v>
      </c>
      <c r="I315" s="9">
        <v>20</v>
      </c>
      <c r="J315" s="9" t="e">
        <f t="shared" si="8"/>
        <v>#VALUE!</v>
      </c>
      <c r="K315" s="9" t="e">
        <f t="shared" si="9"/>
        <v>#VALUE!</v>
      </c>
      <c r="L315" s="11" t="s">
        <v>76</v>
      </c>
      <c r="M315" s="11" t="s">
        <v>91</v>
      </c>
    </row>
    <row r="316" spans="1:13" x14ac:dyDescent="0.25">
      <c r="A316" s="6">
        <v>310</v>
      </c>
      <c r="B316" s="7">
        <v>45278</v>
      </c>
      <c r="C316" s="8" t="s">
        <v>78</v>
      </c>
      <c r="D316" s="8" t="s">
        <v>73</v>
      </c>
      <c r="E316" s="8" t="s">
        <v>79</v>
      </c>
      <c r="F316" s="8" t="s">
        <v>172</v>
      </c>
      <c r="G316" s="6">
        <v>11</v>
      </c>
      <c r="H316" s="6">
        <v>22600</v>
      </c>
      <c r="I316" s="6">
        <v>5</v>
      </c>
      <c r="J316" s="6">
        <f t="shared" si="8"/>
        <v>248600</v>
      </c>
      <c r="K316" s="6">
        <f t="shared" si="9"/>
        <v>236170</v>
      </c>
      <c r="L316" s="8" t="s">
        <v>76</v>
      </c>
      <c r="M316" s="8" t="s">
        <v>77</v>
      </c>
    </row>
    <row r="317" spans="1:13" x14ac:dyDescent="0.25">
      <c r="A317" s="9">
        <v>311</v>
      </c>
      <c r="B317" s="10">
        <v>45134</v>
      </c>
      <c r="C317" s="11" t="s">
        <v>108</v>
      </c>
      <c r="D317" s="11" t="s">
        <v>117</v>
      </c>
      <c r="E317" s="11" t="s">
        <v>84</v>
      </c>
      <c r="F317" s="11" t="s">
        <v>134</v>
      </c>
      <c r="G317" s="9">
        <v>24</v>
      </c>
      <c r="H317" s="9">
        <v>8900</v>
      </c>
      <c r="I317" s="9">
        <v>15</v>
      </c>
      <c r="J317" s="9">
        <f t="shared" si="8"/>
        <v>213600</v>
      </c>
      <c r="K317" s="9">
        <f t="shared" si="9"/>
        <v>181560</v>
      </c>
      <c r="L317" s="11" t="s">
        <v>76</v>
      </c>
      <c r="M317" s="11" t="s">
        <v>96</v>
      </c>
    </row>
    <row r="318" spans="1:13" x14ac:dyDescent="0.25">
      <c r="A318" s="6">
        <v>312</v>
      </c>
      <c r="B318" s="7">
        <v>45591</v>
      </c>
      <c r="C318" s="8" t="s">
        <v>108</v>
      </c>
      <c r="D318" s="8" t="s">
        <v>127</v>
      </c>
      <c r="E318" s="8" t="s">
        <v>111</v>
      </c>
      <c r="F318" s="8" t="s">
        <v>135</v>
      </c>
      <c r="G318" s="6">
        <v>49</v>
      </c>
      <c r="H318" s="6">
        <v>124400</v>
      </c>
      <c r="I318" s="6">
        <v>15</v>
      </c>
      <c r="J318" s="6">
        <f t="shared" si="8"/>
        <v>6095600</v>
      </c>
      <c r="K318" s="6">
        <f t="shared" si="9"/>
        <v>5181260</v>
      </c>
      <c r="L318" s="8" t="s">
        <v>76</v>
      </c>
      <c r="M318" s="8" t="s">
        <v>77</v>
      </c>
    </row>
    <row r="319" spans="1:13" x14ac:dyDescent="0.25">
      <c r="A319" s="9">
        <v>313</v>
      </c>
      <c r="B319" s="10">
        <v>45024</v>
      </c>
      <c r="C319" s="11" t="s">
        <v>78</v>
      </c>
      <c r="D319" s="11" t="s">
        <v>109</v>
      </c>
      <c r="E319" s="11" t="s">
        <v>111</v>
      </c>
      <c r="F319" s="11" t="s">
        <v>112</v>
      </c>
      <c r="G319" s="9">
        <v>15</v>
      </c>
      <c r="H319" s="9">
        <v>60700</v>
      </c>
      <c r="I319" s="9">
        <v>0</v>
      </c>
      <c r="J319" s="9">
        <f t="shared" si="8"/>
        <v>910500</v>
      </c>
      <c r="K319" s="9">
        <f t="shared" si="9"/>
        <v>910500</v>
      </c>
      <c r="L319" s="11" t="s">
        <v>76</v>
      </c>
      <c r="M319" s="11" t="s">
        <v>91</v>
      </c>
    </row>
    <row r="320" spans="1:13" x14ac:dyDescent="0.25">
      <c r="A320" s="6">
        <v>314</v>
      </c>
      <c r="B320" s="7">
        <v>44935</v>
      </c>
      <c r="C320" s="8" t="s">
        <v>286</v>
      </c>
      <c r="D320" s="8" t="s">
        <v>73</v>
      </c>
      <c r="E320" s="8" t="s">
        <v>111</v>
      </c>
      <c r="F320" s="8" t="s">
        <v>166</v>
      </c>
      <c r="G320" s="6">
        <v>15</v>
      </c>
      <c r="H320" s="6">
        <v>28500</v>
      </c>
      <c r="I320" s="6">
        <v>0</v>
      </c>
      <c r="J320" s="6">
        <f t="shared" si="8"/>
        <v>427500</v>
      </c>
      <c r="K320" s="6">
        <f t="shared" si="9"/>
        <v>427500</v>
      </c>
      <c r="L320" s="8" t="s">
        <v>76</v>
      </c>
      <c r="M320" s="8" t="s">
        <v>77</v>
      </c>
    </row>
    <row r="321" spans="1:13" x14ac:dyDescent="0.25">
      <c r="A321" s="9">
        <v>315</v>
      </c>
      <c r="B321" s="10">
        <v>45247</v>
      </c>
      <c r="C321" s="11" t="s">
        <v>286</v>
      </c>
      <c r="D321" s="11" t="s">
        <v>117</v>
      </c>
      <c r="E321" s="11" t="s">
        <v>84</v>
      </c>
      <c r="F321" s="11" t="s">
        <v>148</v>
      </c>
      <c r="G321" s="9">
        <v>49</v>
      </c>
      <c r="H321" s="9">
        <v>5200</v>
      </c>
      <c r="I321" s="9">
        <v>0</v>
      </c>
      <c r="J321" s="9">
        <f t="shared" si="8"/>
        <v>254800</v>
      </c>
      <c r="K321" s="9">
        <f t="shared" si="9"/>
        <v>254800</v>
      </c>
      <c r="L321" s="11" t="s">
        <v>107</v>
      </c>
      <c r="M321" s="11"/>
    </row>
    <row r="322" spans="1:13" x14ac:dyDescent="0.25">
      <c r="A322" s="6">
        <v>316</v>
      </c>
      <c r="B322" s="8" t="s">
        <v>287</v>
      </c>
      <c r="C322" s="8" t="s">
        <v>124</v>
      </c>
      <c r="D322" s="8" t="s">
        <v>73</v>
      </c>
      <c r="E322" s="8" t="s">
        <v>102</v>
      </c>
      <c r="F322" s="8" t="s">
        <v>103</v>
      </c>
      <c r="G322" s="6">
        <v>47</v>
      </c>
      <c r="H322" s="6">
        <v>9900</v>
      </c>
      <c r="I322" s="6">
        <v>5</v>
      </c>
      <c r="J322" s="6">
        <f t="shared" ref="J322:J385" si="10">G322*H322</f>
        <v>465300</v>
      </c>
      <c r="K322" s="6">
        <f t="shared" ref="K322:K385" si="11">J322*(1-I322/100)</f>
        <v>442035</v>
      </c>
      <c r="L322" s="8" t="s">
        <v>76</v>
      </c>
      <c r="M322" s="8" t="s">
        <v>81</v>
      </c>
    </row>
    <row r="323" spans="1:13" x14ac:dyDescent="0.25">
      <c r="A323" s="9">
        <v>317</v>
      </c>
      <c r="B323" s="10">
        <v>45557</v>
      </c>
      <c r="C323" s="11" t="s">
        <v>119</v>
      </c>
      <c r="D323" s="11" t="s">
        <v>109</v>
      </c>
      <c r="E323" s="11" t="s">
        <v>79</v>
      </c>
      <c r="F323" s="11" t="s">
        <v>131</v>
      </c>
      <c r="G323" s="9">
        <v>8</v>
      </c>
      <c r="H323" s="9">
        <v>112200</v>
      </c>
      <c r="I323" s="9">
        <v>0</v>
      </c>
      <c r="J323" s="9">
        <f t="shared" si="10"/>
        <v>897600</v>
      </c>
      <c r="K323" s="9">
        <f t="shared" si="11"/>
        <v>897600</v>
      </c>
      <c r="L323" s="11" t="s">
        <v>76</v>
      </c>
      <c r="M323" s="11" t="s">
        <v>91</v>
      </c>
    </row>
    <row r="324" spans="1:13" x14ac:dyDescent="0.25">
      <c r="A324" s="6">
        <v>318</v>
      </c>
      <c r="B324" s="7">
        <v>45366</v>
      </c>
      <c r="C324" s="8" t="s">
        <v>88</v>
      </c>
      <c r="D324" s="8" t="s">
        <v>109</v>
      </c>
      <c r="E324" s="8" t="s">
        <v>84</v>
      </c>
      <c r="F324" s="8" t="s">
        <v>134</v>
      </c>
      <c r="G324" s="6">
        <v>16</v>
      </c>
      <c r="H324" s="6">
        <v>10200</v>
      </c>
      <c r="I324" s="6">
        <v>20</v>
      </c>
      <c r="J324" s="6">
        <f t="shared" si="10"/>
        <v>163200</v>
      </c>
      <c r="K324" s="6">
        <f t="shared" si="11"/>
        <v>130560</v>
      </c>
      <c r="L324" s="8" t="s">
        <v>76</v>
      </c>
      <c r="M324" s="8" t="s">
        <v>96</v>
      </c>
    </row>
    <row r="325" spans="1:13" x14ac:dyDescent="0.25">
      <c r="A325" s="9">
        <v>319</v>
      </c>
      <c r="B325" s="10">
        <v>45634</v>
      </c>
      <c r="C325" s="11" t="s">
        <v>78</v>
      </c>
      <c r="D325" s="11" t="s">
        <v>117</v>
      </c>
      <c r="E325" s="11" t="s">
        <v>84</v>
      </c>
      <c r="F325" s="11" t="s">
        <v>90</v>
      </c>
      <c r="G325" s="9">
        <v>19</v>
      </c>
      <c r="H325" s="9">
        <v>2000</v>
      </c>
      <c r="I325" s="9">
        <v>5</v>
      </c>
      <c r="J325" s="9">
        <f t="shared" si="10"/>
        <v>38000</v>
      </c>
      <c r="K325" s="9">
        <f t="shared" si="11"/>
        <v>36100</v>
      </c>
      <c r="L325" s="11" t="s">
        <v>76</v>
      </c>
      <c r="M325" s="11" t="s">
        <v>81</v>
      </c>
    </row>
    <row r="326" spans="1:13" x14ac:dyDescent="0.25">
      <c r="A326" s="6">
        <v>320</v>
      </c>
      <c r="B326" s="7">
        <v>45322</v>
      </c>
      <c r="C326" s="8" t="s">
        <v>97</v>
      </c>
      <c r="D326" s="8" t="s">
        <v>109</v>
      </c>
      <c r="E326" s="8" t="s">
        <v>111</v>
      </c>
      <c r="F326" s="8" t="s">
        <v>112</v>
      </c>
      <c r="G326" s="6">
        <v>1</v>
      </c>
      <c r="H326" s="6">
        <v>67100</v>
      </c>
      <c r="I326" s="6">
        <v>0</v>
      </c>
      <c r="J326" s="6">
        <f t="shared" si="10"/>
        <v>67100</v>
      </c>
      <c r="K326" s="6">
        <f t="shared" si="11"/>
        <v>67100</v>
      </c>
      <c r="L326" s="8" t="s">
        <v>125</v>
      </c>
      <c r="M326" s="8" t="s">
        <v>96</v>
      </c>
    </row>
    <row r="327" spans="1:13" x14ac:dyDescent="0.25">
      <c r="A327" s="9">
        <v>321</v>
      </c>
      <c r="B327" s="11" t="s">
        <v>288</v>
      </c>
      <c r="C327" s="11" t="s">
        <v>124</v>
      </c>
      <c r="D327" s="11" t="s">
        <v>83</v>
      </c>
      <c r="E327" s="11" t="s">
        <v>74</v>
      </c>
      <c r="F327" s="11" t="s">
        <v>142</v>
      </c>
      <c r="G327" s="9">
        <v>50</v>
      </c>
      <c r="H327" s="9">
        <v>13100</v>
      </c>
      <c r="I327" s="9">
        <v>0</v>
      </c>
      <c r="J327" s="9">
        <f t="shared" si="10"/>
        <v>655000</v>
      </c>
      <c r="K327" s="9">
        <f t="shared" si="11"/>
        <v>655000</v>
      </c>
      <c r="L327" s="11" t="s">
        <v>174</v>
      </c>
      <c r="M327" s="11" t="s">
        <v>77</v>
      </c>
    </row>
    <row r="328" spans="1:13" x14ac:dyDescent="0.25">
      <c r="A328" s="6">
        <v>322</v>
      </c>
      <c r="B328" s="7">
        <v>45195</v>
      </c>
      <c r="C328" s="8" t="s">
        <v>106</v>
      </c>
      <c r="D328" s="8" t="s">
        <v>73</v>
      </c>
      <c r="E328" s="8" t="s">
        <v>79</v>
      </c>
      <c r="F328" s="8" t="s">
        <v>115</v>
      </c>
      <c r="G328" s="6">
        <v>41</v>
      </c>
      <c r="H328" s="6">
        <v>9200</v>
      </c>
      <c r="I328" s="6">
        <v>5</v>
      </c>
      <c r="J328" s="6">
        <f t="shared" si="10"/>
        <v>377200</v>
      </c>
      <c r="K328" s="6">
        <f t="shared" si="11"/>
        <v>358340</v>
      </c>
      <c r="L328" s="8" t="s">
        <v>86</v>
      </c>
      <c r="M328" s="8" t="s">
        <v>91</v>
      </c>
    </row>
    <row r="329" spans="1:13" x14ac:dyDescent="0.25">
      <c r="A329" s="9">
        <v>323</v>
      </c>
      <c r="B329" s="10">
        <v>45645</v>
      </c>
      <c r="C329" s="11" t="s">
        <v>114</v>
      </c>
      <c r="D329" s="11" t="s">
        <v>73</v>
      </c>
      <c r="E329" s="11" t="s">
        <v>102</v>
      </c>
      <c r="F329" s="11" t="s">
        <v>103</v>
      </c>
      <c r="G329" s="9">
        <v>20</v>
      </c>
      <c r="H329" s="9">
        <v>9500</v>
      </c>
      <c r="I329" s="9">
        <v>20</v>
      </c>
      <c r="J329" s="9">
        <f t="shared" si="10"/>
        <v>190000</v>
      </c>
      <c r="K329" s="9">
        <f t="shared" si="11"/>
        <v>152000</v>
      </c>
      <c r="L329" s="11" t="s">
        <v>76</v>
      </c>
      <c r="M329" s="11" t="s">
        <v>81</v>
      </c>
    </row>
    <row r="330" spans="1:13" x14ac:dyDescent="0.25">
      <c r="A330" s="6">
        <v>324</v>
      </c>
      <c r="B330" s="8" t="s">
        <v>289</v>
      </c>
      <c r="C330" s="8" t="s">
        <v>82</v>
      </c>
      <c r="D330" s="8" t="s">
        <v>117</v>
      </c>
      <c r="E330" s="8" t="s">
        <v>111</v>
      </c>
      <c r="F330" s="8" t="s">
        <v>112</v>
      </c>
      <c r="G330" s="6">
        <v>28</v>
      </c>
      <c r="H330" s="6">
        <v>63500</v>
      </c>
      <c r="I330" s="6">
        <v>0</v>
      </c>
      <c r="J330" s="6">
        <f t="shared" si="10"/>
        <v>1778000</v>
      </c>
      <c r="K330" s="6">
        <f t="shared" si="11"/>
        <v>1778000</v>
      </c>
      <c r="L330" s="8" t="s">
        <v>86</v>
      </c>
      <c r="M330" s="8" t="s">
        <v>81</v>
      </c>
    </row>
    <row r="331" spans="1:13" x14ac:dyDescent="0.25">
      <c r="A331" s="9">
        <v>325</v>
      </c>
      <c r="B331" s="10">
        <v>45177</v>
      </c>
      <c r="C331" s="11" t="s">
        <v>121</v>
      </c>
      <c r="D331" s="11" t="s">
        <v>83</v>
      </c>
      <c r="E331" s="11" t="s">
        <v>79</v>
      </c>
      <c r="F331" s="11" t="s">
        <v>172</v>
      </c>
      <c r="G331" s="9">
        <v>4</v>
      </c>
      <c r="H331" s="9">
        <v>26300</v>
      </c>
      <c r="I331" s="9">
        <v>0</v>
      </c>
      <c r="J331" s="9">
        <f t="shared" si="10"/>
        <v>105200</v>
      </c>
      <c r="K331" s="9">
        <f t="shared" si="11"/>
        <v>105200</v>
      </c>
      <c r="L331" s="11" t="s">
        <v>76</v>
      </c>
      <c r="M331" s="11" t="s">
        <v>81</v>
      </c>
    </row>
    <row r="332" spans="1:13" x14ac:dyDescent="0.25">
      <c r="A332" s="6">
        <v>326</v>
      </c>
      <c r="B332" s="7">
        <v>44939</v>
      </c>
      <c r="C332" s="8" t="s">
        <v>290</v>
      </c>
      <c r="D332" s="8" t="s">
        <v>73</v>
      </c>
      <c r="E332" s="8" t="s">
        <v>84</v>
      </c>
      <c r="F332" s="8" t="s">
        <v>85</v>
      </c>
      <c r="G332" s="6">
        <v>34</v>
      </c>
      <c r="H332" s="6">
        <v>6100</v>
      </c>
      <c r="I332" s="6">
        <v>0</v>
      </c>
      <c r="J332" s="6">
        <f t="shared" si="10"/>
        <v>207400</v>
      </c>
      <c r="K332" s="6">
        <f t="shared" si="11"/>
        <v>207400</v>
      </c>
      <c r="L332" s="8" t="s">
        <v>76</v>
      </c>
      <c r="M332" s="8" t="s">
        <v>96</v>
      </c>
    </row>
    <row r="333" spans="1:13" x14ac:dyDescent="0.25">
      <c r="A333" s="9">
        <v>327</v>
      </c>
      <c r="B333" s="10">
        <v>45307</v>
      </c>
      <c r="C333" s="11" t="s">
        <v>108</v>
      </c>
      <c r="D333" s="11" t="s">
        <v>89</v>
      </c>
      <c r="E333" s="11" t="s">
        <v>79</v>
      </c>
      <c r="F333" s="11" t="s">
        <v>136</v>
      </c>
      <c r="G333" s="9">
        <v>28</v>
      </c>
      <c r="H333" s="9">
        <v>83600</v>
      </c>
      <c r="I333" s="9">
        <v>0</v>
      </c>
      <c r="J333" s="9">
        <f t="shared" si="10"/>
        <v>2340800</v>
      </c>
      <c r="K333" s="9">
        <f t="shared" si="11"/>
        <v>2340800</v>
      </c>
      <c r="L333" s="11" t="s">
        <v>76</v>
      </c>
      <c r="M333" s="11" t="s">
        <v>77</v>
      </c>
    </row>
    <row r="334" spans="1:13" x14ac:dyDescent="0.25">
      <c r="A334" s="6">
        <v>328</v>
      </c>
      <c r="B334" s="7">
        <v>45656</v>
      </c>
      <c r="C334" s="8" t="s">
        <v>124</v>
      </c>
      <c r="D334" s="8" t="s">
        <v>73</v>
      </c>
      <c r="E334" s="8" t="s">
        <v>111</v>
      </c>
      <c r="F334" s="8" t="s">
        <v>159</v>
      </c>
      <c r="G334" s="6">
        <v>4</v>
      </c>
      <c r="H334" s="6">
        <v>12300</v>
      </c>
      <c r="I334" s="6">
        <v>0</v>
      </c>
      <c r="J334" s="6">
        <f t="shared" si="10"/>
        <v>49200</v>
      </c>
      <c r="K334" s="6">
        <f t="shared" si="11"/>
        <v>49200</v>
      </c>
      <c r="L334" s="8" t="s">
        <v>76</v>
      </c>
      <c r="M334" s="8" t="s">
        <v>81</v>
      </c>
    </row>
    <row r="335" spans="1:13" x14ac:dyDescent="0.25">
      <c r="A335" s="9">
        <v>329</v>
      </c>
      <c r="B335" s="10">
        <v>45088</v>
      </c>
      <c r="C335" s="11" t="s">
        <v>101</v>
      </c>
      <c r="D335" s="11" t="s">
        <v>73</v>
      </c>
      <c r="E335" s="11" t="s">
        <v>102</v>
      </c>
      <c r="F335" s="11" t="s">
        <v>137</v>
      </c>
      <c r="G335" s="9">
        <v>33</v>
      </c>
      <c r="H335" s="9">
        <v>2100</v>
      </c>
      <c r="I335" s="9">
        <v>0</v>
      </c>
      <c r="J335" s="9">
        <f t="shared" si="10"/>
        <v>69300</v>
      </c>
      <c r="K335" s="9">
        <f t="shared" si="11"/>
        <v>69300</v>
      </c>
      <c r="L335" s="11" t="s">
        <v>76</v>
      </c>
      <c r="M335" s="11" t="s">
        <v>77</v>
      </c>
    </row>
    <row r="336" spans="1:13" x14ac:dyDescent="0.25">
      <c r="A336" s="6">
        <v>330</v>
      </c>
      <c r="B336" s="8" t="s">
        <v>291</v>
      </c>
      <c r="C336" s="8" t="s">
        <v>119</v>
      </c>
      <c r="D336" s="8" t="s">
        <v>117</v>
      </c>
      <c r="E336" s="8" t="s">
        <v>111</v>
      </c>
      <c r="F336" s="8" t="s">
        <v>166</v>
      </c>
      <c r="G336" s="6">
        <v>3</v>
      </c>
      <c r="H336" s="6">
        <v>26500</v>
      </c>
      <c r="I336" s="6">
        <v>0</v>
      </c>
      <c r="J336" s="6">
        <f t="shared" si="10"/>
        <v>79500</v>
      </c>
      <c r="K336" s="6">
        <f t="shared" si="11"/>
        <v>79500</v>
      </c>
      <c r="L336" s="8" t="s">
        <v>76</v>
      </c>
      <c r="M336" s="8" t="s">
        <v>91</v>
      </c>
    </row>
    <row r="337" spans="1:13" x14ac:dyDescent="0.25">
      <c r="A337" s="9">
        <v>331</v>
      </c>
      <c r="B337" s="10">
        <v>45256</v>
      </c>
      <c r="C337" s="11" t="s">
        <v>106</v>
      </c>
      <c r="D337" s="11" t="s">
        <v>83</v>
      </c>
      <c r="E337" s="11" t="s">
        <v>74</v>
      </c>
      <c r="F337" s="11" t="s">
        <v>190</v>
      </c>
      <c r="G337" s="9">
        <v>37</v>
      </c>
      <c r="H337" s="9">
        <v>35400</v>
      </c>
      <c r="I337" s="9"/>
      <c r="J337" s="9">
        <f t="shared" si="10"/>
        <v>1309800</v>
      </c>
      <c r="K337" s="9">
        <f t="shared" si="11"/>
        <v>1309800</v>
      </c>
      <c r="L337" s="11" t="s">
        <v>76</v>
      </c>
      <c r="M337" s="11" t="s">
        <v>77</v>
      </c>
    </row>
    <row r="338" spans="1:13" x14ac:dyDescent="0.25">
      <c r="A338" s="6">
        <v>332</v>
      </c>
      <c r="B338" s="7">
        <v>45155</v>
      </c>
      <c r="C338" s="8" t="s">
        <v>82</v>
      </c>
      <c r="D338" s="8" t="s">
        <v>73</v>
      </c>
      <c r="E338" s="8" t="s">
        <v>111</v>
      </c>
      <c r="F338" s="8" t="s">
        <v>112</v>
      </c>
      <c r="G338" s="6">
        <v>19</v>
      </c>
      <c r="H338" s="6">
        <v>72800</v>
      </c>
      <c r="I338" s="6">
        <v>0</v>
      </c>
      <c r="J338" s="6">
        <f t="shared" si="10"/>
        <v>1383200</v>
      </c>
      <c r="K338" s="6">
        <f t="shared" si="11"/>
        <v>1383200</v>
      </c>
      <c r="L338" s="8" t="s">
        <v>264</v>
      </c>
      <c r="M338" s="8" t="s">
        <v>96</v>
      </c>
    </row>
    <row r="339" spans="1:13" x14ac:dyDescent="0.25">
      <c r="A339" s="9">
        <v>333</v>
      </c>
      <c r="B339" s="10">
        <v>45015</v>
      </c>
      <c r="C339" s="11" t="s">
        <v>82</v>
      </c>
      <c r="D339" s="11" t="s">
        <v>83</v>
      </c>
      <c r="E339" s="11" t="s">
        <v>79</v>
      </c>
      <c r="F339" s="11" t="s">
        <v>120</v>
      </c>
      <c r="G339" s="9">
        <v>37</v>
      </c>
      <c r="H339" s="9">
        <v>5700</v>
      </c>
      <c r="I339" s="9">
        <v>5</v>
      </c>
      <c r="J339" s="9">
        <f t="shared" si="10"/>
        <v>210900</v>
      </c>
      <c r="K339" s="9">
        <f t="shared" si="11"/>
        <v>200355</v>
      </c>
      <c r="L339" s="11" t="s">
        <v>250</v>
      </c>
      <c r="M339" s="11" t="s">
        <v>81</v>
      </c>
    </row>
    <row r="340" spans="1:13" x14ac:dyDescent="0.25">
      <c r="A340" s="6">
        <v>334</v>
      </c>
      <c r="B340" s="7">
        <v>45304</v>
      </c>
      <c r="C340" s="8" t="s">
        <v>124</v>
      </c>
      <c r="D340" s="8" t="s">
        <v>83</v>
      </c>
      <c r="E340" s="8" t="s">
        <v>84</v>
      </c>
      <c r="F340" s="8" t="s">
        <v>90</v>
      </c>
      <c r="G340" s="6">
        <v>27</v>
      </c>
      <c r="H340" s="6">
        <v>1700</v>
      </c>
      <c r="I340" s="6">
        <v>15</v>
      </c>
      <c r="J340" s="6">
        <f t="shared" si="10"/>
        <v>45900</v>
      </c>
      <c r="K340" s="6">
        <f t="shared" si="11"/>
        <v>39015</v>
      </c>
      <c r="L340" s="8" t="s">
        <v>76</v>
      </c>
      <c r="M340" s="8" t="s">
        <v>96</v>
      </c>
    </row>
    <row r="341" spans="1:13" x14ac:dyDescent="0.25">
      <c r="A341" s="9">
        <v>335</v>
      </c>
      <c r="B341" s="10">
        <v>45637</v>
      </c>
      <c r="C341" s="11" t="s">
        <v>78</v>
      </c>
      <c r="D341" s="11" t="s">
        <v>117</v>
      </c>
      <c r="E341" s="11" t="s">
        <v>292</v>
      </c>
      <c r="F341" s="11" t="s">
        <v>115</v>
      </c>
      <c r="G341" s="12">
        <v>-47</v>
      </c>
      <c r="H341" s="9">
        <v>10000</v>
      </c>
      <c r="I341" s="9">
        <v>10</v>
      </c>
      <c r="J341" s="9">
        <f t="shared" si="10"/>
        <v>-470000</v>
      </c>
      <c r="K341" s="9">
        <f t="shared" si="11"/>
        <v>-423000</v>
      </c>
      <c r="L341" s="11" t="s">
        <v>76</v>
      </c>
      <c r="M341" s="11" t="s">
        <v>81</v>
      </c>
    </row>
    <row r="342" spans="1:13" x14ac:dyDescent="0.25">
      <c r="A342" s="6">
        <v>336</v>
      </c>
      <c r="B342" s="7">
        <v>45170</v>
      </c>
      <c r="C342" s="8" t="s">
        <v>114</v>
      </c>
      <c r="D342" s="8" t="s">
        <v>83</v>
      </c>
      <c r="E342" s="8" t="s">
        <v>79</v>
      </c>
      <c r="F342" s="8" t="s">
        <v>122</v>
      </c>
      <c r="G342" s="6">
        <v>6</v>
      </c>
      <c r="H342" s="6">
        <v>19400</v>
      </c>
      <c r="I342" s="6">
        <v>20</v>
      </c>
      <c r="J342" s="6">
        <f t="shared" si="10"/>
        <v>116400</v>
      </c>
      <c r="K342" s="6">
        <f t="shared" si="11"/>
        <v>93120</v>
      </c>
      <c r="L342" s="8" t="s">
        <v>76</v>
      </c>
      <c r="M342" s="8" t="s">
        <v>81</v>
      </c>
    </row>
    <row r="343" spans="1:13" x14ac:dyDescent="0.25">
      <c r="A343" s="9">
        <v>337</v>
      </c>
      <c r="B343" s="10">
        <v>45459</v>
      </c>
      <c r="C343" s="11" t="s">
        <v>114</v>
      </c>
      <c r="D343" s="11" t="s">
        <v>117</v>
      </c>
      <c r="E343" s="11" t="s">
        <v>111</v>
      </c>
      <c r="F343" s="11" t="s">
        <v>112</v>
      </c>
      <c r="G343" s="9">
        <v>33</v>
      </c>
      <c r="H343" s="9">
        <v>67900</v>
      </c>
      <c r="I343" s="9">
        <v>0</v>
      </c>
      <c r="J343" s="9">
        <f t="shared" si="10"/>
        <v>2240700</v>
      </c>
      <c r="K343" s="9">
        <f t="shared" si="11"/>
        <v>2240700</v>
      </c>
      <c r="L343" s="11" t="s">
        <v>76</v>
      </c>
      <c r="M343" s="11" t="s">
        <v>91</v>
      </c>
    </row>
    <row r="344" spans="1:13" x14ac:dyDescent="0.25">
      <c r="A344" s="6">
        <v>338</v>
      </c>
      <c r="B344" s="7">
        <v>45533</v>
      </c>
      <c r="C344" s="8" t="s">
        <v>124</v>
      </c>
      <c r="D344" s="8" t="s">
        <v>73</v>
      </c>
      <c r="E344" s="8" t="s">
        <v>111</v>
      </c>
      <c r="F344" s="8" t="s">
        <v>166</v>
      </c>
      <c r="G344" s="6">
        <v>17</v>
      </c>
      <c r="H344" s="6">
        <v>26900</v>
      </c>
      <c r="I344" s="6">
        <v>15</v>
      </c>
      <c r="J344" s="6">
        <f t="shared" si="10"/>
        <v>457300</v>
      </c>
      <c r="K344" s="6">
        <f t="shared" si="11"/>
        <v>388705</v>
      </c>
      <c r="L344" s="8" t="s">
        <v>107</v>
      </c>
      <c r="M344" s="8"/>
    </row>
    <row r="345" spans="1:13" x14ac:dyDescent="0.25">
      <c r="A345" s="9">
        <v>339</v>
      </c>
      <c r="B345" s="10">
        <v>45261</v>
      </c>
      <c r="C345" s="11" t="s">
        <v>235</v>
      </c>
      <c r="D345" s="11" t="s">
        <v>83</v>
      </c>
      <c r="E345" s="11" t="s">
        <v>74</v>
      </c>
      <c r="F345" s="11" t="s">
        <v>75</v>
      </c>
      <c r="G345" s="9">
        <v>13</v>
      </c>
      <c r="H345" s="9">
        <v>20200</v>
      </c>
      <c r="I345" s="9">
        <v>0</v>
      </c>
      <c r="J345" s="9">
        <f t="shared" si="10"/>
        <v>262600</v>
      </c>
      <c r="K345" s="9">
        <f t="shared" si="11"/>
        <v>262600</v>
      </c>
      <c r="L345" s="11" t="s">
        <v>76</v>
      </c>
      <c r="M345" s="11" t="s">
        <v>77</v>
      </c>
    </row>
    <row r="346" spans="1:13" x14ac:dyDescent="0.25">
      <c r="A346" s="6">
        <v>340</v>
      </c>
      <c r="B346" s="7">
        <v>45035</v>
      </c>
      <c r="C346" s="8" t="s">
        <v>108</v>
      </c>
      <c r="D346" s="8" t="s">
        <v>83</v>
      </c>
      <c r="E346" s="8" t="s">
        <v>111</v>
      </c>
      <c r="F346" s="8" t="s">
        <v>132</v>
      </c>
      <c r="G346" s="6">
        <v>35</v>
      </c>
      <c r="H346" s="6">
        <v>7500</v>
      </c>
      <c r="I346" s="6">
        <v>5</v>
      </c>
      <c r="J346" s="6">
        <f t="shared" si="10"/>
        <v>262500</v>
      </c>
      <c r="K346" s="6">
        <f t="shared" si="11"/>
        <v>249375</v>
      </c>
      <c r="L346" s="8" t="s">
        <v>76</v>
      </c>
      <c r="M346" s="8" t="s">
        <v>81</v>
      </c>
    </row>
    <row r="347" spans="1:13" x14ac:dyDescent="0.25">
      <c r="A347" s="9">
        <v>341</v>
      </c>
      <c r="B347" s="10">
        <v>45242</v>
      </c>
      <c r="C347" s="11" t="s">
        <v>119</v>
      </c>
      <c r="D347" s="11" t="s">
        <v>117</v>
      </c>
      <c r="E347" s="11" t="s">
        <v>79</v>
      </c>
      <c r="F347" s="11" t="s">
        <v>131</v>
      </c>
      <c r="G347" s="9">
        <v>44</v>
      </c>
      <c r="H347" s="9">
        <v>112700</v>
      </c>
      <c r="I347" s="9">
        <v>0</v>
      </c>
      <c r="J347" s="9">
        <f t="shared" si="10"/>
        <v>4958800</v>
      </c>
      <c r="K347" s="9">
        <f t="shared" si="11"/>
        <v>4958800</v>
      </c>
      <c r="L347" s="11" t="s">
        <v>76</v>
      </c>
      <c r="M347" s="11" t="s">
        <v>77</v>
      </c>
    </row>
    <row r="348" spans="1:13" x14ac:dyDescent="0.25">
      <c r="A348" s="6">
        <v>342</v>
      </c>
      <c r="B348" s="7">
        <v>45262</v>
      </c>
      <c r="C348" s="8" t="s">
        <v>108</v>
      </c>
      <c r="D348" s="8" t="s">
        <v>73</v>
      </c>
      <c r="E348" s="8" t="s">
        <v>133</v>
      </c>
      <c r="F348" s="8" t="s">
        <v>200</v>
      </c>
      <c r="G348" s="6">
        <v>4</v>
      </c>
      <c r="H348" s="6">
        <v>3200</v>
      </c>
      <c r="I348" s="6">
        <v>20</v>
      </c>
      <c r="J348" s="6">
        <f t="shared" si="10"/>
        <v>12800</v>
      </c>
      <c r="K348" s="6">
        <f t="shared" si="11"/>
        <v>10240</v>
      </c>
      <c r="L348" s="8" t="s">
        <v>247</v>
      </c>
      <c r="M348" s="8" t="s">
        <v>96</v>
      </c>
    </row>
    <row r="349" spans="1:13" x14ac:dyDescent="0.25">
      <c r="A349" s="9">
        <v>343</v>
      </c>
      <c r="B349" s="10">
        <v>45105</v>
      </c>
      <c r="C349" s="11" t="s">
        <v>78</v>
      </c>
      <c r="D349" s="11" t="s">
        <v>266</v>
      </c>
      <c r="E349" s="11" t="s">
        <v>111</v>
      </c>
      <c r="F349" s="11" t="s">
        <v>156</v>
      </c>
      <c r="G349" s="9">
        <v>7</v>
      </c>
      <c r="H349" s="9">
        <v>38800</v>
      </c>
      <c r="I349" s="9">
        <v>0</v>
      </c>
      <c r="J349" s="9">
        <f t="shared" si="10"/>
        <v>271600</v>
      </c>
      <c r="K349" s="9">
        <f t="shared" si="11"/>
        <v>271600</v>
      </c>
      <c r="L349" s="11" t="s">
        <v>86</v>
      </c>
      <c r="M349" s="11" t="s">
        <v>81</v>
      </c>
    </row>
    <row r="350" spans="1:13" x14ac:dyDescent="0.25">
      <c r="A350" s="6">
        <v>344</v>
      </c>
      <c r="B350" s="7">
        <v>44939</v>
      </c>
      <c r="C350" s="8" t="s">
        <v>78</v>
      </c>
      <c r="D350" s="8" t="s">
        <v>109</v>
      </c>
      <c r="E350" s="8" t="s">
        <v>84</v>
      </c>
      <c r="F350" s="8" t="s">
        <v>90</v>
      </c>
      <c r="G350" s="6">
        <v>24</v>
      </c>
      <c r="H350" s="6">
        <v>2000</v>
      </c>
      <c r="I350" s="6">
        <v>10</v>
      </c>
      <c r="J350" s="6">
        <f t="shared" si="10"/>
        <v>48000</v>
      </c>
      <c r="K350" s="6">
        <f t="shared" si="11"/>
        <v>43200</v>
      </c>
      <c r="L350" s="8" t="s">
        <v>86</v>
      </c>
      <c r="M350" s="8"/>
    </row>
    <row r="351" spans="1:13" x14ac:dyDescent="0.25">
      <c r="A351" s="9">
        <v>345</v>
      </c>
      <c r="B351" s="10">
        <v>45527</v>
      </c>
      <c r="C351" s="11" t="s">
        <v>101</v>
      </c>
      <c r="D351" s="11" t="s">
        <v>73</v>
      </c>
      <c r="E351" s="11" t="s">
        <v>79</v>
      </c>
      <c r="F351" s="11" t="s">
        <v>131</v>
      </c>
      <c r="G351" s="9">
        <v>42</v>
      </c>
      <c r="H351" s="9">
        <v>113900</v>
      </c>
      <c r="I351" s="9">
        <v>0</v>
      </c>
      <c r="J351" s="9">
        <f t="shared" si="10"/>
        <v>4783800</v>
      </c>
      <c r="K351" s="9">
        <f t="shared" si="11"/>
        <v>4783800</v>
      </c>
      <c r="L351" s="11" t="s">
        <v>76</v>
      </c>
      <c r="M351" s="11" t="s">
        <v>81</v>
      </c>
    </row>
    <row r="352" spans="1:13" x14ac:dyDescent="0.25">
      <c r="A352" s="6">
        <v>346</v>
      </c>
      <c r="B352" s="7">
        <v>45266</v>
      </c>
      <c r="C352" s="8" t="s">
        <v>97</v>
      </c>
      <c r="D352" s="8" t="s">
        <v>73</v>
      </c>
      <c r="E352" s="8" t="s">
        <v>111</v>
      </c>
      <c r="F352" s="8" t="s">
        <v>192</v>
      </c>
      <c r="G352" s="6">
        <v>37</v>
      </c>
      <c r="H352" s="6">
        <v>89500</v>
      </c>
      <c r="I352" s="6">
        <v>5</v>
      </c>
      <c r="J352" s="6">
        <f t="shared" si="10"/>
        <v>3311500</v>
      </c>
      <c r="K352" s="6">
        <f t="shared" si="11"/>
        <v>3145925</v>
      </c>
      <c r="L352" s="8" t="s">
        <v>76</v>
      </c>
      <c r="M352" s="8" t="s">
        <v>91</v>
      </c>
    </row>
    <row r="353" spans="1:13" x14ac:dyDescent="0.25">
      <c r="A353" s="9">
        <v>347</v>
      </c>
      <c r="B353" s="11" t="s">
        <v>293</v>
      </c>
      <c r="C353" s="11" t="s">
        <v>114</v>
      </c>
      <c r="D353" s="11" t="s">
        <v>83</v>
      </c>
      <c r="E353" s="11" t="s">
        <v>84</v>
      </c>
      <c r="F353" s="11" t="s">
        <v>200</v>
      </c>
      <c r="G353" s="9">
        <v>12</v>
      </c>
      <c r="H353" s="9">
        <v>3100</v>
      </c>
      <c r="I353" s="9">
        <v>0</v>
      </c>
      <c r="J353" s="9">
        <f t="shared" si="10"/>
        <v>37200</v>
      </c>
      <c r="K353" s="9">
        <f t="shared" si="11"/>
        <v>37200</v>
      </c>
      <c r="L353" s="11" t="s">
        <v>76</v>
      </c>
      <c r="M353" s="11" t="s">
        <v>91</v>
      </c>
    </row>
    <row r="354" spans="1:13" x14ac:dyDescent="0.25">
      <c r="A354" s="6">
        <v>348</v>
      </c>
      <c r="B354" s="8" t="s">
        <v>294</v>
      </c>
      <c r="C354" s="8" t="s">
        <v>124</v>
      </c>
      <c r="D354" s="8" t="s">
        <v>93</v>
      </c>
      <c r="E354" s="8" t="s">
        <v>102</v>
      </c>
      <c r="F354" s="8" t="s">
        <v>181</v>
      </c>
      <c r="G354" s="6">
        <v>32</v>
      </c>
      <c r="H354" s="6">
        <v>4800</v>
      </c>
      <c r="I354" s="6">
        <v>0</v>
      </c>
      <c r="J354" s="6">
        <f t="shared" si="10"/>
        <v>153600</v>
      </c>
      <c r="K354" s="6">
        <f t="shared" si="11"/>
        <v>153600</v>
      </c>
      <c r="L354" s="8" t="s">
        <v>76</v>
      </c>
      <c r="M354" s="8" t="s">
        <v>91</v>
      </c>
    </row>
    <row r="355" spans="1:13" x14ac:dyDescent="0.25">
      <c r="A355" s="9">
        <v>349</v>
      </c>
      <c r="B355" s="10">
        <v>45016</v>
      </c>
      <c r="C355" s="11" t="s">
        <v>95</v>
      </c>
      <c r="D355" s="11" t="s">
        <v>83</v>
      </c>
      <c r="E355" s="11" t="s">
        <v>84</v>
      </c>
      <c r="F355" s="11" t="s">
        <v>148</v>
      </c>
      <c r="G355" s="9">
        <v>34</v>
      </c>
      <c r="H355" s="9" t="s">
        <v>295</v>
      </c>
      <c r="I355" s="9">
        <v>5</v>
      </c>
      <c r="J355" s="9" t="e">
        <f t="shared" si="10"/>
        <v>#VALUE!</v>
      </c>
      <c r="K355" s="9" t="e">
        <f t="shared" si="11"/>
        <v>#VALUE!</v>
      </c>
      <c r="L355" s="11" t="s">
        <v>76</v>
      </c>
      <c r="M355" s="11" t="s">
        <v>77</v>
      </c>
    </row>
    <row r="356" spans="1:13" x14ac:dyDescent="0.25">
      <c r="A356" s="6">
        <v>350</v>
      </c>
      <c r="B356" s="7">
        <v>45657</v>
      </c>
      <c r="C356" s="8" t="s">
        <v>88</v>
      </c>
      <c r="D356" s="8" t="s">
        <v>266</v>
      </c>
      <c r="E356" s="8" t="s">
        <v>102</v>
      </c>
      <c r="F356" s="8" t="s">
        <v>197</v>
      </c>
      <c r="G356" s="6">
        <v>37</v>
      </c>
      <c r="H356" s="6" t="s">
        <v>296</v>
      </c>
      <c r="I356" s="6">
        <v>0</v>
      </c>
      <c r="J356" s="6">
        <f t="shared" si="10"/>
        <v>136900</v>
      </c>
      <c r="K356" s="6">
        <f t="shared" si="11"/>
        <v>136900</v>
      </c>
      <c r="L356" s="8" t="s">
        <v>229</v>
      </c>
      <c r="M356" s="8" t="s">
        <v>91</v>
      </c>
    </row>
    <row r="357" spans="1:13" x14ac:dyDescent="0.25">
      <c r="A357" s="9">
        <v>351</v>
      </c>
      <c r="B357" s="10">
        <v>45111</v>
      </c>
      <c r="C357" s="11" t="s">
        <v>78</v>
      </c>
      <c r="D357" s="11" t="s">
        <v>117</v>
      </c>
      <c r="E357" s="11" t="s">
        <v>102</v>
      </c>
      <c r="F357" s="11" t="s">
        <v>181</v>
      </c>
      <c r="G357" s="9">
        <v>50</v>
      </c>
      <c r="H357" s="9" t="s">
        <v>297</v>
      </c>
      <c r="I357" s="9">
        <v>10</v>
      </c>
      <c r="J357" s="9" t="e">
        <f t="shared" si="10"/>
        <v>#VALUE!</v>
      </c>
      <c r="K357" s="9" t="e">
        <f t="shared" si="11"/>
        <v>#VALUE!</v>
      </c>
      <c r="L357" s="11" t="s">
        <v>76</v>
      </c>
      <c r="M357" s="11" t="s">
        <v>91</v>
      </c>
    </row>
    <row r="358" spans="1:13" x14ac:dyDescent="0.25">
      <c r="A358" s="6">
        <v>352</v>
      </c>
      <c r="B358" s="7">
        <v>45293</v>
      </c>
      <c r="C358" s="8" t="s">
        <v>124</v>
      </c>
      <c r="D358" s="8" t="s">
        <v>109</v>
      </c>
      <c r="E358" s="8" t="s">
        <v>84</v>
      </c>
      <c r="F358" s="8" t="s">
        <v>150</v>
      </c>
      <c r="G358" s="6">
        <v>16</v>
      </c>
      <c r="H358" s="6">
        <v>5300</v>
      </c>
      <c r="I358" s="6">
        <v>20</v>
      </c>
      <c r="J358" s="6">
        <f t="shared" si="10"/>
        <v>84800</v>
      </c>
      <c r="K358" s="6">
        <f t="shared" si="11"/>
        <v>67840</v>
      </c>
      <c r="L358" s="8" t="s">
        <v>76</v>
      </c>
      <c r="M358" s="8" t="s">
        <v>77</v>
      </c>
    </row>
    <row r="359" spans="1:13" x14ac:dyDescent="0.25">
      <c r="A359" s="9">
        <v>353</v>
      </c>
      <c r="B359" s="11" t="s">
        <v>298</v>
      </c>
      <c r="C359" s="11" t="s">
        <v>124</v>
      </c>
      <c r="D359" s="11" t="s">
        <v>83</v>
      </c>
      <c r="E359" s="11" t="s">
        <v>74</v>
      </c>
      <c r="F359" s="11" t="s">
        <v>142</v>
      </c>
      <c r="G359" s="9">
        <v>38</v>
      </c>
      <c r="H359" s="9">
        <v>11300</v>
      </c>
      <c r="I359" s="9">
        <v>10</v>
      </c>
      <c r="J359" s="9">
        <f t="shared" si="10"/>
        <v>429400</v>
      </c>
      <c r="K359" s="9">
        <f t="shared" si="11"/>
        <v>386460</v>
      </c>
      <c r="L359" s="11" t="s">
        <v>76</v>
      </c>
      <c r="M359" s="11" t="s">
        <v>96</v>
      </c>
    </row>
    <row r="360" spans="1:13" x14ac:dyDescent="0.25">
      <c r="A360" s="6">
        <v>354</v>
      </c>
      <c r="B360" s="7">
        <v>44955</v>
      </c>
      <c r="C360" s="8" t="s">
        <v>88</v>
      </c>
      <c r="D360" s="8" t="s">
        <v>93</v>
      </c>
      <c r="E360" s="8" t="s">
        <v>102</v>
      </c>
      <c r="F360" s="8" t="s">
        <v>103</v>
      </c>
      <c r="G360" s="6">
        <v>13</v>
      </c>
      <c r="H360" s="6">
        <v>10200</v>
      </c>
      <c r="I360" s="6">
        <v>10</v>
      </c>
      <c r="J360" s="6">
        <f t="shared" si="10"/>
        <v>132600</v>
      </c>
      <c r="K360" s="6">
        <f t="shared" si="11"/>
        <v>119340</v>
      </c>
      <c r="L360" s="8" t="s">
        <v>86</v>
      </c>
      <c r="M360" s="8" t="s">
        <v>91</v>
      </c>
    </row>
    <row r="361" spans="1:13" x14ac:dyDescent="0.25">
      <c r="A361" s="9">
        <v>355</v>
      </c>
      <c r="B361" s="10">
        <v>45243</v>
      </c>
      <c r="C361" s="11" t="s">
        <v>153</v>
      </c>
      <c r="D361" s="11"/>
      <c r="E361" s="11" t="s">
        <v>79</v>
      </c>
      <c r="F361" s="11" t="s">
        <v>131</v>
      </c>
      <c r="G361" s="9">
        <v>39</v>
      </c>
      <c r="H361" s="9">
        <v>109700</v>
      </c>
      <c r="I361" s="9">
        <v>0</v>
      </c>
      <c r="J361" s="9">
        <f t="shared" si="10"/>
        <v>4278300</v>
      </c>
      <c r="K361" s="9">
        <f t="shared" si="11"/>
        <v>4278300</v>
      </c>
      <c r="L361" s="11" t="s">
        <v>76</v>
      </c>
      <c r="M361" s="11" t="s">
        <v>91</v>
      </c>
    </row>
    <row r="362" spans="1:13" x14ac:dyDescent="0.25">
      <c r="A362" s="6">
        <v>356</v>
      </c>
      <c r="B362" s="7">
        <v>45266</v>
      </c>
      <c r="C362" s="8" t="s">
        <v>214</v>
      </c>
      <c r="D362" s="8" t="s">
        <v>109</v>
      </c>
      <c r="E362" s="8" t="s">
        <v>84</v>
      </c>
      <c r="F362" s="8" t="s">
        <v>200</v>
      </c>
      <c r="G362" s="6">
        <v>21</v>
      </c>
      <c r="H362" s="6">
        <v>3500</v>
      </c>
      <c r="I362" s="6">
        <v>10</v>
      </c>
      <c r="J362" s="6">
        <f t="shared" si="10"/>
        <v>73500</v>
      </c>
      <c r="K362" s="6">
        <f t="shared" si="11"/>
        <v>66150</v>
      </c>
      <c r="L362" s="8" t="s">
        <v>164</v>
      </c>
      <c r="M362" s="8" t="s">
        <v>81</v>
      </c>
    </row>
    <row r="363" spans="1:13" x14ac:dyDescent="0.25">
      <c r="A363" s="9">
        <v>357</v>
      </c>
      <c r="B363" s="10">
        <v>45648</v>
      </c>
      <c r="C363" s="11" t="s">
        <v>108</v>
      </c>
      <c r="D363" s="11" t="s">
        <v>73</v>
      </c>
      <c r="E363" s="11" t="s">
        <v>102</v>
      </c>
      <c r="F363" s="11" t="s">
        <v>157</v>
      </c>
      <c r="G363" s="9">
        <v>24</v>
      </c>
      <c r="H363" s="9">
        <v>13700</v>
      </c>
      <c r="I363" s="9">
        <v>10</v>
      </c>
      <c r="J363" s="9">
        <f t="shared" si="10"/>
        <v>328800</v>
      </c>
      <c r="K363" s="9">
        <f t="shared" si="11"/>
        <v>295920</v>
      </c>
      <c r="L363" s="11" t="s">
        <v>247</v>
      </c>
      <c r="M363" s="11" t="s">
        <v>91</v>
      </c>
    </row>
    <row r="364" spans="1:13" x14ac:dyDescent="0.25">
      <c r="A364" s="6">
        <v>358</v>
      </c>
      <c r="B364" s="8" t="s">
        <v>299</v>
      </c>
      <c r="C364" s="8" t="s">
        <v>88</v>
      </c>
      <c r="D364" s="8" t="s">
        <v>117</v>
      </c>
      <c r="E364" s="8" t="s">
        <v>255</v>
      </c>
      <c r="F364" s="8" t="s">
        <v>142</v>
      </c>
      <c r="G364" s="6">
        <v>47</v>
      </c>
      <c r="H364" s="6">
        <v>13700</v>
      </c>
      <c r="I364" s="6">
        <v>15</v>
      </c>
      <c r="J364" s="6">
        <f t="shared" si="10"/>
        <v>643900</v>
      </c>
      <c r="K364" s="6">
        <f t="shared" si="11"/>
        <v>547315</v>
      </c>
      <c r="L364" s="8" t="s">
        <v>125</v>
      </c>
      <c r="M364" s="8" t="s">
        <v>91</v>
      </c>
    </row>
    <row r="365" spans="1:13" x14ac:dyDescent="0.25">
      <c r="A365" s="9">
        <v>359</v>
      </c>
      <c r="B365" s="10">
        <v>45251</v>
      </c>
      <c r="C365" s="11" t="s">
        <v>108</v>
      </c>
      <c r="D365" s="11" t="s">
        <v>300</v>
      </c>
      <c r="E365" s="11" t="s">
        <v>102</v>
      </c>
      <c r="F365" s="11" t="s">
        <v>157</v>
      </c>
      <c r="G365" s="9">
        <v>38</v>
      </c>
      <c r="H365" s="9">
        <v>11500</v>
      </c>
      <c r="I365" s="9">
        <v>0</v>
      </c>
      <c r="J365" s="9">
        <f t="shared" si="10"/>
        <v>437000</v>
      </c>
      <c r="K365" s="9">
        <f t="shared" si="11"/>
        <v>437000</v>
      </c>
      <c r="L365" s="11" t="s">
        <v>187</v>
      </c>
      <c r="M365" s="11" t="s">
        <v>91</v>
      </c>
    </row>
    <row r="366" spans="1:13" x14ac:dyDescent="0.25">
      <c r="A366" s="6">
        <v>360</v>
      </c>
      <c r="B366" s="8" t="s">
        <v>301</v>
      </c>
      <c r="C366" s="8" t="s">
        <v>302</v>
      </c>
      <c r="D366" s="8" t="s">
        <v>109</v>
      </c>
      <c r="E366" s="8" t="s">
        <v>84</v>
      </c>
      <c r="F366" s="8" t="s">
        <v>206</v>
      </c>
      <c r="G366" s="6">
        <v>37</v>
      </c>
      <c r="H366" s="6">
        <v>15900</v>
      </c>
      <c r="I366" s="6">
        <v>0</v>
      </c>
      <c r="J366" s="6">
        <f t="shared" si="10"/>
        <v>588300</v>
      </c>
      <c r="K366" s="6">
        <f t="shared" si="11"/>
        <v>588300</v>
      </c>
      <c r="L366" s="8" t="s">
        <v>129</v>
      </c>
      <c r="M366" s="8" t="s">
        <v>77</v>
      </c>
    </row>
    <row r="367" spans="1:13" x14ac:dyDescent="0.25">
      <c r="A367" s="9">
        <v>361</v>
      </c>
      <c r="B367" s="10">
        <v>45543</v>
      </c>
      <c r="C367" s="11" t="s">
        <v>88</v>
      </c>
      <c r="D367" s="11" t="s">
        <v>93</v>
      </c>
      <c r="E367" s="11" t="s">
        <v>162</v>
      </c>
      <c r="F367" s="11" t="s">
        <v>150</v>
      </c>
      <c r="G367" s="9">
        <v>10</v>
      </c>
      <c r="H367" s="9">
        <v>6200</v>
      </c>
      <c r="I367" s="9">
        <v>0</v>
      </c>
      <c r="J367" s="9">
        <f t="shared" si="10"/>
        <v>62000</v>
      </c>
      <c r="K367" s="9">
        <f t="shared" si="11"/>
        <v>62000</v>
      </c>
      <c r="L367" s="11" t="s">
        <v>76</v>
      </c>
      <c r="M367" s="11" t="s">
        <v>77</v>
      </c>
    </row>
    <row r="368" spans="1:13" x14ac:dyDescent="0.25">
      <c r="A368" s="6">
        <v>362</v>
      </c>
      <c r="B368" s="7">
        <v>45282</v>
      </c>
      <c r="C368" s="8" t="s">
        <v>286</v>
      </c>
      <c r="D368" s="8" t="s">
        <v>109</v>
      </c>
      <c r="E368" s="8" t="s">
        <v>79</v>
      </c>
      <c r="F368" s="8" t="s">
        <v>120</v>
      </c>
      <c r="G368" s="6">
        <v>17</v>
      </c>
      <c r="H368" s="6">
        <v>6100</v>
      </c>
      <c r="I368" s="6">
        <v>0</v>
      </c>
      <c r="J368" s="6">
        <f t="shared" si="10"/>
        <v>103700</v>
      </c>
      <c r="K368" s="6">
        <f t="shared" si="11"/>
        <v>103700</v>
      </c>
      <c r="L368" s="8" t="s">
        <v>76</v>
      </c>
      <c r="M368" s="8" t="s">
        <v>77</v>
      </c>
    </row>
    <row r="369" spans="1:13" x14ac:dyDescent="0.25">
      <c r="A369" s="9">
        <v>363</v>
      </c>
      <c r="B369" s="10">
        <v>45189</v>
      </c>
      <c r="C369" s="11" t="s">
        <v>72</v>
      </c>
      <c r="D369" s="11" t="s">
        <v>73</v>
      </c>
      <c r="E369" s="11" t="s">
        <v>79</v>
      </c>
      <c r="F369" s="11" t="s">
        <v>115</v>
      </c>
      <c r="G369" s="9">
        <v>27</v>
      </c>
      <c r="H369" s="9" t="s">
        <v>303</v>
      </c>
      <c r="I369" s="9">
        <v>5</v>
      </c>
      <c r="J369" s="9" t="e">
        <f t="shared" si="10"/>
        <v>#VALUE!</v>
      </c>
      <c r="K369" s="9" t="e">
        <f t="shared" si="11"/>
        <v>#VALUE!</v>
      </c>
      <c r="L369" s="11" t="s">
        <v>125</v>
      </c>
      <c r="M369" s="11" t="s">
        <v>91</v>
      </c>
    </row>
    <row r="370" spans="1:13" x14ac:dyDescent="0.25">
      <c r="A370" s="6">
        <v>364</v>
      </c>
      <c r="B370" s="7">
        <v>45314</v>
      </c>
      <c r="C370" s="8" t="s">
        <v>88</v>
      </c>
      <c r="D370" s="8" t="s">
        <v>93</v>
      </c>
      <c r="E370" s="8" t="s">
        <v>111</v>
      </c>
      <c r="F370" s="8" t="s">
        <v>112</v>
      </c>
      <c r="G370" s="6">
        <v>37</v>
      </c>
      <c r="H370" s="6">
        <v>72000</v>
      </c>
      <c r="I370" s="6">
        <v>0</v>
      </c>
      <c r="J370" s="6">
        <f t="shared" si="10"/>
        <v>2664000</v>
      </c>
      <c r="K370" s="6">
        <f t="shared" si="11"/>
        <v>2664000</v>
      </c>
      <c r="L370" s="8" t="s">
        <v>86</v>
      </c>
      <c r="M370" s="8" t="s">
        <v>81</v>
      </c>
    </row>
    <row r="371" spans="1:13" x14ac:dyDescent="0.25">
      <c r="A371" s="9">
        <v>365</v>
      </c>
      <c r="B371" s="11" t="s">
        <v>304</v>
      </c>
      <c r="C371" s="11" t="s">
        <v>274</v>
      </c>
      <c r="D371" s="11" t="s">
        <v>73</v>
      </c>
      <c r="E371" s="11" t="s">
        <v>74</v>
      </c>
      <c r="F371" s="11" t="s">
        <v>94</v>
      </c>
      <c r="G371" s="9">
        <v>7</v>
      </c>
      <c r="H371" s="9">
        <v>34300</v>
      </c>
      <c r="I371" s="9">
        <v>5</v>
      </c>
      <c r="J371" s="9">
        <f t="shared" si="10"/>
        <v>240100</v>
      </c>
      <c r="K371" s="9">
        <f t="shared" si="11"/>
        <v>228095</v>
      </c>
      <c r="L371" s="11" t="s">
        <v>164</v>
      </c>
      <c r="M371" s="11" t="s">
        <v>81</v>
      </c>
    </row>
    <row r="372" spans="1:13" x14ac:dyDescent="0.25">
      <c r="A372" s="6">
        <v>366</v>
      </c>
      <c r="B372" s="7">
        <v>45091</v>
      </c>
      <c r="C372" s="8" t="s">
        <v>97</v>
      </c>
      <c r="D372" s="8" t="s">
        <v>93</v>
      </c>
      <c r="E372" s="8" t="s">
        <v>79</v>
      </c>
      <c r="F372" s="8" t="s">
        <v>120</v>
      </c>
      <c r="G372" s="6">
        <v>40</v>
      </c>
      <c r="H372" s="6">
        <v>6300</v>
      </c>
      <c r="I372" s="6">
        <v>5</v>
      </c>
      <c r="J372" s="6">
        <f t="shared" si="10"/>
        <v>252000</v>
      </c>
      <c r="K372" s="6">
        <f t="shared" si="11"/>
        <v>239400</v>
      </c>
      <c r="L372" s="8" t="s">
        <v>305</v>
      </c>
      <c r="M372" s="8" t="s">
        <v>77</v>
      </c>
    </row>
    <row r="373" spans="1:13" x14ac:dyDescent="0.25">
      <c r="A373" s="9">
        <v>367</v>
      </c>
      <c r="B373" s="10">
        <v>45596</v>
      </c>
      <c r="C373" s="11" t="s">
        <v>108</v>
      </c>
      <c r="D373" s="11" t="s">
        <v>93</v>
      </c>
      <c r="E373" s="11" t="s">
        <v>111</v>
      </c>
      <c r="F373" s="11" t="s">
        <v>166</v>
      </c>
      <c r="G373" s="9">
        <v>22</v>
      </c>
      <c r="H373" s="9">
        <v>25600</v>
      </c>
      <c r="I373" s="9">
        <v>5</v>
      </c>
      <c r="J373" s="9">
        <f t="shared" si="10"/>
        <v>563200</v>
      </c>
      <c r="K373" s="9">
        <f t="shared" si="11"/>
        <v>535040</v>
      </c>
      <c r="L373" s="11" t="s">
        <v>76</v>
      </c>
      <c r="M373" s="11" t="s">
        <v>81</v>
      </c>
    </row>
    <row r="374" spans="1:13" x14ac:dyDescent="0.25">
      <c r="A374" s="6">
        <v>368</v>
      </c>
      <c r="B374" s="7">
        <v>45640</v>
      </c>
      <c r="C374" s="8" t="s">
        <v>82</v>
      </c>
      <c r="D374" s="8" t="s">
        <v>93</v>
      </c>
      <c r="E374" s="8" t="s">
        <v>74</v>
      </c>
      <c r="F374" s="8" t="s">
        <v>190</v>
      </c>
      <c r="G374" s="6">
        <v>7</v>
      </c>
      <c r="H374" s="6" t="s">
        <v>306</v>
      </c>
      <c r="I374" s="6">
        <v>0</v>
      </c>
      <c r="J374" s="6" t="e">
        <f t="shared" si="10"/>
        <v>#VALUE!</v>
      </c>
      <c r="K374" s="6" t="e">
        <f t="shared" si="11"/>
        <v>#VALUE!</v>
      </c>
      <c r="L374" s="8" t="s">
        <v>76</v>
      </c>
      <c r="M374" s="8"/>
    </row>
    <row r="375" spans="1:13" x14ac:dyDescent="0.25">
      <c r="A375" s="9">
        <v>369</v>
      </c>
      <c r="B375" s="11" t="s">
        <v>307</v>
      </c>
      <c r="C375" s="11" t="s">
        <v>88</v>
      </c>
      <c r="D375" s="11" t="s">
        <v>73</v>
      </c>
      <c r="E375" s="11" t="s">
        <v>111</v>
      </c>
      <c r="F375" s="11" t="s">
        <v>112</v>
      </c>
      <c r="G375" s="9">
        <v>43</v>
      </c>
      <c r="H375" s="9">
        <v>63300</v>
      </c>
      <c r="I375" s="9">
        <v>0</v>
      </c>
      <c r="J375" s="9">
        <f t="shared" si="10"/>
        <v>2721900</v>
      </c>
      <c r="K375" s="9">
        <f t="shared" si="11"/>
        <v>2721900</v>
      </c>
      <c r="L375" s="11" t="s">
        <v>76</v>
      </c>
      <c r="M375" s="11" t="s">
        <v>91</v>
      </c>
    </row>
    <row r="376" spans="1:13" x14ac:dyDescent="0.25">
      <c r="A376" s="6">
        <v>370</v>
      </c>
      <c r="B376" s="7">
        <v>45026</v>
      </c>
      <c r="C376" s="8" t="s">
        <v>78</v>
      </c>
      <c r="D376" s="8" t="s">
        <v>109</v>
      </c>
      <c r="E376" s="8" t="s">
        <v>84</v>
      </c>
      <c r="F376" s="8" t="s">
        <v>134</v>
      </c>
      <c r="G376" s="6">
        <v>31</v>
      </c>
      <c r="H376" s="6">
        <v>11000</v>
      </c>
      <c r="I376" s="6">
        <v>20</v>
      </c>
      <c r="J376" s="6">
        <f t="shared" si="10"/>
        <v>341000</v>
      </c>
      <c r="K376" s="6">
        <f t="shared" si="11"/>
        <v>272800</v>
      </c>
      <c r="L376" s="8" t="s">
        <v>86</v>
      </c>
      <c r="M376" s="8" t="s">
        <v>96</v>
      </c>
    </row>
    <row r="377" spans="1:13" x14ac:dyDescent="0.25">
      <c r="A377" s="9">
        <v>371</v>
      </c>
      <c r="B377" s="10">
        <v>45334</v>
      </c>
      <c r="C377" s="11" t="s">
        <v>119</v>
      </c>
      <c r="D377" s="11" t="s">
        <v>83</v>
      </c>
      <c r="E377" s="11" t="s">
        <v>74</v>
      </c>
      <c r="F377" s="11" t="s">
        <v>118</v>
      </c>
      <c r="G377" s="9">
        <v>25</v>
      </c>
      <c r="H377" s="9">
        <v>29700</v>
      </c>
      <c r="I377" s="9">
        <v>0</v>
      </c>
      <c r="J377" s="9">
        <f t="shared" si="10"/>
        <v>742500</v>
      </c>
      <c r="K377" s="9">
        <f t="shared" si="11"/>
        <v>742500</v>
      </c>
      <c r="L377" s="11" t="s">
        <v>76</v>
      </c>
      <c r="M377" s="11" t="s">
        <v>91</v>
      </c>
    </row>
    <row r="378" spans="1:13" x14ac:dyDescent="0.25">
      <c r="A378" s="6">
        <v>372</v>
      </c>
      <c r="B378" s="7">
        <v>45118</v>
      </c>
      <c r="C378" s="8" t="s">
        <v>119</v>
      </c>
      <c r="D378" s="8" t="s">
        <v>73</v>
      </c>
      <c r="E378" s="8" t="s">
        <v>74</v>
      </c>
      <c r="F378" s="8" t="s">
        <v>99</v>
      </c>
      <c r="G378" s="6">
        <v>15</v>
      </c>
      <c r="H378" s="6">
        <v>3600</v>
      </c>
      <c r="I378" s="6">
        <v>0</v>
      </c>
      <c r="J378" s="6">
        <f t="shared" si="10"/>
        <v>54000</v>
      </c>
      <c r="K378" s="6">
        <f t="shared" si="11"/>
        <v>54000</v>
      </c>
      <c r="L378" s="8" t="s">
        <v>86</v>
      </c>
      <c r="M378" s="8" t="s">
        <v>77</v>
      </c>
    </row>
    <row r="379" spans="1:13" x14ac:dyDescent="0.25">
      <c r="A379" s="9">
        <v>373</v>
      </c>
      <c r="B379" s="10">
        <v>45640</v>
      </c>
      <c r="C379" s="11" t="s">
        <v>97</v>
      </c>
      <c r="D379" s="11" t="s">
        <v>73</v>
      </c>
      <c r="E379" s="11" t="s">
        <v>74</v>
      </c>
      <c r="F379" s="11" t="s">
        <v>140</v>
      </c>
      <c r="G379" s="9">
        <v>38</v>
      </c>
      <c r="H379" s="9">
        <v>5100</v>
      </c>
      <c r="I379" s="9">
        <v>20</v>
      </c>
      <c r="J379" s="9">
        <f t="shared" si="10"/>
        <v>193800</v>
      </c>
      <c r="K379" s="9">
        <f t="shared" si="11"/>
        <v>155040</v>
      </c>
      <c r="L379" s="11" t="s">
        <v>76</v>
      </c>
      <c r="M379" s="11" t="s">
        <v>77</v>
      </c>
    </row>
    <row r="380" spans="1:13" x14ac:dyDescent="0.25">
      <c r="A380" s="6">
        <v>374</v>
      </c>
      <c r="B380" s="8" t="s">
        <v>308</v>
      </c>
      <c r="C380" s="8" t="s">
        <v>82</v>
      </c>
      <c r="D380" s="8" t="s">
        <v>83</v>
      </c>
      <c r="E380" s="8" t="s">
        <v>102</v>
      </c>
      <c r="F380" s="8" t="s">
        <v>197</v>
      </c>
      <c r="G380" s="6">
        <v>16</v>
      </c>
      <c r="H380" s="6">
        <v>4000</v>
      </c>
      <c r="I380" s="6">
        <v>5</v>
      </c>
      <c r="J380" s="6">
        <f t="shared" si="10"/>
        <v>64000</v>
      </c>
      <c r="K380" s="6">
        <f t="shared" si="11"/>
        <v>60800</v>
      </c>
      <c r="L380" s="8" t="s">
        <v>76</v>
      </c>
      <c r="M380" s="8" t="s">
        <v>77</v>
      </c>
    </row>
    <row r="381" spans="1:13" x14ac:dyDescent="0.25">
      <c r="A381" s="9">
        <v>375</v>
      </c>
      <c r="B381" s="10">
        <v>44962</v>
      </c>
      <c r="C381" s="11" t="s">
        <v>246</v>
      </c>
      <c r="D381" s="11" t="s">
        <v>93</v>
      </c>
      <c r="E381" s="11" t="s">
        <v>102</v>
      </c>
      <c r="F381" s="11" t="s">
        <v>103</v>
      </c>
      <c r="G381" s="9">
        <v>49</v>
      </c>
      <c r="H381" s="9">
        <v>9100</v>
      </c>
      <c r="I381" s="9">
        <v>0</v>
      </c>
      <c r="J381" s="9">
        <f t="shared" si="10"/>
        <v>445900</v>
      </c>
      <c r="K381" s="9">
        <f t="shared" si="11"/>
        <v>445900</v>
      </c>
      <c r="L381" s="11" t="s">
        <v>76</v>
      </c>
      <c r="M381" s="11" t="s">
        <v>81</v>
      </c>
    </row>
    <row r="382" spans="1:13" x14ac:dyDescent="0.25">
      <c r="A382" s="6">
        <v>376</v>
      </c>
      <c r="B382" s="7">
        <v>45124</v>
      </c>
      <c r="C382" s="8" t="s">
        <v>108</v>
      </c>
      <c r="D382" s="8" t="s">
        <v>73</v>
      </c>
      <c r="E382" s="8" t="s">
        <v>111</v>
      </c>
      <c r="F382" s="8" t="s">
        <v>112</v>
      </c>
      <c r="G382" s="6">
        <v>28</v>
      </c>
      <c r="H382" s="6">
        <v>74600</v>
      </c>
      <c r="I382" s="6">
        <v>20</v>
      </c>
      <c r="J382" s="6">
        <f t="shared" si="10"/>
        <v>2088800</v>
      </c>
      <c r="K382" s="6">
        <f t="shared" si="11"/>
        <v>1671040</v>
      </c>
      <c r="L382" s="8" t="s">
        <v>76</v>
      </c>
      <c r="M382" s="8" t="s">
        <v>81</v>
      </c>
    </row>
    <row r="383" spans="1:13" x14ac:dyDescent="0.25">
      <c r="A383" s="9">
        <v>377</v>
      </c>
      <c r="B383" s="10">
        <v>45536</v>
      </c>
      <c r="C383" s="11" t="s">
        <v>101</v>
      </c>
      <c r="D383" s="11" t="s">
        <v>117</v>
      </c>
      <c r="E383" s="11" t="s">
        <v>79</v>
      </c>
      <c r="F383" s="11" t="s">
        <v>131</v>
      </c>
      <c r="G383" s="9">
        <v>26</v>
      </c>
      <c r="H383" s="9">
        <v>119600</v>
      </c>
      <c r="I383" s="9">
        <v>10</v>
      </c>
      <c r="J383" s="9">
        <f t="shared" si="10"/>
        <v>3109600</v>
      </c>
      <c r="K383" s="9">
        <f t="shared" si="11"/>
        <v>2798640</v>
      </c>
      <c r="L383" s="11" t="s">
        <v>76</v>
      </c>
      <c r="M383" s="11" t="s">
        <v>96</v>
      </c>
    </row>
    <row r="384" spans="1:13" x14ac:dyDescent="0.25">
      <c r="A384" s="6">
        <v>378</v>
      </c>
      <c r="B384" s="7">
        <v>45396</v>
      </c>
      <c r="C384" s="8" t="s">
        <v>78</v>
      </c>
      <c r="D384" s="8" t="s">
        <v>93</v>
      </c>
      <c r="E384" s="8" t="s">
        <v>102</v>
      </c>
      <c r="F384" s="8" t="s">
        <v>151</v>
      </c>
      <c r="G384" s="12">
        <v>-10</v>
      </c>
      <c r="H384" s="6">
        <v>7000</v>
      </c>
      <c r="I384" s="6">
        <v>0</v>
      </c>
      <c r="J384" s="6">
        <f t="shared" si="10"/>
        <v>-70000</v>
      </c>
      <c r="K384" s="6">
        <f t="shared" si="11"/>
        <v>-70000</v>
      </c>
      <c r="L384" s="8" t="s">
        <v>76</v>
      </c>
      <c r="M384" s="8" t="s">
        <v>77</v>
      </c>
    </row>
    <row r="385" spans="1:13" x14ac:dyDescent="0.25">
      <c r="A385" s="9">
        <v>379</v>
      </c>
      <c r="B385" s="10">
        <v>45503</v>
      </c>
      <c r="C385" s="11" t="s">
        <v>97</v>
      </c>
      <c r="D385" s="11" t="s">
        <v>117</v>
      </c>
      <c r="E385" s="11" t="s">
        <v>102</v>
      </c>
      <c r="F385" s="11" t="s">
        <v>157</v>
      </c>
      <c r="G385" s="9">
        <v>17</v>
      </c>
      <c r="H385" s="9">
        <v>13400</v>
      </c>
      <c r="I385" s="9">
        <v>10</v>
      </c>
      <c r="J385" s="9">
        <f t="shared" si="10"/>
        <v>227800</v>
      </c>
      <c r="K385" s="9">
        <f t="shared" si="11"/>
        <v>205020</v>
      </c>
      <c r="L385" s="11" t="s">
        <v>76</v>
      </c>
      <c r="M385" s="11" t="s">
        <v>91</v>
      </c>
    </row>
    <row r="386" spans="1:13" x14ac:dyDescent="0.25">
      <c r="A386" s="6">
        <v>380</v>
      </c>
      <c r="B386" s="7">
        <v>45550</v>
      </c>
      <c r="C386" s="8" t="s">
        <v>119</v>
      </c>
      <c r="D386" s="8" t="s">
        <v>73</v>
      </c>
      <c r="E386" s="8" t="s">
        <v>176</v>
      </c>
      <c r="F386" s="8" t="s">
        <v>134</v>
      </c>
      <c r="G386" s="6">
        <v>40</v>
      </c>
      <c r="H386" s="6">
        <v>9600</v>
      </c>
      <c r="I386" s="6">
        <v>0</v>
      </c>
      <c r="J386" s="6">
        <f t="shared" ref="J386:J449" si="12">G386*H386</f>
        <v>384000</v>
      </c>
      <c r="K386" s="6">
        <f t="shared" ref="K386:K449" si="13">J386*(1-I386/100)</f>
        <v>384000</v>
      </c>
      <c r="L386" s="8" t="s">
        <v>76</v>
      </c>
      <c r="M386" s="8" t="s">
        <v>91</v>
      </c>
    </row>
    <row r="387" spans="1:13" x14ac:dyDescent="0.25">
      <c r="A387" s="9">
        <v>381</v>
      </c>
      <c r="B387" s="10">
        <v>45332</v>
      </c>
      <c r="C387" s="11" t="s">
        <v>88</v>
      </c>
      <c r="D387" s="11" t="s">
        <v>109</v>
      </c>
      <c r="E387" s="11" t="s">
        <v>79</v>
      </c>
      <c r="F387" s="11" t="s">
        <v>172</v>
      </c>
      <c r="G387" s="9">
        <v>24</v>
      </c>
      <c r="H387" s="9">
        <v>28300</v>
      </c>
      <c r="I387" s="9">
        <v>0</v>
      </c>
      <c r="J387" s="9">
        <f t="shared" si="12"/>
        <v>679200</v>
      </c>
      <c r="K387" s="9">
        <f t="shared" si="13"/>
        <v>679200</v>
      </c>
      <c r="L387" s="11" t="s">
        <v>76</v>
      </c>
      <c r="M387" s="11" t="s">
        <v>96</v>
      </c>
    </row>
    <row r="388" spans="1:13" x14ac:dyDescent="0.25">
      <c r="A388" s="6">
        <v>382</v>
      </c>
      <c r="B388" s="7">
        <v>45214</v>
      </c>
      <c r="C388" s="8" t="s">
        <v>119</v>
      </c>
      <c r="D388" s="8" t="s">
        <v>73</v>
      </c>
      <c r="E388" s="8" t="s">
        <v>84</v>
      </c>
      <c r="F388" s="8" t="s">
        <v>128</v>
      </c>
      <c r="G388" s="6">
        <v>48</v>
      </c>
      <c r="H388" s="6">
        <v>4100</v>
      </c>
      <c r="I388" s="6">
        <v>0</v>
      </c>
      <c r="J388" s="6">
        <f t="shared" si="12"/>
        <v>196800</v>
      </c>
      <c r="K388" s="6">
        <f t="shared" si="13"/>
        <v>196800</v>
      </c>
      <c r="L388" s="8" t="s">
        <v>76</v>
      </c>
      <c r="M388" s="8" t="s">
        <v>96</v>
      </c>
    </row>
    <row r="389" spans="1:13" x14ac:dyDescent="0.25">
      <c r="A389" s="9">
        <v>383</v>
      </c>
      <c r="B389" s="10">
        <v>45353</v>
      </c>
      <c r="C389" s="11" t="s">
        <v>124</v>
      </c>
      <c r="D389" s="11" t="s">
        <v>73</v>
      </c>
      <c r="E389" s="11" t="s">
        <v>84</v>
      </c>
      <c r="F389" s="11" t="s">
        <v>85</v>
      </c>
      <c r="G389" s="9">
        <v>27</v>
      </c>
      <c r="H389" s="9">
        <v>5100</v>
      </c>
      <c r="I389" s="9">
        <v>20</v>
      </c>
      <c r="J389" s="9">
        <f t="shared" si="12"/>
        <v>137700</v>
      </c>
      <c r="K389" s="9">
        <f t="shared" si="13"/>
        <v>110160</v>
      </c>
      <c r="L389" s="11" t="s">
        <v>86</v>
      </c>
      <c r="M389" s="11" t="s">
        <v>96</v>
      </c>
    </row>
    <row r="390" spans="1:13" x14ac:dyDescent="0.25">
      <c r="A390" s="6">
        <v>384</v>
      </c>
      <c r="B390" s="7">
        <v>44984</v>
      </c>
      <c r="C390" s="8" t="s">
        <v>82</v>
      </c>
      <c r="D390" s="8" t="s">
        <v>109</v>
      </c>
      <c r="E390" s="8" t="s">
        <v>79</v>
      </c>
      <c r="F390" s="8" t="s">
        <v>179</v>
      </c>
      <c r="G390" s="6">
        <v>26</v>
      </c>
      <c r="H390" s="6">
        <v>2700</v>
      </c>
      <c r="I390" s="6">
        <v>0</v>
      </c>
      <c r="J390" s="6">
        <f t="shared" si="12"/>
        <v>70200</v>
      </c>
      <c r="K390" s="6">
        <f t="shared" si="13"/>
        <v>70200</v>
      </c>
      <c r="L390" s="8" t="s">
        <v>76</v>
      </c>
      <c r="M390" s="8" t="s">
        <v>77</v>
      </c>
    </row>
    <row r="391" spans="1:13" x14ac:dyDescent="0.25">
      <c r="A391" s="9">
        <v>385</v>
      </c>
      <c r="B391" s="10">
        <v>45124</v>
      </c>
      <c r="C391" s="11" t="s">
        <v>106</v>
      </c>
      <c r="D391" s="11" t="s">
        <v>73</v>
      </c>
      <c r="E391" s="11" t="s">
        <v>84</v>
      </c>
      <c r="F391" s="11" t="s">
        <v>206</v>
      </c>
      <c r="G391" s="9">
        <v>24</v>
      </c>
      <c r="H391" s="9">
        <v>14200</v>
      </c>
      <c r="I391" s="9">
        <v>0</v>
      </c>
      <c r="J391" s="9">
        <f t="shared" si="12"/>
        <v>340800</v>
      </c>
      <c r="K391" s="9">
        <f t="shared" si="13"/>
        <v>340800</v>
      </c>
      <c r="L391" s="11" t="s">
        <v>86</v>
      </c>
      <c r="M391" s="11" t="s">
        <v>96</v>
      </c>
    </row>
    <row r="392" spans="1:13" x14ac:dyDescent="0.25">
      <c r="A392" s="6">
        <v>386</v>
      </c>
      <c r="B392" s="7">
        <v>45402</v>
      </c>
      <c r="C392" s="8" t="s">
        <v>82</v>
      </c>
      <c r="D392" s="8" t="s">
        <v>83</v>
      </c>
      <c r="E392" s="8" t="s">
        <v>79</v>
      </c>
      <c r="F392" s="8" t="s">
        <v>136</v>
      </c>
      <c r="G392" s="6">
        <v>32</v>
      </c>
      <c r="H392" s="6">
        <v>81600</v>
      </c>
      <c r="I392" s="6">
        <v>20</v>
      </c>
      <c r="J392" s="6">
        <f t="shared" si="12"/>
        <v>2611200</v>
      </c>
      <c r="K392" s="6">
        <f t="shared" si="13"/>
        <v>2088960</v>
      </c>
      <c r="L392" s="8" t="s">
        <v>76</v>
      </c>
      <c r="M392" s="8" t="s">
        <v>81</v>
      </c>
    </row>
    <row r="393" spans="1:13" x14ac:dyDescent="0.25">
      <c r="A393" s="9">
        <v>387</v>
      </c>
      <c r="B393" s="11" t="s">
        <v>309</v>
      </c>
      <c r="C393" s="11" t="s">
        <v>214</v>
      </c>
      <c r="D393" s="11" t="s">
        <v>93</v>
      </c>
      <c r="E393" s="11" t="s">
        <v>74</v>
      </c>
      <c r="F393" s="11" t="s">
        <v>212</v>
      </c>
      <c r="G393" s="9">
        <v>17</v>
      </c>
      <c r="H393" s="9">
        <v>7500</v>
      </c>
      <c r="I393" s="9">
        <v>0</v>
      </c>
      <c r="J393" s="9">
        <f t="shared" si="12"/>
        <v>127500</v>
      </c>
      <c r="K393" s="9">
        <f t="shared" si="13"/>
        <v>127500</v>
      </c>
      <c r="L393" s="11" t="s">
        <v>86</v>
      </c>
      <c r="M393" s="11" t="s">
        <v>77</v>
      </c>
    </row>
    <row r="394" spans="1:13" x14ac:dyDescent="0.25">
      <c r="A394" s="6">
        <v>388</v>
      </c>
      <c r="B394" s="7">
        <v>44955</v>
      </c>
      <c r="C394" s="8" t="s">
        <v>223</v>
      </c>
      <c r="D394" s="8" t="s">
        <v>73</v>
      </c>
      <c r="E394" s="8" t="s">
        <v>84</v>
      </c>
      <c r="F394" s="8" t="s">
        <v>90</v>
      </c>
      <c r="G394" s="6">
        <v>42</v>
      </c>
      <c r="H394" s="6">
        <v>2000</v>
      </c>
      <c r="I394" s="6">
        <v>0</v>
      </c>
      <c r="J394" s="6">
        <f t="shared" si="12"/>
        <v>84000</v>
      </c>
      <c r="K394" s="6">
        <f t="shared" si="13"/>
        <v>84000</v>
      </c>
      <c r="L394" s="8" t="s">
        <v>76</v>
      </c>
      <c r="M394" s="8" t="s">
        <v>81</v>
      </c>
    </row>
    <row r="395" spans="1:13" x14ac:dyDescent="0.25">
      <c r="A395" s="9">
        <v>389</v>
      </c>
      <c r="B395" s="10">
        <v>45594</v>
      </c>
      <c r="C395" s="11" t="s">
        <v>114</v>
      </c>
      <c r="D395" s="11" t="s">
        <v>93</v>
      </c>
      <c r="E395" s="11" t="s">
        <v>79</v>
      </c>
      <c r="F395" s="11" t="s">
        <v>136</v>
      </c>
      <c r="G395" s="9">
        <v>9</v>
      </c>
      <c r="H395" s="9">
        <v>86600</v>
      </c>
      <c r="I395" s="9">
        <v>0</v>
      </c>
      <c r="J395" s="9">
        <f t="shared" si="12"/>
        <v>779400</v>
      </c>
      <c r="K395" s="9">
        <f t="shared" si="13"/>
        <v>779400</v>
      </c>
      <c r="L395" s="11" t="s">
        <v>76</v>
      </c>
      <c r="M395" s="11" t="s">
        <v>77</v>
      </c>
    </row>
    <row r="396" spans="1:13" x14ac:dyDescent="0.25">
      <c r="A396" s="6">
        <v>390</v>
      </c>
      <c r="B396" s="7">
        <v>45185</v>
      </c>
      <c r="C396" s="8" t="s">
        <v>124</v>
      </c>
      <c r="D396" s="8" t="s">
        <v>117</v>
      </c>
      <c r="E396" s="8" t="s">
        <v>74</v>
      </c>
      <c r="F396" s="8" t="s">
        <v>140</v>
      </c>
      <c r="G396" s="6">
        <v>23</v>
      </c>
      <c r="H396" s="6">
        <v>5100</v>
      </c>
      <c r="I396" s="6">
        <v>5</v>
      </c>
      <c r="J396" s="6">
        <f t="shared" si="12"/>
        <v>117300</v>
      </c>
      <c r="K396" s="6">
        <f t="shared" si="13"/>
        <v>111435</v>
      </c>
      <c r="L396" s="8" t="s">
        <v>76</v>
      </c>
      <c r="M396" s="8" t="s">
        <v>81</v>
      </c>
    </row>
    <row r="397" spans="1:13" x14ac:dyDescent="0.25">
      <c r="A397" s="9">
        <v>391</v>
      </c>
      <c r="B397" s="10">
        <v>45236</v>
      </c>
      <c r="C397" s="11" t="s">
        <v>116</v>
      </c>
      <c r="D397" s="11" t="s">
        <v>93</v>
      </c>
      <c r="E397" s="11" t="s">
        <v>111</v>
      </c>
      <c r="F397" s="11" t="s">
        <v>112</v>
      </c>
      <c r="G397" s="9">
        <v>43</v>
      </c>
      <c r="H397" s="9">
        <v>58600</v>
      </c>
      <c r="I397" s="9">
        <v>10</v>
      </c>
      <c r="J397" s="9">
        <f t="shared" si="12"/>
        <v>2519800</v>
      </c>
      <c r="K397" s="9">
        <f t="shared" si="13"/>
        <v>2267820</v>
      </c>
      <c r="L397" s="11" t="s">
        <v>125</v>
      </c>
      <c r="M397" s="11" t="s">
        <v>96</v>
      </c>
    </row>
    <row r="398" spans="1:13" x14ac:dyDescent="0.25">
      <c r="A398" s="6">
        <v>392</v>
      </c>
      <c r="B398" s="7">
        <v>45589</v>
      </c>
      <c r="C398" s="8" t="s">
        <v>124</v>
      </c>
      <c r="D398" s="8" t="s">
        <v>93</v>
      </c>
      <c r="E398" s="8" t="s">
        <v>74</v>
      </c>
      <c r="F398" s="8" t="s">
        <v>190</v>
      </c>
      <c r="G398" s="6">
        <v>31</v>
      </c>
      <c r="H398" s="6">
        <v>34300</v>
      </c>
      <c r="I398" s="6">
        <v>15</v>
      </c>
      <c r="J398" s="6">
        <f t="shared" si="12"/>
        <v>1063300</v>
      </c>
      <c r="K398" s="6">
        <f t="shared" si="13"/>
        <v>903805</v>
      </c>
      <c r="L398" s="8" t="s">
        <v>76</v>
      </c>
      <c r="M398" s="8" t="s">
        <v>96</v>
      </c>
    </row>
    <row r="399" spans="1:13" x14ac:dyDescent="0.25">
      <c r="A399" s="9">
        <v>393</v>
      </c>
      <c r="B399" s="10">
        <v>45259</v>
      </c>
      <c r="C399" s="11" t="s">
        <v>101</v>
      </c>
      <c r="D399" s="11" t="s">
        <v>117</v>
      </c>
      <c r="E399" s="11" t="s">
        <v>74</v>
      </c>
      <c r="F399" s="11" t="s">
        <v>75</v>
      </c>
      <c r="G399" s="9">
        <v>49</v>
      </c>
      <c r="H399" s="9" t="s">
        <v>310</v>
      </c>
      <c r="I399" s="9">
        <v>20</v>
      </c>
      <c r="J399" s="9" t="e">
        <f t="shared" si="12"/>
        <v>#VALUE!</v>
      </c>
      <c r="K399" s="9" t="e">
        <f t="shared" si="13"/>
        <v>#VALUE!</v>
      </c>
      <c r="L399" s="11" t="s">
        <v>76</v>
      </c>
      <c r="M399" s="11" t="s">
        <v>77</v>
      </c>
    </row>
    <row r="400" spans="1:13" x14ac:dyDescent="0.25">
      <c r="A400" s="6">
        <v>394</v>
      </c>
      <c r="B400" s="7">
        <v>45541</v>
      </c>
      <c r="C400" s="8" t="s">
        <v>114</v>
      </c>
      <c r="D400" s="8" t="s">
        <v>117</v>
      </c>
      <c r="E400" s="8" t="s">
        <v>173</v>
      </c>
      <c r="F400" s="8" t="s">
        <v>206</v>
      </c>
      <c r="G400" s="6">
        <v>19</v>
      </c>
      <c r="H400" s="6">
        <v>14900</v>
      </c>
      <c r="I400" s="6">
        <v>5</v>
      </c>
      <c r="J400" s="6">
        <f t="shared" si="12"/>
        <v>283100</v>
      </c>
      <c r="K400" s="6">
        <f t="shared" si="13"/>
        <v>268945</v>
      </c>
      <c r="L400" s="8" t="s">
        <v>174</v>
      </c>
      <c r="M400" s="8" t="s">
        <v>91</v>
      </c>
    </row>
    <row r="401" spans="1:13" x14ac:dyDescent="0.25">
      <c r="A401" s="9">
        <v>395</v>
      </c>
      <c r="B401" s="10">
        <v>45324</v>
      </c>
      <c r="C401" s="11" t="s">
        <v>78</v>
      </c>
      <c r="D401" s="11" t="s">
        <v>93</v>
      </c>
      <c r="E401" s="11" t="s">
        <v>102</v>
      </c>
      <c r="F401" s="11" t="s">
        <v>181</v>
      </c>
      <c r="G401" s="9">
        <v>46</v>
      </c>
      <c r="H401" s="9">
        <v>4400</v>
      </c>
      <c r="I401" s="9">
        <v>15</v>
      </c>
      <c r="J401" s="9">
        <f t="shared" si="12"/>
        <v>202400</v>
      </c>
      <c r="K401" s="9">
        <f t="shared" si="13"/>
        <v>172040</v>
      </c>
      <c r="L401" s="11" t="s">
        <v>76</v>
      </c>
      <c r="M401" s="11" t="s">
        <v>91</v>
      </c>
    </row>
    <row r="402" spans="1:13" x14ac:dyDescent="0.25">
      <c r="A402" s="6">
        <v>396</v>
      </c>
      <c r="B402" s="8" t="s">
        <v>92</v>
      </c>
      <c r="C402" s="8" t="s">
        <v>82</v>
      </c>
      <c r="D402" s="8" t="s">
        <v>117</v>
      </c>
      <c r="E402" s="8" t="s">
        <v>84</v>
      </c>
      <c r="F402" s="8" t="s">
        <v>128</v>
      </c>
      <c r="G402" s="6">
        <v>31</v>
      </c>
      <c r="H402" s="6">
        <v>4100</v>
      </c>
      <c r="I402" s="6">
        <v>15</v>
      </c>
      <c r="J402" s="6">
        <f t="shared" si="12"/>
        <v>127100</v>
      </c>
      <c r="K402" s="6">
        <f t="shared" si="13"/>
        <v>108035</v>
      </c>
      <c r="L402" s="8" t="s">
        <v>76</v>
      </c>
      <c r="M402" s="8" t="s">
        <v>96</v>
      </c>
    </row>
    <row r="403" spans="1:13" x14ac:dyDescent="0.25">
      <c r="A403" s="9">
        <v>397</v>
      </c>
      <c r="B403" s="10">
        <v>45499</v>
      </c>
      <c r="C403" s="11" t="s">
        <v>108</v>
      </c>
      <c r="D403" s="11" t="s">
        <v>117</v>
      </c>
      <c r="E403" s="11" t="s">
        <v>79</v>
      </c>
      <c r="F403" s="11" t="s">
        <v>80</v>
      </c>
      <c r="G403" s="9">
        <v>48</v>
      </c>
      <c r="H403" s="9">
        <v>8400</v>
      </c>
      <c r="I403" s="9">
        <v>20</v>
      </c>
      <c r="J403" s="9">
        <f t="shared" si="12"/>
        <v>403200</v>
      </c>
      <c r="K403" s="9">
        <f t="shared" si="13"/>
        <v>322560</v>
      </c>
      <c r="L403" s="11" t="s">
        <v>107</v>
      </c>
      <c r="M403" s="11" t="s">
        <v>91</v>
      </c>
    </row>
    <row r="404" spans="1:13" x14ac:dyDescent="0.25">
      <c r="A404" s="6">
        <v>398</v>
      </c>
      <c r="B404" s="7">
        <v>45266</v>
      </c>
      <c r="C404" s="8" t="s">
        <v>88</v>
      </c>
      <c r="D404" s="8" t="s">
        <v>117</v>
      </c>
      <c r="E404" s="8" t="s">
        <v>102</v>
      </c>
      <c r="F404" s="8" t="s">
        <v>110</v>
      </c>
      <c r="G404" s="6">
        <v>8</v>
      </c>
      <c r="H404" s="6">
        <v>22400</v>
      </c>
      <c r="I404" s="6">
        <v>5</v>
      </c>
      <c r="J404" s="6">
        <f t="shared" si="12"/>
        <v>179200</v>
      </c>
      <c r="K404" s="6">
        <f t="shared" si="13"/>
        <v>170240</v>
      </c>
      <c r="L404" s="8" t="s">
        <v>76</v>
      </c>
      <c r="M404" s="8" t="s">
        <v>77</v>
      </c>
    </row>
    <row r="405" spans="1:13" x14ac:dyDescent="0.25">
      <c r="A405" s="9">
        <v>399</v>
      </c>
      <c r="B405" s="10">
        <v>45126</v>
      </c>
      <c r="C405" s="11" t="s">
        <v>82</v>
      </c>
      <c r="D405" s="11" t="s">
        <v>73</v>
      </c>
      <c r="E405" s="11" t="s">
        <v>111</v>
      </c>
      <c r="F405" s="11" t="s">
        <v>135</v>
      </c>
      <c r="G405" s="9">
        <v>10</v>
      </c>
      <c r="H405" s="9" t="s">
        <v>311</v>
      </c>
      <c r="I405" s="9">
        <v>0</v>
      </c>
      <c r="J405" s="9" t="e">
        <f t="shared" si="12"/>
        <v>#VALUE!</v>
      </c>
      <c r="K405" s="9" t="e">
        <f t="shared" si="13"/>
        <v>#VALUE!</v>
      </c>
      <c r="L405" s="11" t="s">
        <v>76</v>
      </c>
      <c r="M405" s="11" t="s">
        <v>81</v>
      </c>
    </row>
    <row r="406" spans="1:13" x14ac:dyDescent="0.25">
      <c r="A406" s="6">
        <v>400</v>
      </c>
      <c r="B406" s="7">
        <v>45346</v>
      </c>
      <c r="C406" s="8" t="s">
        <v>124</v>
      </c>
      <c r="D406" s="8" t="s">
        <v>266</v>
      </c>
      <c r="E406" s="8" t="s">
        <v>84</v>
      </c>
      <c r="F406" s="8" t="s">
        <v>200</v>
      </c>
      <c r="G406" s="6">
        <v>12</v>
      </c>
      <c r="H406" s="6" t="s">
        <v>312</v>
      </c>
      <c r="I406" s="6">
        <v>0</v>
      </c>
      <c r="J406" s="6" t="e">
        <f t="shared" si="12"/>
        <v>#VALUE!</v>
      </c>
      <c r="K406" s="6" t="e">
        <f t="shared" si="13"/>
        <v>#VALUE!</v>
      </c>
      <c r="L406" s="8" t="s">
        <v>86</v>
      </c>
      <c r="M406" s="8" t="s">
        <v>91</v>
      </c>
    </row>
    <row r="407" spans="1:13" x14ac:dyDescent="0.25">
      <c r="A407" s="9">
        <v>401</v>
      </c>
      <c r="B407" s="10">
        <v>45573</v>
      </c>
      <c r="C407" s="11" t="s">
        <v>290</v>
      </c>
      <c r="D407" s="11" t="s">
        <v>117</v>
      </c>
      <c r="E407" s="11" t="s">
        <v>79</v>
      </c>
      <c r="F407" s="11" t="s">
        <v>136</v>
      </c>
      <c r="G407" s="9">
        <v>14</v>
      </c>
      <c r="H407" s="9">
        <v>86100</v>
      </c>
      <c r="I407" s="9">
        <v>10</v>
      </c>
      <c r="J407" s="9">
        <f t="shared" si="12"/>
        <v>1205400</v>
      </c>
      <c r="K407" s="9">
        <f t="shared" si="13"/>
        <v>1084860</v>
      </c>
      <c r="L407" s="11" t="s">
        <v>86</v>
      </c>
      <c r="M407" s="11" t="s">
        <v>81</v>
      </c>
    </row>
    <row r="408" spans="1:13" x14ac:dyDescent="0.25">
      <c r="A408" s="6">
        <v>402</v>
      </c>
      <c r="B408" s="7">
        <v>45089</v>
      </c>
      <c r="C408" s="8" t="s">
        <v>119</v>
      </c>
      <c r="D408" s="8" t="s">
        <v>73</v>
      </c>
      <c r="E408" s="8" t="s">
        <v>84</v>
      </c>
      <c r="F408" s="8" t="s">
        <v>148</v>
      </c>
      <c r="G408" s="6">
        <v>26</v>
      </c>
      <c r="H408" s="6">
        <v>5100</v>
      </c>
      <c r="I408" s="6">
        <v>5</v>
      </c>
      <c r="J408" s="6">
        <f t="shared" si="12"/>
        <v>132600</v>
      </c>
      <c r="K408" s="6">
        <f t="shared" si="13"/>
        <v>125970</v>
      </c>
      <c r="L408" s="8" t="s">
        <v>76</v>
      </c>
      <c r="M408" s="8" t="s">
        <v>91</v>
      </c>
    </row>
    <row r="409" spans="1:13" x14ac:dyDescent="0.25">
      <c r="A409" s="9">
        <v>403</v>
      </c>
      <c r="B409" s="10">
        <v>44931</v>
      </c>
      <c r="C409" s="11" t="s">
        <v>78</v>
      </c>
      <c r="D409" s="11" t="s">
        <v>93</v>
      </c>
      <c r="E409" s="11" t="s">
        <v>84</v>
      </c>
      <c r="F409" s="11" t="s">
        <v>200</v>
      </c>
      <c r="G409" s="9">
        <v>21</v>
      </c>
      <c r="H409" s="9">
        <v>3600</v>
      </c>
      <c r="I409" s="9">
        <v>0</v>
      </c>
      <c r="J409" s="9">
        <f t="shared" si="12"/>
        <v>75600</v>
      </c>
      <c r="K409" s="9">
        <f t="shared" si="13"/>
        <v>75600</v>
      </c>
      <c r="L409" s="11" t="s">
        <v>86</v>
      </c>
      <c r="M409" s="11" t="s">
        <v>81</v>
      </c>
    </row>
    <row r="410" spans="1:13" x14ac:dyDescent="0.25">
      <c r="A410" s="6">
        <v>404</v>
      </c>
      <c r="B410" s="7">
        <v>45619</v>
      </c>
      <c r="C410" s="8" t="s">
        <v>78</v>
      </c>
      <c r="D410" s="8" t="s">
        <v>109</v>
      </c>
      <c r="E410" s="8" t="s">
        <v>84</v>
      </c>
      <c r="F410" s="8" t="s">
        <v>200</v>
      </c>
      <c r="G410" s="6">
        <v>7</v>
      </c>
      <c r="H410" s="6">
        <v>3100</v>
      </c>
      <c r="I410" s="6">
        <v>0</v>
      </c>
      <c r="J410" s="6">
        <f t="shared" si="12"/>
        <v>21700</v>
      </c>
      <c r="K410" s="6">
        <f t="shared" si="13"/>
        <v>21700</v>
      </c>
      <c r="L410" s="8" t="s">
        <v>76</v>
      </c>
      <c r="M410" s="8" t="s">
        <v>96</v>
      </c>
    </row>
    <row r="411" spans="1:13" x14ac:dyDescent="0.25">
      <c r="A411" s="9">
        <v>405</v>
      </c>
      <c r="B411" s="10">
        <v>44993</v>
      </c>
      <c r="C411" s="11" t="s">
        <v>78</v>
      </c>
      <c r="D411" s="11" t="s">
        <v>313</v>
      </c>
      <c r="E411" s="11" t="s">
        <v>74</v>
      </c>
      <c r="F411" s="11" t="s">
        <v>99</v>
      </c>
      <c r="G411" s="9">
        <v>39</v>
      </c>
      <c r="H411" s="9">
        <v>3800</v>
      </c>
      <c r="I411" s="9">
        <v>15</v>
      </c>
      <c r="J411" s="9">
        <f t="shared" si="12"/>
        <v>148200</v>
      </c>
      <c r="K411" s="9">
        <f t="shared" si="13"/>
        <v>125970</v>
      </c>
      <c r="L411" s="11" t="s">
        <v>76</v>
      </c>
      <c r="M411" s="11" t="s">
        <v>91</v>
      </c>
    </row>
    <row r="412" spans="1:13" x14ac:dyDescent="0.25">
      <c r="A412" s="6">
        <v>406</v>
      </c>
      <c r="B412" s="7">
        <v>45064</v>
      </c>
      <c r="C412" s="8" t="s">
        <v>88</v>
      </c>
      <c r="D412" s="8" t="s">
        <v>83</v>
      </c>
      <c r="E412" s="8" t="s">
        <v>74</v>
      </c>
      <c r="F412" s="8" t="s">
        <v>75</v>
      </c>
      <c r="G412" s="12">
        <v>-26</v>
      </c>
      <c r="H412" s="6">
        <v>20700</v>
      </c>
      <c r="I412" s="6">
        <v>15</v>
      </c>
      <c r="J412" s="6">
        <f t="shared" si="12"/>
        <v>-538200</v>
      </c>
      <c r="K412" s="6">
        <f t="shared" si="13"/>
        <v>-457470</v>
      </c>
      <c r="L412" s="8" t="s">
        <v>229</v>
      </c>
      <c r="M412" s="8" t="s">
        <v>81</v>
      </c>
    </row>
    <row r="413" spans="1:13" x14ac:dyDescent="0.25">
      <c r="A413" s="9">
        <v>407</v>
      </c>
      <c r="B413" s="10">
        <v>45061</v>
      </c>
      <c r="C413" s="11" t="s">
        <v>106</v>
      </c>
      <c r="D413" s="11" t="s">
        <v>73</v>
      </c>
      <c r="E413" s="11" t="s">
        <v>102</v>
      </c>
      <c r="F413" s="11" t="s">
        <v>103</v>
      </c>
      <c r="G413" s="9">
        <v>46</v>
      </c>
      <c r="H413" s="9">
        <v>9100</v>
      </c>
      <c r="I413" s="9">
        <v>5</v>
      </c>
      <c r="J413" s="9">
        <f t="shared" si="12"/>
        <v>418600</v>
      </c>
      <c r="K413" s="9">
        <f t="shared" si="13"/>
        <v>397670</v>
      </c>
      <c r="L413" s="11" t="s">
        <v>86</v>
      </c>
      <c r="M413" s="11" t="s">
        <v>77</v>
      </c>
    </row>
    <row r="414" spans="1:13" x14ac:dyDescent="0.25">
      <c r="A414" s="6">
        <v>408</v>
      </c>
      <c r="B414" s="7">
        <v>45582</v>
      </c>
      <c r="C414" s="8" t="s">
        <v>101</v>
      </c>
      <c r="D414" s="8" t="s">
        <v>93</v>
      </c>
      <c r="E414" s="8" t="s">
        <v>102</v>
      </c>
      <c r="F414" s="8" t="s">
        <v>138</v>
      </c>
      <c r="G414" s="6">
        <v>4</v>
      </c>
      <c r="H414" s="6">
        <v>6800</v>
      </c>
      <c r="I414" s="6">
        <v>0</v>
      </c>
      <c r="J414" s="6">
        <f t="shared" si="12"/>
        <v>27200</v>
      </c>
      <c r="K414" s="6">
        <f t="shared" si="13"/>
        <v>27200</v>
      </c>
      <c r="L414" s="8" t="s">
        <v>86</v>
      </c>
      <c r="M414" s="8" t="s">
        <v>77</v>
      </c>
    </row>
    <row r="415" spans="1:13" x14ac:dyDescent="0.25">
      <c r="A415" s="9">
        <v>409</v>
      </c>
      <c r="B415" s="10">
        <v>45633</v>
      </c>
      <c r="C415" s="11" t="s">
        <v>97</v>
      </c>
      <c r="D415" s="11" t="s">
        <v>266</v>
      </c>
      <c r="E415" s="11" t="s">
        <v>111</v>
      </c>
      <c r="F415" s="11" t="s">
        <v>165</v>
      </c>
      <c r="G415" s="9">
        <v>17</v>
      </c>
      <c r="H415" s="9">
        <v>16800</v>
      </c>
      <c r="I415" s="9">
        <v>0</v>
      </c>
      <c r="J415" s="9">
        <f t="shared" si="12"/>
        <v>285600</v>
      </c>
      <c r="K415" s="9">
        <f t="shared" si="13"/>
        <v>285600</v>
      </c>
      <c r="L415" s="11" t="s">
        <v>76</v>
      </c>
      <c r="M415" s="11"/>
    </row>
    <row r="416" spans="1:13" x14ac:dyDescent="0.25">
      <c r="A416" s="6">
        <v>410</v>
      </c>
      <c r="B416" s="7">
        <v>45638</v>
      </c>
      <c r="C416" s="8" t="s">
        <v>78</v>
      </c>
      <c r="D416" s="8" t="s">
        <v>117</v>
      </c>
      <c r="E416" s="8" t="s">
        <v>111</v>
      </c>
      <c r="F416" s="8" t="s">
        <v>112</v>
      </c>
      <c r="G416" s="6">
        <v>18</v>
      </c>
      <c r="H416" s="6">
        <v>69300</v>
      </c>
      <c r="I416" s="6">
        <v>5</v>
      </c>
      <c r="J416" s="6">
        <f t="shared" si="12"/>
        <v>1247400</v>
      </c>
      <c r="K416" s="6">
        <f t="shared" si="13"/>
        <v>1185030</v>
      </c>
      <c r="L416" s="8" t="s">
        <v>76</v>
      </c>
      <c r="M416" s="8" t="s">
        <v>81</v>
      </c>
    </row>
    <row r="417" spans="1:13" x14ac:dyDescent="0.25">
      <c r="A417" s="9">
        <v>411</v>
      </c>
      <c r="B417" s="10">
        <v>45034</v>
      </c>
      <c r="C417" s="11" t="s">
        <v>82</v>
      </c>
      <c r="D417" s="11" t="s">
        <v>93</v>
      </c>
      <c r="E417" s="11" t="s">
        <v>79</v>
      </c>
      <c r="F417" s="11" t="s">
        <v>179</v>
      </c>
      <c r="G417" s="9">
        <v>7</v>
      </c>
      <c r="H417" s="9">
        <v>2300</v>
      </c>
      <c r="I417" s="9">
        <v>20</v>
      </c>
      <c r="J417" s="9">
        <f t="shared" si="12"/>
        <v>16100</v>
      </c>
      <c r="K417" s="9">
        <f t="shared" si="13"/>
        <v>12880</v>
      </c>
      <c r="L417" s="11" t="s">
        <v>76</v>
      </c>
      <c r="M417" s="11" t="s">
        <v>81</v>
      </c>
    </row>
    <row r="418" spans="1:13" x14ac:dyDescent="0.25">
      <c r="A418" s="6">
        <v>412</v>
      </c>
      <c r="B418" s="7">
        <v>45196</v>
      </c>
      <c r="C418" s="8" t="s">
        <v>82</v>
      </c>
      <c r="D418" s="8" t="s">
        <v>109</v>
      </c>
      <c r="E418" s="8" t="s">
        <v>74</v>
      </c>
      <c r="F418" s="8" t="s">
        <v>140</v>
      </c>
      <c r="G418" s="6">
        <v>3</v>
      </c>
      <c r="H418" s="6">
        <v>4400</v>
      </c>
      <c r="I418" s="6">
        <v>15</v>
      </c>
      <c r="J418" s="6">
        <f t="shared" si="12"/>
        <v>13200</v>
      </c>
      <c r="K418" s="6">
        <f t="shared" si="13"/>
        <v>11220</v>
      </c>
      <c r="L418" s="8" t="s">
        <v>76</v>
      </c>
      <c r="M418" s="8" t="s">
        <v>81</v>
      </c>
    </row>
    <row r="419" spans="1:13" x14ac:dyDescent="0.25">
      <c r="A419" s="9">
        <v>413</v>
      </c>
      <c r="B419" s="10">
        <v>45419</v>
      </c>
      <c r="C419" s="11" t="s">
        <v>282</v>
      </c>
      <c r="D419" s="11" t="s">
        <v>109</v>
      </c>
      <c r="E419" s="11" t="s">
        <v>79</v>
      </c>
      <c r="F419" s="11" t="s">
        <v>136</v>
      </c>
      <c r="G419" s="9">
        <v>8</v>
      </c>
      <c r="H419" s="9">
        <v>90800</v>
      </c>
      <c r="I419" s="9">
        <v>0</v>
      </c>
      <c r="J419" s="9">
        <f t="shared" si="12"/>
        <v>726400</v>
      </c>
      <c r="K419" s="9">
        <f t="shared" si="13"/>
        <v>726400</v>
      </c>
      <c r="L419" s="11" t="s">
        <v>86</v>
      </c>
      <c r="M419" s="11" t="s">
        <v>91</v>
      </c>
    </row>
    <row r="420" spans="1:13" x14ac:dyDescent="0.25">
      <c r="A420" s="6">
        <v>178</v>
      </c>
      <c r="B420" s="7">
        <v>44975</v>
      </c>
      <c r="C420" s="8" t="s">
        <v>88</v>
      </c>
      <c r="D420" s="8" t="s">
        <v>117</v>
      </c>
      <c r="E420" s="8" t="s">
        <v>79</v>
      </c>
      <c r="F420" s="8" t="s">
        <v>120</v>
      </c>
      <c r="G420" s="6">
        <v>26</v>
      </c>
      <c r="H420" s="6">
        <v>6100</v>
      </c>
      <c r="I420" s="6">
        <v>0</v>
      </c>
      <c r="J420" s="6">
        <f t="shared" si="12"/>
        <v>158600</v>
      </c>
      <c r="K420" s="6">
        <f t="shared" si="13"/>
        <v>158600</v>
      </c>
      <c r="L420" s="8" t="s">
        <v>86</v>
      </c>
      <c r="M420" s="8" t="s">
        <v>91</v>
      </c>
    </row>
    <row r="421" spans="1:13" x14ac:dyDescent="0.25">
      <c r="A421" s="9">
        <v>414</v>
      </c>
      <c r="B421" s="11" t="s">
        <v>314</v>
      </c>
      <c r="C421" s="11" t="s">
        <v>82</v>
      </c>
      <c r="D421" s="11" t="s">
        <v>73</v>
      </c>
      <c r="E421" s="11" t="s">
        <v>79</v>
      </c>
      <c r="F421" s="11" t="s">
        <v>179</v>
      </c>
      <c r="G421" s="9">
        <v>30</v>
      </c>
      <c r="H421" s="9">
        <v>2700</v>
      </c>
      <c r="I421" s="9">
        <v>0</v>
      </c>
      <c r="J421" s="9">
        <f t="shared" si="12"/>
        <v>81000</v>
      </c>
      <c r="K421" s="9">
        <f t="shared" si="13"/>
        <v>81000</v>
      </c>
      <c r="L421" s="11" t="s">
        <v>125</v>
      </c>
      <c r="M421" s="11" t="s">
        <v>96</v>
      </c>
    </row>
    <row r="422" spans="1:13" x14ac:dyDescent="0.25">
      <c r="A422" s="6">
        <v>415</v>
      </c>
      <c r="B422" s="7">
        <v>45402</v>
      </c>
      <c r="C422" s="8" t="s">
        <v>78</v>
      </c>
      <c r="D422" s="8" t="s">
        <v>73</v>
      </c>
      <c r="E422" s="8" t="s">
        <v>84</v>
      </c>
      <c r="F422" s="8" t="s">
        <v>206</v>
      </c>
      <c r="G422" s="6">
        <v>24</v>
      </c>
      <c r="H422" s="6">
        <v>15600</v>
      </c>
      <c r="I422" s="6">
        <v>5</v>
      </c>
      <c r="J422" s="6">
        <f t="shared" si="12"/>
        <v>374400</v>
      </c>
      <c r="K422" s="6">
        <f t="shared" si="13"/>
        <v>355680</v>
      </c>
      <c r="L422" s="8" t="s">
        <v>86</v>
      </c>
      <c r="M422" s="8" t="s">
        <v>96</v>
      </c>
    </row>
    <row r="423" spans="1:13" x14ac:dyDescent="0.25">
      <c r="A423" s="9">
        <v>416</v>
      </c>
      <c r="B423" s="10">
        <v>45045</v>
      </c>
      <c r="C423" s="11" t="s">
        <v>97</v>
      </c>
      <c r="D423" s="11" t="s">
        <v>73</v>
      </c>
      <c r="E423" s="11" t="s">
        <v>79</v>
      </c>
      <c r="F423" s="11" t="s">
        <v>122</v>
      </c>
      <c r="G423" s="9">
        <v>11</v>
      </c>
      <c r="H423" s="9">
        <v>19200</v>
      </c>
      <c r="I423" s="9">
        <v>10</v>
      </c>
      <c r="J423" s="9">
        <f t="shared" si="12"/>
        <v>211200</v>
      </c>
      <c r="K423" s="9">
        <f t="shared" si="13"/>
        <v>190080</v>
      </c>
      <c r="L423" s="11" t="s">
        <v>76</v>
      </c>
      <c r="M423" s="11" t="s">
        <v>91</v>
      </c>
    </row>
    <row r="424" spans="1:13" x14ac:dyDescent="0.25">
      <c r="A424" s="6">
        <v>417</v>
      </c>
      <c r="B424" s="8" t="s">
        <v>315</v>
      </c>
      <c r="C424" s="8" t="s">
        <v>97</v>
      </c>
      <c r="D424" s="8" t="s">
        <v>117</v>
      </c>
      <c r="E424" s="8" t="s">
        <v>74</v>
      </c>
      <c r="F424" s="8" t="s">
        <v>142</v>
      </c>
      <c r="G424" s="6">
        <v>26</v>
      </c>
      <c r="H424" s="6">
        <v>11100</v>
      </c>
      <c r="I424" s="6">
        <v>20</v>
      </c>
      <c r="J424" s="6">
        <f t="shared" si="12"/>
        <v>288600</v>
      </c>
      <c r="K424" s="6">
        <f t="shared" si="13"/>
        <v>230880</v>
      </c>
      <c r="L424" s="8" t="s">
        <v>125</v>
      </c>
      <c r="M424" s="8" t="s">
        <v>96</v>
      </c>
    </row>
    <row r="425" spans="1:13" x14ac:dyDescent="0.25">
      <c r="A425" s="9">
        <v>418</v>
      </c>
      <c r="B425" s="11" t="s">
        <v>316</v>
      </c>
      <c r="C425" s="11" t="s">
        <v>119</v>
      </c>
      <c r="D425" s="11" t="s">
        <v>83</v>
      </c>
      <c r="E425" s="11" t="s">
        <v>84</v>
      </c>
      <c r="F425" s="11" t="s">
        <v>150</v>
      </c>
      <c r="G425" s="9">
        <v>47</v>
      </c>
      <c r="H425" s="9">
        <v>5100</v>
      </c>
      <c r="I425" s="9">
        <v>0</v>
      </c>
      <c r="J425" s="9">
        <f t="shared" si="12"/>
        <v>239700</v>
      </c>
      <c r="K425" s="9">
        <f t="shared" si="13"/>
        <v>239700</v>
      </c>
      <c r="L425" s="11" t="s">
        <v>76</v>
      </c>
      <c r="M425" s="11" t="s">
        <v>81</v>
      </c>
    </row>
    <row r="426" spans="1:13" x14ac:dyDescent="0.25">
      <c r="A426" s="6">
        <v>419</v>
      </c>
      <c r="B426" s="8" t="s">
        <v>317</v>
      </c>
      <c r="C426" s="8" t="s">
        <v>124</v>
      </c>
      <c r="D426" s="8" t="s">
        <v>83</v>
      </c>
      <c r="E426" s="8" t="s">
        <v>102</v>
      </c>
      <c r="F426" s="8" t="s">
        <v>197</v>
      </c>
      <c r="G426" s="6">
        <v>25</v>
      </c>
      <c r="H426" s="6">
        <v>3600</v>
      </c>
      <c r="I426" s="6">
        <v>20</v>
      </c>
      <c r="J426" s="6">
        <f t="shared" si="12"/>
        <v>90000</v>
      </c>
      <c r="K426" s="6">
        <f t="shared" si="13"/>
        <v>72000</v>
      </c>
      <c r="L426" s="8" t="s">
        <v>86</v>
      </c>
      <c r="M426" s="8" t="s">
        <v>77</v>
      </c>
    </row>
    <row r="427" spans="1:13" x14ac:dyDescent="0.25">
      <c r="A427" s="9">
        <v>420</v>
      </c>
      <c r="B427" s="10">
        <v>45627</v>
      </c>
      <c r="C427" s="11" t="s">
        <v>108</v>
      </c>
      <c r="D427" s="11" t="s">
        <v>83</v>
      </c>
      <c r="E427" s="11" t="s">
        <v>111</v>
      </c>
      <c r="F427" s="11" t="s">
        <v>112</v>
      </c>
      <c r="G427" s="9">
        <v>29</v>
      </c>
      <c r="H427" s="9">
        <v>72900</v>
      </c>
      <c r="I427" s="9">
        <v>15</v>
      </c>
      <c r="J427" s="9">
        <f t="shared" si="12"/>
        <v>2114100</v>
      </c>
      <c r="K427" s="9">
        <f t="shared" si="13"/>
        <v>1796985</v>
      </c>
      <c r="L427" s="11" t="s">
        <v>76</v>
      </c>
      <c r="M427" s="11" t="s">
        <v>96</v>
      </c>
    </row>
    <row r="428" spans="1:13" x14ac:dyDescent="0.25">
      <c r="A428" s="6">
        <v>421</v>
      </c>
      <c r="B428" s="7">
        <v>45248</v>
      </c>
      <c r="C428" s="8" t="s">
        <v>78</v>
      </c>
      <c r="D428" s="8" t="s">
        <v>93</v>
      </c>
      <c r="E428" s="8" t="s">
        <v>102</v>
      </c>
      <c r="F428" s="8" t="s">
        <v>181</v>
      </c>
      <c r="G428" s="6">
        <v>43</v>
      </c>
      <c r="H428" s="6">
        <v>5200</v>
      </c>
      <c r="I428" s="6">
        <v>5</v>
      </c>
      <c r="J428" s="6">
        <f t="shared" si="12"/>
        <v>223600</v>
      </c>
      <c r="K428" s="6">
        <f t="shared" si="13"/>
        <v>212420</v>
      </c>
      <c r="L428" s="8" t="s">
        <v>107</v>
      </c>
      <c r="M428" s="8" t="s">
        <v>77</v>
      </c>
    </row>
    <row r="429" spans="1:13" x14ac:dyDescent="0.25">
      <c r="A429" s="9">
        <v>422</v>
      </c>
      <c r="B429" s="10">
        <v>45604</v>
      </c>
      <c r="C429" s="11" t="s">
        <v>106</v>
      </c>
      <c r="D429" s="11" t="s">
        <v>83</v>
      </c>
      <c r="E429" s="11" t="s">
        <v>74</v>
      </c>
      <c r="F429" s="11" t="s">
        <v>140</v>
      </c>
      <c r="G429" s="9">
        <v>36</v>
      </c>
      <c r="H429" s="9">
        <v>4200</v>
      </c>
      <c r="I429" s="9">
        <v>0</v>
      </c>
      <c r="J429" s="9">
        <f t="shared" si="12"/>
        <v>151200</v>
      </c>
      <c r="K429" s="9">
        <f t="shared" si="13"/>
        <v>151200</v>
      </c>
      <c r="L429" s="11" t="s">
        <v>107</v>
      </c>
      <c r="M429" s="11" t="s">
        <v>77</v>
      </c>
    </row>
    <row r="430" spans="1:13" x14ac:dyDescent="0.25">
      <c r="A430" s="6">
        <v>423</v>
      </c>
      <c r="B430" s="8" t="s">
        <v>318</v>
      </c>
      <c r="C430" s="8" t="s">
        <v>108</v>
      </c>
      <c r="D430" s="8" t="s">
        <v>261</v>
      </c>
      <c r="E430" s="8" t="s">
        <v>111</v>
      </c>
      <c r="F430" s="8" t="s">
        <v>159</v>
      </c>
      <c r="G430" s="6">
        <v>5</v>
      </c>
      <c r="H430" s="6">
        <v>13400</v>
      </c>
      <c r="I430" s="6">
        <v>0</v>
      </c>
      <c r="J430" s="6">
        <f t="shared" si="12"/>
        <v>67000</v>
      </c>
      <c r="K430" s="6">
        <f t="shared" si="13"/>
        <v>67000</v>
      </c>
      <c r="L430" s="8" t="s">
        <v>86</v>
      </c>
      <c r="M430" s="8" t="s">
        <v>96</v>
      </c>
    </row>
    <row r="431" spans="1:13" x14ac:dyDescent="0.25">
      <c r="A431" s="9">
        <v>424</v>
      </c>
      <c r="B431" s="10">
        <v>45265</v>
      </c>
      <c r="C431" s="11" t="s">
        <v>101</v>
      </c>
      <c r="D431" s="11" t="s">
        <v>73</v>
      </c>
      <c r="E431" s="11" t="s">
        <v>102</v>
      </c>
      <c r="F431" s="11" t="s">
        <v>181</v>
      </c>
      <c r="G431" s="9">
        <v>25</v>
      </c>
      <c r="H431" s="9" t="s">
        <v>319</v>
      </c>
      <c r="I431" s="9">
        <v>0</v>
      </c>
      <c r="J431" s="9" t="e">
        <f t="shared" si="12"/>
        <v>#VALUE!</v>
      </c>
      <c r="K431" s="9" t="e">
        <f t="shared" si="13"/>
        <v>#VALUE!</v>
      </c>
      <c r="L431" s="11" t="s">
        <v>76</v>
      </c>
      <c r="M431" s="11" t="s">
        <v>81</v>
      </c>
    </row>
    <row r="432" spans="1:13" x14ac:dyDescent="0.25">
      <c r="A432" s="6">
        <v>425</v>
      </c>
      <c r="B432" s="7">
        <v>45397</v>
      </c>
      <c r="C432" s="8" t="s">
        <v>119</v>
      </c>
      <c r="D432" s="8"/>
      <c r="E432" s="8" t="s">
        <v>111</v>
      </c>
      <c r="F432" s="8" t="s">
        <v>112</v>
      </c>
      <c r="G432" s="6">
        <v>29</v>
      </c>
      <c r="H432" s="6">
        <v>72400</v>
      </c>
      <c r="I432" s="6">
        <v>15</v>
      </c>
      <c r="J432" s="6">
        <f t="shared" si="12"/>
        <v>2099600</v>
      </c>
      <c r="K432" s="6">
        <f t="shared" si="13"/>
        <v>1784660</v>
      </c>
      <c r="L432" s="8" t="s">
        <v>76</v>
      </c>
      <c r="M432" s="8" t="s">
        <v>91</v>
      </c>
    </row>
    <row r="433" spans="1:13" x14ac:dyDescent="0.25">
      <c r="A433" s="9">
        <v>426</v>
      </c>
      <c r="B433" s="10">
        <v>45596</v>
      </c>
      <c r="C433" s="11" t="s">
        <v>78</v>
      </c>
      <c r="D433" s="11" t="s">
        <v>73</v>
      </c>
      <c r="E433" s="11" t="s">
        <v>111</v>
      </c>
      <c r="F433" s="11" t="s">
        <v>165</v>
      </c>
      <c r="G433" s="9">
        <v>36</v>
      </c>
      <c r="H433" s="9">
        <v>16400</v>
      </c>
      <c r="I433" s="9">
        <v>20</v>
      </c>
      <c r="J433" s="9">
        <f t="shared" si="12"/>
        <v>590400</v>
      </c>
      <c r="K433" s="9">
        <f t="shared" si="13"/>
        <v>472320</v>
      </c>
      <c r="L433" s="11" t="s">
        <v>76</v>
      </c>
      <c r="M433" s="11" t="s">
        <v>77</v>
      </c>
    </row>
    <row r="434" spans="1:13" x14ac:dyDescent="0.25">
      <c r="A434" s="6">
        <v>427</v>
      </c>
      <c r="B434" s="7">
        <v>45545</v>
      </c>
      <c r="C434" s="8" t="s">
        <v>124</v>
      </c>
      <c r="D434" s="8" t="s">
        <v>117</v>
      </c>
      <c r="E434" s="8" t="s">
        <v>102</v>
      </c>
      <c r="F434" s="8" t="s">
        <v>181</v>
      </c>
      <c r="G434" s="6">
        <v>30</v>
      </c>
      <c r="H434" s="6">
        <v>4800</v>
      </c>
      <c r="I434" s="6">
        <v>20</v>
      </c>
      <c r="J434" s="6">
        <f t="shared" si="12"/>
        <v>144000</v>
      </c>
      <c r="K434" s="6">
        <f t="shared" si="13"/>
        <v>115200</v>
      </c>
      <c r="L434" s="8" t="s">
        <v>125</v>
      </c>
      <c r="M434" s="8" t="s">
        <v>96</v>
      </c>
    </row>
    <row r="435" spans="1:13" x14ac:dyDescent="0.25">
      <c r="A435" s="9">
        <v>428</v>
      </c>
      <c r="B435" s="11" t="s">
        <v>320</v>
      </c>
      <c r="C435" s="11" t="s">
        <v>106</v>
      </c>
      <c r="D435" s="11"/>
      <c r="E435" s="11" t="s">
        <v>74</v>
      </c>
      <c r="F435" s="11" t="s">
        <v>99</v>
      </c>
      <c r="G435" s="9">
        <v>24</v>
      </c>
      <c r="H435" s="9">
        <v>3800</v>
      </c>
      <c r="I435" s="9">
        <v>0</v>
      </c>
      <c r="J435" s="9">
        <f t="shared" si="12"/>
        <v>91200</v>
      </c>
      <c r="K435" s="9">
        <f t="shared" si="13"/>
        <v>91200</v>
      </c>
      <c r="L435" s="11" t="s">
        <v>86</v>
      </c>
      <c r="M435" s="11" t="s">
        <v>77</v>
      </c>
    </row>
    <row r="436" spans="1:13" x14ac:dyDescent="0.25">
      <c r="A436" s="6">
        <v>429</v>
      </c>
      <c r="B436" s="7">
        <v>45601</v>
      </c>
      <c r="C436" s="8" t="s">
        <v>106</v>
      </c>
      <c r="D436" s="8" t="s">
        <v>73</v>
      </c>
      <c r="E436" s="8" t="s">
        <v>74</v>
      </c>
      <c r="F436" s="8" t="s">
        <v>212</v>
      </c>
      <c r="G436" s="6">
        <v>19</v>
      </c>
      <c r="H436" s="6">
        <v>8900</v>
      </c>
      <c r="I436" s="6">
        <v>15</v>
      </c>
      <c r="J436" s="6">
        <f t="shared" si="12"/>
        <v>169100</v>
      </c>
      <c r="K436" s="6">
        <f t="shared" si="13"/>
        <v>143735</v>
      </c>
      <c r="L436" s="8" t="s">
        <v>76</v>
      </c>
      <c r="M436" s="8" t="s">
        <v>96</v>
      </c>
    </row>
    <row r="437" spans="1:13" x14ac:dyDescent="0.25">
      <c r="A437" s="9">
        <v>430</v>
      </c>
      <c r="B437" s="10">
        <v>45035</v>
      </c>
      <c r="C437" s="11" t="s">
        <v>78</v>
      </c>
      <c r="D437" s="11" t="s">
        <v>109</v>
      </c>
      <c r="E437" s="11" t="s">
        <v>111</v>
      </c>
      <c r="F437" s="11" t="s">
        <v>166</v>
      </c>
      <c r="G437" s="9">
        <v>48</v>
      </c>
      <c r="H437" s="9" t="s">
        <v>321</v>
      </c>
      <c r="I437" s="9">
        <v>0</v>
      </c>
      <c r="J437" s="9">
        <f t="shared" si="12"/>
        <v>1488000</v>
      </c>
      <c r="K437" s="9">
        <f t="shared" si="13"/>
        <v>1488000</v>
      </c>
      <c r="L437" s="11" t="s">
        <v>86</v>
      </c>
      <c r="M437" s="11" t="s">
        <v>77</v>
      </c>
    </row>
    <row r="438" spans="1:13" x14ac:dyDescent="0.25">
      <c r="A438" s="6">
        <v>431</v>
      </c>
      <c r="B438" s="7">
        <v>45552</v>
      </c>
      <c r="C438" s="8" t="s">
        <v>106</v>
      </c>
      <c r="D438" s="8" t="s">
        <v>109</v>
      </c>
      <c r="E438" s="8" t="s">
        <v>79</v>
      </c>
      <c r="F438" s="8" t="s">
        <v>115</v>
      </c>
      <c r="G438" s="6">
        <v>13</v>
      </c>
      <c r="H438" s="6">
        <v>8600</v>
      </c>
      <c r="I438" s="6">
        <v>20</v>
      </c>
      <c r="J438" s="6">
        <f t="shared" si="12"/>
        <v>111800</v>
      </c>
      <c r="K438" s="6">
        <f t="shared" si="13"/>
        <v>89440</v>
      </c>
      <c r="L438" s="8" t="s">
        <v>86</v>
      </c>
      <c r="M438" s="8" t="s">
        <v>77</v>
      </c>
    </row>
    <row r="439" spans="1:13" x14ac:dyDescent="0.25">
      <c r="A439" s="9">
        <v>432</v>
      </c>
      <c r="B439" s="10">
        <v>45351</v>
      </c>
      <c r="C439" s="11" t="s">
        <v>78</v>
      </c>
      <c r="D439" s="11" t="s">
        <v>93</v>
      </c>
      <c r="E439" s="11" t="s">
        <v>79</v>
      </c>
      <c r="F439" s="11" t="s">
        <v>172</v>
      </c>
      <c r="G439" s="9">
        <v>38</v>
      </c>
      <c r="H439" s="9">
        <v>25400</v>
      </c>
      <c r="I439" s="9">
        <v>5</v>
      </c>
      <c r="J439" s="9">
        <f t="shared" si="12"/>
        <v>965200</v>
      </c>
      <c r="K439" s="9">
        <f t="shared" si="13"/>
        <v>916940</v>
      </c>
      <c r="L439" s="11" t="s">
        <v>125</v>
      </c>
      <c r="M439" s="11" t="s">
        <v>81</v>
      </c>
    </row>
    <row r="440" spans="1:13" x14ac:dyDescent="0.25">
      <c r="A440" s="6">
        <v>433</v>
      </c>
      <c r="B440" s="7">
        <v>44931</v>
      </c>
      <c r="C440" s="8" t="s">
        <v>82</v>
      </c>
      <c r="D440" s="8" t="s">
        <v>143</v>
      </c>
      <c r="E440" s="8" t="s">
        <v>102</v>
      </c>
      <c r="F440" s="8" t="s">
        <v>151</v>
      </c>
      <c r="G440" s="6">
        <v>31</v>
      </c>
      <c r="H440" s="6" t="s">
        <v>322</v>
      </c>
      <c r="I440" s="6">
        <v>15</v>
      </c>
      <c r="J440" s="6" t="e">
        <f t="shared" si="12"/>
        <v>#VALUE!</v>
      </c>
      <c r="K440" s="6" t="e">
        <f t="shared" si="13"/>
        <v>#VALUE!</v>
      </c>
      <c r="L440" s="8" t="s">
        <v>107</v>
      </c>
      <c r="M440" s="8" t="s">
        <v>81</v>
      </c>
    </row>
    <row r="441" spans="1:13" x14ac:dyDescent="0.25">
      <c r="A441" s="9">
        <v>434</v>
      </c>
      <c r="B441" s="10">
        <v>45519</v>
      </c>
      <c r="C441" s="11" t="s">
        <v>153</v>
      </c>
      <c r="D441" s="11" t="s">
        <v>109</v>
      </c>
      <c r="E441" s="11" t="s">
        <v>79</v>
      </c>
      <c r="F441" s="11" t="s">
        <v>115</v>
      </c>
      <c r="G441" s="9">
        <v>39</v>
      </c>
      <c r="H441" s="9">
        <v>9600</v>
      </c>
      <c r="I441" s="9">
        <v>5</v>
      </c>
      <c r="J441" s="9">
        <f t="shared" si="12"/>
        <v>374400</v>
      </c>
      <c r="K441" s="9">
        <f t="shared" si="13"/>
        <v>355680</v>
      </c>
      <c r="L441" s="11" t="s">
        <v>107</v>
      </c>
      <c r="M441" s="11" t="s">
        <v>91</v>
      </c>
    </row>
    <row r="442" spans="1:13" x14ac:dyDescent="0.25">
      <c r="A442" s="6">
        <v>435</v>
      </c>
      <c r="B442" s="8" t="s">
        <v>323</v>
      </c>
      <c r="C442" s="8" t="s">
        <v>106</v>
      </c>
      <c r="D442" s="8" t="s">
        <v>117</v>
      </c>
      <c r="E442" s="8" t="s">
        <v>111</v>
      </c>
      <c r="F442" s="8" t="s">
        <v>132</v>
      </c>
      <c r="G442" s="6">
        <v>29</v>
      </c>
      <c r="H442" s="6">
        <v>8600</v>
      </c>
      <c r="I442" s="6">
        <v>5</v>
      </c>
      <c r="J442" s="6">
        <f t="shared" si="12"/>
        <v>249400</v>
      </c>
      <c r="K442" s="6">
        <f t="shared" si="13"/>
        <v>236930</v>
      </c>
      <c r="L442" s="8" t="s">
        <v>86</v>
      </c>
      <c r="M442" s="8" t="s">
        <v>81</v>
      </c>
    </row>
    <row r="443" spans="1:13" x14ac:dyDescent="0.25">
      <c r="A443" s="9">
        <v>436</v>
      </c>
      <c r="B443" s="10">
        <v>45543</v>
      </c>
      <c r="C443" s="11" t="s">
        <v>246</v>
      </c>
      <c r="D443" s="11" t="s">
        <v>117</v>
      </c>
      <c r="E443" s="11" t="s">
        <v>102</v>
      </c>
      <c r="F443" s="11" t="s">
        <v>157</v>
      </c>
      <c r="G443" s="9">
        <v>36</v>
      </c>
      <c r="H443" s="9">
        <v>12900</v>
      </c>
      <c r="I443" s="9">
        <v>0</v>
      </c>
      <c r="J443" s="9">
        <f t="shared" si="12"/>
        <v>464400</v>
      </c>
      <c r="K443" s="9">
        <f t="shared" si="13"/>
        <v>464400</v>
      </c>
      <c r="L443" s="11" t="s">
        <v>76</v>
      </c>
      <c r="M443" s="11"/>
    </row>
    <row r="444" spans="1:13" x14ac:dyDescent="0.25">
      <c r="A444" s="6">
        <v>437</v>
      </c>
      <c r="B444" s="7">
        <v>45566</v>
      </c>
      <c r="C444" s="8" t="s">
        <v>101</v>
      </c>
      <c r="D444" s="8" t="s">
        <v>117</v>
      </c>
      <c r="E444" s="8" t="s">
        <v>176</v>
      </c>
      <c r="F444" s="8" t="s">
        <v>128</v>
      </c>
      <c r="G444" s="6">
        <v>45</v>
      </c>
      <c r="H444" s="6">
        <v>4300</v>
      </c>
      <c r="I444" s="6">
        <v>20</v>
      </c>
      <c r="J444" s="6">
        <f t="shared" si="12"/>
        <v>193500</v>
      </c>
      <c r="K444" s="6">
        <f t="shared" si="13"/>
        <v>154800</v>
      </c>
      <c r="L444" s="8" t="s">
        <v>76</v>
      </c>
      <c r="M444" s="8" t="s">
        <v>77</v>
      </c>
    </row>
    <row r="445" spans="1:13" x14ac:dyDescent="0.25">
      <c r="A445" s="9">
        <v>438</v>
      </c>
      <c r="B445" s="10">
        <v>45287</v>
      </c>
      <c r="C445" s="11" t="s">
        <v>82</v>
      </c>
      <c r="D445" s="11" t="s">
        <v>83</v>
      </c>
      <c r="E445" s="11" t="s">
        <v>102</v>
      </c>
      <c r="F445" s="11" t="s">
        <v>151</v>
      </c>
      <c r="G445" s="9">
        <v>35</v>
      </c>
      <c r="H445" s="9">
        <v>8000</v>
      </c>
      <c r="I445" s="9">
        <v>20</v>
      </c>
      <c r="J445" s="9">
        <f t="shared" si="12"/>
        <v>280000</v>
      </c>
      <c r="K445" s="9">
        <f t="shared" si="13"/>
        <v>224000</v>
      </c>
      <c r="L445" s="11" t="s">
        <v>76</v>
      </c>
      <c r="M445" s="11" t="s">
        <v>91</v>
      </c>
    </row>
    <row r="446" spans="1:13" x14ac:dyDescent="0.25">
      <c r="A446" s="6">
        <v>439</v>
      </c>
      <c r="B446" s="7">
        <v>44940</v>
      </c>
      <c r="C446" s="8" t="s">
        <v>82</v>
      </c>
      <c r="D446" s="8" t="s">
        <v>73</v>
      </c>
      <c r="E446" s="8" t="s">
        <v>324</v>
      </c>
      <c r="F446" s="8" t="s">
        <v>115</v>
      </c>
      <c r="G446" s="6">
        <v>43</v>
      </c>
      <c r="H446" s="6">
        <v>8400</v>
      </c>
      <c r="I446" s="6">
        <v>20</v>
      </c>
      <c r="J446" s="6">
        <f t="shared" si="12"/>
        <v>361200</v>
      </c>
      <c r="K446" s="6">
        <f t="shared" si="13"/>
        <v>288960</v>
      </c>
      <c r="L446" s="8" t="s">
        <v>76</v>
      </c>
      <c r="M446" s="8" t="s">
        <v>96</v>
      </c>
    </row>
    <row r="447" spans="1:13" x14ac:dyDescent="0.25">
      <c r="A447" s="9">
        <v>158</v>
      </c>
      <c r="B447" s="10">
        <v>45652</v>
      </c>
      <c r="C447" s="11" t="s">
        <v>97</v>
      </c>
      <c r="D447" s="11" t="s">
        <v>117</v>
      </c>
      <c r="E447" s="11" t="s">
        <v>102</v>
      </c>
      <c r="F447" s="11" t="s">
        <v>151</v>
      </c>
      <c r="G447" s="9">
        <v>22</v>
      </c>
      <c r="H447" s="9">
        <v>8000</v>
      </c>
      <c r="I447" s="9">
        <v>15</v>
      </c>
      <c r="J447" s="9">
        <f t="shared" si="12"/>
        <v>176000</v>
      </c>
      <c r="K447" s="9">
        <f t="shared" si="13"/>
        <v>149600</v>
      </c>
      <c r="L447" s="11" t="s">
        <v>86</v>
      </c>
      <c r="M447" s="11" t="s">
        <v>77</v>
      </c>
    </row>
    <row r="448" spans="1:13" x14ac:dyDescent="0.25">
      <c r="A448" s="6">
        <v>440</v>
      </c>
      <c r="B448" s="7">
        <v>45091</v>
      </c>
      <c r="C448" s="8" t="s">
        <v>101</v>
      </c>
      <c r="D448" s="8" t="s">
        <v>117</v>
      </c>
      <c r="E448" s="8" t="s">
        <v>84</v>
      </c>
      <c r="F448" s="8" t="s">
        <v>206</v>
      </c>
      <c r="G448" s="6">
        <v>19</v>
      </c>
      <c r="H448" s="6">
        <v>15000</v>
      </c>
      <c r="I448" s="6">
        <v>0</v>
      </c>
      <c r="J448" s="6">
        <f t="shared" si="12"/>
        <v>285000</v>
      </c>
      <c r="K448" s="6">
        <f t="shared" si="13"/>
        <v>285000</v>
      </c>
      <c r="L448" s="8" t="s">
        <v>76</v>
      </c>
      <c r="M448" s="8" t="s">
        <v>77</v>
      </c>
    </row>
    <row r="449" spans="1:13" x14ac:dyDescent="0.25">
      <c r="A449" s="9">
        <v>441</v>
      </c>
      <c r="B449" s="10">
        <v>45390</v>
      </c>
      <c r="C449" s="11" t="s">
        <v>97</v>
      </c>
      <c r="D449" s="11"/>
      <c r="E449" s="11" t="s">
        <v>102</v>
      </c>
      <c r="F449" s="11" t="s">
        <v>181</v>
      </c>
      <c r="G449" s="9">
        <v>36</v>
      </c>
      <c r="H449" s="9">
        <v>4900</v>
      </c>
      <c r="I449" s="9">
        <v>15</v>
      </c>
      <c r="J449" s="9">
        <f t="shared" si="12"/>
        <v>176400</v>
      </c>
      <c r="K449" s="9">
        <f t="shared" si="13"/>
        <v>149940</v>
      </c>
      <c r="L449" s="11" t="s">
        <v>76</v>
      </c>
      <c r="M449" s="11" t="s">
        <v>96</v>
      </c>
    </row>
    <row r="450" spans="1:13" x14ac:dyDescent="0.25">
      <c r="A450" s="6">
        <v>442</v>
      </c>
      <c r="B450" s="7">
        <v>45607</v>
      </c>
      <c r="C450" s="8" t="s">
        <v>78</v>
      </c>
      <c r="D450" s="8" t="s">
        <v>83</v>
      </c>
      <c r="E450" s="8" t="s">
        <v>263</v>
      </c>
      <c r="F450" s="8" t="s">
        <v>165</v>
      </c>
      <c r="G450" s="6">
        <v>44</v>
      </c>
      <c r="H450" s="6">
        <v>20500</v>
      </c>
      <c r="I450" s="6">
        <v>0</v>
      </c>
      <c r="J450" s="6">
        <f t="shared" ref="J450:J513" si="14">G450*H450</f>
        <v>902000</v>
      </c>
      <c r="K450" s="6">
        <f t="shared" ref="K450:K513" si="15">J450*(1-I450/100)</f>
        <v>902000</v>
      </c>
      <c r="L450" s="8" t="s">
        <v>76</v>
      </c>
      <c r="M450" s="8" t="s">
        <v>77</v>
      </c>
    </row>
    <row r="451" spans="1:13" x14ac:dyDescent="0.25">
      <c r="A451" s="9">
        <v>443</v>
      </c>
      <c r="B451" s="10">
        <v>45184</v>
      </c>
      <c r="C451" s="11" t="s">
        <v>251</v>
      </c>
      <c r="D451" s="11" t="s">
        <v>93</v>
      </c>
      <c r="E451" s="11" t="s">
        <v>111</v>
      </c>
      <c r="F451" s="11" t="s">
        <v>156</v>
      </c>
      <c r="G451" s="9">
        <v>46</v>
      </c>
      <c r="H451" s="9">
        <v>47400</v>
      </c>
      <c r="I451" s="9">
        <v>20</v>
      </c>
      <c r="J451" s="9">
        <f t="shared" si="14"/>
        <v>2180400</v>
      </c>
      <c r="K451" s="9">
        <f t="shared" si="15"/>
        <v>1744320</v>
      </c>
      <c r="L451" s="11" t="s">
        <v>250</v>
      </c>
      <c r="M451" s="11" t="s">
        <v>96</v>
      </c>
    </row>
    <row r="452" spans="1:13" x14ac:dyDescent="0.25">
      <c r="A452" s="6">
        <v>444</v>
      </c>
      <c r="B452" s="7">
        <v>45529</v>
      </c>
      <c r="C452" s="8" t="s">
        <v>82</v>
      </c>
      <c r="D452" s="8" t="s">
        <v>93</v>
      </c>
      <c r="E452" s="8" t="s">
        <v>84</v>
      </c>
      <c r="F452" s="8" t="s">
        <v>90</v>
      </c>
      <c r="G452" s="6">
        <v>12</v>
      </c>
      <c r="H452" s="6">
        <v>1800</v>
      </c>
      <c r="I452" s="6">
        <v>0</v>
      </c>
      <c r="J452" s="6">
        <f t="shared" si="14"/>
        <v>21600</v>
      </c>
      <c r="K452" s="6">
        <f t="shared" si="15"/>
        <v>21600</v>
      </c>
      <c r="L452" s="8" t="s">
        <v>125</v>
      </c>
      <c r="M452" s="8" t="s">
        <v>77</v>
      </c>
    </row>
    <row r="453" spans="1:13" x14ac:dyDescent="0.25">
      <c r="A453" s="9">
        <v>445</v>
      </c>
      <c r="B453" s="10">
        <v>45104</v>
      </c>
      <c r="C453" s="11" t="s">
        <v>82</v>
      </c>
      <c r="D453" s="11" t="s">
        <v>73</v>
      </c>
      <c r="E453" s="11" t="s">
        <v>111</v>
      </c>
      <c r="F453" s="11" t="s">
        <v>192</v>
      </c>
      <c r="G453" s="9">
        <v>36</v>
      </c>
      <c r="H453" s="9">
        <v>95700</v>
      </c>
      <c r="I453" s="9">
        <v>10</v>
      </c>
      <c r="J453" s="9">
        <f t="shared" si="14"/>
        <v>3445200</v>
      </c>
      <c r="K453" s="9">
        <f t="shared" si="15"/>
        <v>3100680</v>
      </c>
      <c r="L453" s="11" t="s">
        <v>76</v>
      </c>
      <c r="M453" s="11" t="s">
        <v>81</v>
      </c>
    </row>
    <row r="454" spans="1:13" x14ac:dyDescent="0.25">
      <c r="A454" s="6">
        <v>446</v>
      </c>
      <c r="B454" s="7">
        <v>45188</v>
      </c>
      <c r="C454" s="8" t="s">
        <v>78</v>
      </c>
      <c r="D454" s="8" t="s">
        <v>117</v>
      </c>
      <c r="E454" s="8" t="s">
        <v>155</v>
      </c>
      <c r="F454" s="8" t="s">
        <v>166</v>
      </c>
      <c r="G454" s="6">
        <v>21</v>
      </c>
      <c r="H454" s="6">
        <v>25500</v>
      </c>
      <c r="I454" s="6">
        <v>5</v>
      </c>
      <c r="J454" s="6">
        <f t="shared" si="14"/>
        <v>535500</v>
      </c>
      <c r="K454" s="6">
        <f t="shared" si="15"/>
        <v>508725</v>
      </c>
      <c r="L454" s="8" t="s">
        <v>76</v>
      </c>
      <c r="M454" s="8" t="s">
        <v>96</v>
      </c>
    </row>
    <row r="455" spans="1:13" x14ac:dyDescent="0.25">
      <c r="A455" s="9">
        <v>447</v>
      </c>
      <c r="B455" s="10">
        <v>45513</v>
      </c>
      <c r="C455" s="11" t="s">
        <v>82</v>
      </c>
      <c r="D455" s="11" t="s">
        <v>117</v>
      </c>
      <c r="E455" s="11" t="s">
        <v>79</v>
      </c>
      <c r="F455" s="11" t="s">
        <v>120</v>
      </c>
      <c r="G455" s="9">
        <v>12</v>
      </c>
      <c r="H455" s="9">
        <v>6200</v>
      </c>
      <c r="I455" s="9">
        <v>5</v>
      </c>
      <c r="J455" s="9">
        <f t="shared" si="14"/>
        <v>74400</v>
      </c>
      <c r="K455" s="9">
        <f t="shared" si="15"/>
        <v>70680</v>
      </c>
      <c r="L455" s="11" t="s">
        <v>164</v>
      </c>
      <c r="M455" s="11" t="s">
        <v>81</v>
      </c>
    </row>
    <row r="456" spans="1:13" x14ac:dyDescent="0.25">
      <c r="A456" s="6">
        <v>448</v>
      </c>
      <c r="B456" s="7">
        <v>45483</v>
      </c>
      <c r="C456" s="8" t="s">
        <v>82</v>
      </c>
      <c r="D456" s="8" t="s">
        <v>83</v>
      </c>
      <c r="E456" s="8" t="s">
        <v>79</v>
      </c>
      <c r="F456" s="8" t="s">
        <v>120</v>
      </c>
      <c r="G456" s="6">
        <v>14</v>
      </c>
      <c r="H456" s="6">
        <v>5700</v>
      </c>
      <c r="I456" s="6">
        <v>0</v>
      </c>
      <c r="J456" s="6">
        <f t="shared" si="14"/>
        <v>79800</v>
      </c>
      <c r="K456" s="6">
        <f t="shared" si="15"/>
        <v>79800</v>
      </c>
      <c r="L456" s="8" t="s">
        <v>86</v>
      </c>
      <c r="M456" s="8" t="s">
        <v>96</v>
      </c>
    </row>
    <row r="457" spans="1:13" x14ac:dyDescent="0.25">
      <c r="A457" s="9">
        <v>449</v>
      </c>
      <c r="B457" s="10">
        <v>45227</v>
      </c>
      <c r="C457" s="11" t="s">
        <v>106</v>
      </c>
      <c r="D457" s="11" t="s">
        <v>93</v>
      </c>
      <c r="E457" s="11" t="s">
        <v>102</v>
      </c>
      <c r="F457" s="11" t="s">
        <v>197</v>
      </c>
      <c r="G457" s="9">
        <v>49</v>
      </c>
      <c r="H457" s="9">
        <v>4400</v>
      </c>
      <c r="I457" s="9">
        <v>0</v>
      </c>
      <c r="J457" s="9">
        <f t="shared" si="14"/>
        <v>215600</v>
      </c>
      <c r="K457" s="9">
        <f t="shared" si="15"/>
        <v>215600</v>
      </c>
      <c r="L457" s="11" t="s">
        <v>125</v>
      </c>
      <c r="M457" s="11" t="s">
        <v>77</v>
      </c>
    </row>
    <row r="458" spans="1:13" x14ac:dyDescent="0.25">
      <c r="A458" s="6">
        <v>450</v>
      </c>
      <c r="B458" s="7">
        <v>45611</v>
      </c>
      <c r="C458" s="8" t="s">
        <v>282</v>
      </c>
      <c r="D458" s="8" t="s">
        <v>83</v>
      </c>
      <c r="E458" s="8" t="s">
        <v>84</v>
      </c>
      <c r="F458" s="8" t="s">
        <v>90</v>
      </c>
      <c r="G458" s="6">
        <v>44</v>
      </c>
      <c r="H458" s="6">
        <v>2100</v>
      </c>
      <c r="I458" s="6">
        <v>20</v>
      </c>
      <c r="J458" s="6">
        <f t="shared" si="14"/>
        <v>92400</v>
      </c>
      <c r="K458" s="6">
        <f t="shared" si="15"/>
        <v>73920</v>
      </c>
      <c r="L458" s="8" t="s">
        <v>107</v>
      </c>
      <c r="M458" s="8" t="s">
        <v>91</v>
      </c>
    </row>
    <row r="459" spans="1:13" x14ac:dyDescent="0.25">
      <c r="A459" s="9">
        <v>451</v>
      </c>
      <c r="B459" s="10">
        <v>45043</v>
      </c>
      <c r="C459" s="11" t="s">
        <v>114</v>
      </c>
      <c r="D459" s="11" t="s">
        <v>117</v>
      </c>
      <c r="E459" s="11" t="s">
        <v>102</v>
      </c>
      <c r="F459" s="11" t="s">
        <v>110</v>
      </c>
      <c r="G459" s="9">
        <v>34</v>
      </c>
      <c r="H459" s="9">
        <v>19900</v>
      </c>
      <c r="I459" s="9">
        <v>10</v>
      </c>
      <c r="J459" s="9">
        <f t="shared" si="14"/>
        <v>676600</v>
      </c>
      <c r="K459" s="9">
        <f t="shared" si="15"/>
        <v>608940</v>
      </c>
      <c r="L459" s="11" t="s">
        <v>86</v>
      </c>
      <c r="M459" s="11" t="s">
        <v>96</v>
      </c>
    </row>
    <row r="460" spans="1:13" x14ac:dyDescent="0.25">
      <c r="A460" s="6">
        <v>452</v>
      </c>
      <c r="B460" s="7">
        <v>45447</v>
      </c>
      <c r="C460" s="8" t="s">
        <v>194</v>
      </c>
      <c r="D460" s="8" t="s">
        <v>83</v>
      </c>
      <c r="E460" s="8" t="s">
        <v>79</v>
      </c>
      <c r="F460" s="8" t="s">
        <v>179</v>
      </c>
      <c r="G460" s="6">
        <v>13</v>
      </c>
      <c r="H460" s="6">
        <v>2800</v>
      </c>
      <c r="I460" s="6">
        <v>0</v>
      </c>
      <c r="J460" s="6">
        <f t="shared" si="14"/>
        <v>36400</v>
      </c>
      <c r="K460" s="6">
        <f t="shared" si="15"/>
        <v>36400</v>
      </c>
      <c r="L460" s="8" t="s">
        <v>76</v>
      </c>
      <c r="M460" s="8" t="s">
        <v>77</v>
      </c>
    </row>
    <row r="461" spans="1:13" x14ac:dyDescent="0.25">
      <c r="A461" s="9">
        <v>453</v>
      </c>
      <c r="B461" s="10">
        <v>45098</v>
      </c>
      <c r="C461" s="11" t="s">
        <v>82</v>
      </c>
      <c r="D461" s="11" t="s">
        <v>93</v>
      </c>
      <c r="E461" s="11" t="s">
        <v>79</v>
      </c>
      <c r="F461" s="11" t="s">
        <v>131</v>
      </c>
      <c r="G461" s="9">
        <v>41</v>
      </c>
      <c r="H461" s="9">
        <v>114300</v>
      </c>
      <c r="I461" s="9">
        <v>20</v>
      </c>
      <c r="J461" s="9">
        <f t="shared" si="14"/>
        <v>4686300</v>
      </c>
      <c r="K461" s="9">
        <f t="shared" si="15"/>
        <v>3749040</v>
      </c>
      <c r="L461" s="11" t="s">
        <v>264</v>
      </c>
      <c r="M461" s="11" t="s">
        <v>91</v>
      </c>
    </row>
    <row r="462" spans="1:13" x14ac:dyDescent="0.25">
      <c r="A462" s="6">
        <v>454</v>
      </c>
      <c r="B462" s="8" t="s">
        <v>325</v>
      </c>
      <c r="C462" s="8" t="s">
        <v>106</v>
      </c>
      <c r="D462" s="8" t="s">
        <v>93</v>
      </c>
      <c r="E462" s="8" t="s">
        <v>111</v>
      </c>
      <c r="F462" s="8" t="s">
        <v>112</v>
      </c>
      <c r="G462" s="6">
        <v>10</v>
      </c>
      <c r="H462" s="6">
        <v>70600</v>
      </c>
      <c r="I462" s="6">
        <v>0</v>
      </c>
      <c r="J462" s="6">
        <f t="shared" si="14"/>
        <v>706000</v>
      </c>
      <c r="K462" s="6">
        <f t="shared" si="15"/>
        <v>706000</v>
      </c>
      <c r="L462" s="8" t="s">
        <v>76</v>
      </c>
      <c r="M462" s="8" t="s">
        <v>96</v>
      </c>
    </row>
    <row r="463" spans="1:13" x14ac:dyDescent="0.25">
      <c r="A463" s="9">
        <v>455</v>
      </c>
      <c r="B463" s="10">
        <v>45016</v>
      </c>
      <c r="C463" s="11" t="s">
        <v>97</v>
      </c>
      <c r="D463" s="11" t="s">
        <v>73</v>
      </c>
      <c r="E463" s="11" t="s">
        <v>84</v>
      </c>
      <c r="F463" s="11" t="s">
        <v>134</v>
      </c>
      <c r="G463" s="9">
        <v>37</v>
      </c>
      <c r="H463" s="9">
        <v>10000</v>
      </c>
      <c r="I463" s="9">
        <v>5</v>
      </c>
      <c r="J463" s="9">
        <f t="shared" si="14"/>
        <v>370000</v>
      </c>
      <c r="K463" s="9">
        <f t="shared" si="15"/>
        <v>351500</v>
      </c>
      <c r="L463" s="11" t="s">
        <v>86</v>
      </c>
      <c r="M463" s="11"/>
    </row>
    <row r="464" spans="1:13" x14ac:dyDescent="0.25">
      <c r="A464" s="6">
        <v>456</v>
      </c>
      <c r="B464" s="7">
        <v>45324</v>
      </c>
      <c r="C464" s="8" t="s">
        <v>119</v>
      </c>
      <c r="D464" s="8" t="s">
        <v>83</v>
      </c>
      <c r="E464" s="8" t="s">
        <v>111</v>
      </c>
      <c r="F464" s="8" t="s">
        <v>132</v>
      </c>
      <c r="G464" s="6">
        <v>44</v>
      </c>
      <c r="H464" s="6">
        <v>6800</v>
      </c>
      <c r="I464" s="6">
        <v>15</v>
      </c>
      <c r="J464" s="6">
        <f t="shared" si="14"/>
        <v>299200</v>
      </c>
      <c r="K464" s="6">
        <f t="shared" si="15"/>
        <v>254320</v>
      </c>
      <c r="L464" s="8" t="s">
        <v>76</v>
      </c>
      <c r="M464" s="8" t="s">
        <v>77</v>
      </c>
    </row>
    <row r="465" spans="1:13" x14ac:dyDescent="0.25">
      <c r="A465" s="9">
        <v>457</v>
      </c>
      <c r="B465" s="11" t="s">
        <v>326</v>
      </c>
      <c r="C465" s="11" t="s">
        <v>216</v>
      </c>
      <c r="D465" s="11" t="s">
        <v>93</v>
      </c>
      <c r="E465" s="11" t="s">
        <v>79</v>
      </c>
      <c r="F465" s="11" t="s">
        <v>131</v>
      </c>
      <c r="G465" s="9">
        <v>33</v>
      </c>
      <c r="H465" s="9">
        <v>118700</v>
      </c>
      <c r="I465" s="9">
        <v>10</v>
      </c>
      <c r="J465" s="9">
        <f t="shared" si="14"/>
        <v>3917100</v>
      </c>
      <c r="K465" s="9">
        <f t="shared" si="15"/>
        <v>3525390</v>
      </c>
      <c r="L465" s="11" t="s">
        <v>76</v>
      </c>
      <c r="M465" s="11" t="s">
        <v>96</v>
      </c>
    </row>
    <row r="466" spans="1:13" x14ac:dyDescent="0.25">
      <c r="A466" s="6">
        <v>458</v>
      </c>
      <c r="B466" s="7">
        <v>45015</v>
      </c>
      <c r="C466" s="8" t="s">
        <v>101</v>
      </c>
      <c r="D466" s="8" t="s">
        <v>83</v>
      </c>
      <c r="E466" s="8" t="s">
        <v>111</v>
      </c>
      <c r="F466" s="8" t="s">
        <v>165</v>
      </c>
      <c r="G466" s="6">
        <v>2</v>
      </c>
      <c r="H466" s="6">
        <v>19900</v>
      </c>
      <c r="I466" s="6">
        <v>0</v>
      </c>
      <c r="J466" s="6">
        <f t="shared" si="14"/>
        <v>39800</v>
      </c>
      <c r="K466" s="6">
        <f t="shared" si="15"/>
        <v>39800</v>
      </c>
      <c r="L466" s="8" t="s">
        <v>76</v>
      </c>
      <c r="M466" s="8" t="s">
        <v>81</v>
      </c>
    </row>
    <row r="467" spans="1:13" x14ac:dyDescent="0.25">
      <c r="A467" s="9">
        <v>459</v>
      </c>
      <c r="B467" s="10">
        <v>45327</v>
      </c>
      <c r="C467" s="11" t="s">
        <v>82</v>
      </c>
      <c r="D467" s="11" t="s">
        <v>117</v>
      </c>
      <c r="E467" s="11" t="s">
        <v>84</v>
      </c>
      <c r="F467" s="11" t="s">
        <v>134</v>
      </c>
      <c r="G467" s="9">
        <v>47</v>
      </c>
      <c r="H467" s="9">
        <v>10300</v>
      </c>
      <c r="I467" s="9">
        <v>10</v>
      </c>
      <c r="J467" s="9">
        <f t="shared" si="14"/>
        <v>484100</v>
      </c>
      <c r="K467" s="9">
        <f t="shared" si="15"/>
        <v>435690</v>
      </c>
      <c r="L467" s="11" t="s">
        <v>76</v>
      </c>
      <c r="M467" s="11" t="s">
        <v>77</v>
      </c>
    </row>
    <row r="468" spans="1:13" x14ac:dyDescent="0.25">
      <c r="A468" s="6">
        <v>460</v>
      </c>
      <c r="B468" s="7">
        <v>45495</v>
      </c>
      <c r="C468" s="8" t="s">
        <v>327</v>
      </c>
      <c r="D468" s="8" t="s">
        <v>73</v>
      </c>
      <c r="E468" s="8" t="s">
        <v>79</v>
      </c>
      <c r="F468" s="8" t="s">
        <v>136</v>
      </c>
      <c r="G468" s="6">
        <v>26</v>
      </c>
      <c r="H468" s="6">
        <v>88700</v>
      </c>
      <c r="I468" s="6">
        <v>0</v>
      </c>
      <c r="J468" s="6">
        <f t="shared" si="14"/>
        <v>2306200</v>
      </c>
      <c r="K468" s="6">
        <f t="shared" si="15"/>
        <v>2306200</v>
      </c>
      <c r="L468" s="8" t="s">
        <v>76</v>
      </c>
      <c r="M468" s="8" t="s">
        <v>77</v>
      </c>
    </row>
    <row r="469" spans="1:13" x14ac:dyDescent="0.25">
      <c r="A469" s="9">
        <v>461</v>
      </c>
      <c r="B469" s="10">
        <v>45142</v>
      </c>
      <c r="C469" s="11" t="s">
        <v>88</v>
      </c>
      <c r="D469" s="11" t="s">
        <v>279</v>
      </c>
      <c r="E469" s="11" t="s">
        <v>111</v>
      </c>
      <c r="F469" s="11" t="s">
        <v>166</v>
      </c>
      <c r="G469" s="9">
        <v>15</v>
      </c>
      <c r="H469" s="9">
        <v>26300</v>
      </c>
      <c r="I469" s="9">
        <v>0</v>
      </c>
      <c r="J469" s="9">
        <f t="shared" si="14"/>
        <v>394500</v>
      </c>
      <c r="K469" s="9">
        <f t="shared" si="15"/>
        <v>394500</v>
      </c>
      <c r="L469" s="11" t="s">
        <v>76</v>
      </c>
      <c r="M469" s="11" t="s">
        <v>96</v>
      </c>
    </row>
    <row r="470" spans="1:13" x14ac:dyDescent="0.25">
      <c r="A470" s="6">
        <v>462</v>
      </c>
      <c r="B470" s="7">
        <v>45044</v>
      </c>
      <c r="C470" s="8" t="s">
        <v>108</v>
      </c>
      <c r="D470" s="8" t="s">
        <v>93</v>
      </c>
      <c r="E470" s="8" t="s">
        <v>79</v>
      </c>
      <c r="F470" s="8" t="s">
        <v>172</v>
      </c>
      <c r="G470" s="6">
        <v>5</v>
      </c>
      <c r="H470" s="6">
        <v>26500</v>
      </c>
      <c r="I470" s="6">
        <v>0</v>
      </c>
      <c r="J470" s="6">
        <f t="shared" si="14"/>
        <v>132500</v>
      </c>
      <c r="K470" s="6">
        <f t="shared" si="15"/>
        <v>132500</v>
      </c>
      <c r="L470" s="8" t="s">
        <v>76</v>
      </c>
      <c r="M470" s="8" t="s">
        <v>77</v>
      </c>
    </row>
    <row r="471" spans="1:13" x14ac:dyDescent="0.25">
      <c r="A471" s="9">
        <v>463</v>
      </c>
      <c r="B471" s="10">
        <v>45027</v>
      </c>
      <c r="C471" s="11" t="s">
        <v>328</v>
      </c>
      <c r="D471" s="11" t="s">
        <v>93</v>
      </c>
      <c r="E471" s="11" t="s">
        <v>111</v>
      </c>
      <c r="F471" s="11" t="s">
        <v>132</v>
      </c>
      <c r="G471" s="9">
        <v>43</v>
      </c>
      <c r="H471" s="9">
        <v>7400</v>
      </c>
      <c r="I471" s="9">
        <v>0</v>
      </c>
      <c r="J471" s="9">
        <f t="shared" si="14"/>
        <v>318200</v>
      </c>
      <c r="K471" s="9">
        <f t="shared" si="15"/>
        <v>318200</v>
      </c>
      <c r="L471" s="11" t="s">
        <v>86</v>
      </c>
      <c r="M471" s="11" t="s">
        <v>77</v>
      </c>
    </row>
    <row r="472" spans="1:13" x14ac:dyDescent="0.25">
      <c r="A472" s="6">
        <v>464</v>
      </c>
      <c r="B472" s="7">
        <v>45561</v>
      </c>
      <c r="C472" s="8" t="s">
        <v>97</v>
      </c>
      <c r="D472" s="8" t="s">
        <v>109</v>
      </c>
      <c r="E472" s="8" t="s">
        <v>74</v>
      </c>
      <c r="F472" s="8" t="s">
        <v>99</v>
      </c>
      <c r="G472" s="6">
        <v>40</v>
      </c>
      <c r="H472" s="6">
        <v>3500</v>
      </c>
      <c r="I472" s="6">
        <v>10</v>
      </c>
      <c r="J472" s="6">
        <f t="shared" si="14"/>
        <v>140000</v>
      </c>
      <c r="K472" s="6">
        <f t="shared" si="15"/>
        <v>126000</v>
      </c>
      <c r="L472" s="8" t="s">
        <v>86</v>
      </c>
      <c r="M472" s="8" t="s">
        <v>81</v>
      </c>
    </row>
    <row r="473" spans="1:13" x14ac:dyDescent="0.25">
      <c r="A473" s="9">
        <v>465</v>
      </c>
      <c r="B473" s="11" t="s">
        <v>329</v>
      </c>
      <c r="C473" s="11" t="s">
        <v>88</v>
      </c>
      <c r="D473" s="11" t="s">
        <v>117</v>
      </c>
      <c r="E473" s="11" t="s">
        <v>111</v>
      </c>
      <c r="F473" s="11" t="s">
        <v>166</v>
      </c>
      <c r="G473" s="9">
        <v>16</v>
      </c>
      <c r="H473" s="9">
        <v>25200</v>
      </c>
      <c r="I473" s="9">
        <v>0</v>
      </c>
      <c r="J473" s="9">
        <f t="shared" si="14"/>
        <v>403200</v>
      </c>
      <c r="K473" s="9">
        <f t="shared" si="15"/>
        <v>403200</v>
      </c>
      <c r="L473" s="11" t="s">
        <v>86</v>
      </c>
      <c r="M473" s="11" t="s">
        <v>91</v>
      </c>
    </row>
    <row r="474" spans="1:13" x14ac:dyDescent="0.25">
      <c r="A474" s="6">
        <v>466</v>
      </c>
      <c r="B474" s="7">
        <v>45295</v>
      </c>
      <c r="C474" s="8" t="s">
        <v>108</v>
      </c>
      <c r="D474" s="8" t="s">
        <v>117</v>
      </c>
      <c r="E474" s="8" t="s">
        <v>111</v>
      </c>
      <c r="F474" s="8" t="s">
        <v>159</v>
      </c>
      <c r="G474" s="6">
        <v>50</v>
      </c>
      <c r="H474" s="6">
        <v>12100</v>
      </c>
      <c r="I474" s="6">
        <v>0</v>
      </c>
      <c r="J474" s="6">
        <f t="shared" si="14"/>
        <v>605000</v>
      </c>
      <c r="K474" s="6">
        <f t="shared" si="15"/>
        <v>605000</v>
      </c>
      <c r="L474" s="8" t="s">
        <v>76</v>
      </c>
      <c r="M474" s="8" t="s">
        <v>77</v>
      </c>
    </row>
    <row r="475" spans="1:13" x14ac:dyDescent="0.25">
      <c r="A475" s="9">
        <v>467</v>
      </c>
      <c r="B475" s="10">
        <v>45588</v>
      </c>
      <c r="C475" s="11" t="s">
        <v>124</v>
      </c>
      <c r="D475" s="11" t="s">
        <v>73</v>
      </c>
      <c r="E475" s="11" t="s">
        <v>74</v>
      </c>
      <c r="F475" s="11" t="s">
        <v>142</v>
      </c>
      <c r="G475" s="9">
        <v>13</v>
      </c>
      <c r="H475" s="9" t="s">
        <v>330</v>
      </c>
      <c r="I475" s="9">
        <v>15</v>
      </c>
      <c r="J475" s="9">
        <f t="shared" si="14"/>
        <v>175500</v>
      </c>
      <c r="K475" s="9">
        <f t="shared" si="15"/>
        <v>149175</v>
      </c>
      <c r="L475" s="11" t="s">
        <v>76</v>
      </c>
      <c r="M475" s="11" t="s">
        <v>77</v>
      </c>
    </row>
    <row r="476" spans="1:13" x14ac:dyDescent="0.25">
      <c r="A476" s="6">
        <v>468</v>
      </c>
      <c r="B476" s="7">
        <v>45004</v>
      </c>
      <c r="C476" s="8" t="s">
        <v>78</v>
      </c>
      <c r="D476" s="8" t="s">
        <v>93</v>
      </c>
      <c r="E476" s="8" t="s">
        <v>79</v>
      </c>
      <c r="F476" s="8" t="s">
        <v>115</v>
      </c>
      <c r="G476" s="6">
        <v>14</v>
      </c>
      <c r="H476" s="6">
        <v>9800</v>
      </c>
      <c r="I476" s="6">
        <v>10</v>
      </c>
      <c r="J476" s="6">
        <f t="shared" si="14"/>
        <v>137200</v>
      </c>
      <c r="K476" s="6">
        <f t="shared" si="15"/>
        <v>123480</v>
      </c>
      <c r="L476" s="8" t="s">
        <v>331</v>
      </c>
      <c r="M476" s="8" t="s">
        <v>96</v>
      </c>
    </row>
    <row r="477" spans="1:13" x14ac:dyDescent="0.25">
      <c r="A477" s="9">
        <v>469</v>
      </c>
      <c r="B477" s="10">
        <v>45479</v>
      </c>
      <c r="C477" s="11" t="s">
        <v>119</v>
      </c>
      <c r="D477" s="11" t="s">
        <v>109</v>
      </c>
      <c r="E477" s="11" t="s">
        <v>74</v>
      </c>
      <c r="F477" s="11" t="s">
        <v>140</v>
      </c>
      <c r="G477" s="12">
        <v>-50</v>
      </c>
      <c r="H477" s="9">
        <v>4300</v>
      </c>
      <c r="I477" s="9">
        <v>0</v>
      </c>
      <c r="J477" s="9">
        <f t="shared" si="14"/>
        <v>-215000</v>
      </c>
      <c r="K477" s="9">
        <f t="shared" si="15"/>
        <v>-215000</v>
      </c>
      <c r="L477" s="11" t="s">
        <v>76</v>
      </c>
      <c r="M477" s="11" t="s">
        <v>96</v>
      </c>
    </row>
    <row r="478" spans="1:13" x14ac:dyDescent="0.25">
      <c r="A478" s="6">
        <v>470</v>
      </c>
      <c r="B478" s="7">
        <v>45402</v>
      </c>
      <c r="C478" s="8" t="s">
        <v>82</v>
      </c>
      <c r="D478" s="8" t="s">
        <v>261</v>
      </c>
      <c r="E478" s="8" t="s">
        <v>79</v>
      </c>
      <c r="F478" s="8" t="s">
        <v>115</v>
      </c>
      <c r="G478" s="6">
        <v>1</v>
      </c>
      <c r="H478" s="6">
        <v>8900</v>
      </c>
      <c r="I478" s="6">
        <v>20</v>
      </c>
      <c r="J478" s="6">
        <f t="shared" si="14"/>
        <v>8900</v>
      </c>
      <c r="K478" s="6">
        <f t="shared" si="15"/>
        <v>7120</v>
      </c>
      <c r="L478" s="8" t="s">
        <v>86</v>
      </c>
      <c r="M478" s="8" t="s">
        <v>81</v>
      </c>
    </row>
    <row r="479" spans="1:13" x14ac:dyDescent="0.25">
      <c r="A479" s="9">
        <v>471</v>
      </c>
      <c r="B479" s="10">
        <v>45453</v>
      </c>
      <c r="C479" s="11" t="s">
        <v>153</v>
      </c>
      <c r="D479" s="11" t="s">
        <v>83</v>
      </c>
      <c r="E479" s="11" t="s">
        <v>84</v>
      </c>
      <c r="F479" s="11" t="s">
        <v>128</v>
      </c>
      <c r="G479" s="9">
        <v>37</v>
      </c>
      <c r="H479" s="9">
        <v>4400</v>
      </c>
      <c r="I479" s="9">
        <v>15</v>
      </c>
      <c r="J479" s="9">
        <f t="shared" si="14"/>
        <v>162800</v>
      </c>
      <c r="K479" s="9">
        <f t="shared" si="15"/>
        <v>138380</v>
      </c>
      <c r="L479" s="11" t="s">
        <v>86</v>
      </c>
      <c r="M479" s="11" t="s">
        <v>81</v>
      </c>
    </row>
    <row r="480" spans="1:13" x14ac:dyDescent="0.25">
      <c r="A480" s="6">
        <v>472</v>
      </c>
      <c r="B480" s="7">
        <v>45422</v>
      </c>
      <c r="C480" s="8" t="s">
        <v>88</v>
      </c>
      <c r="D480" s="8" t="s">
        <v>73</v>
      </c>
      <c r="E480" s="8" t="s">
        <v>162</v>
      </c>
      <c r="F480" s="8" t="s">
        <v>85</v>
      </c>
      <c r="G480" s="6">
        <v>17</v>
      </c>
      <c r="H480" s="6">
        <v>5200</v>
      </c>
      <c r="I480" s="6">
        <v>15</v>
      </c>
      <c r="J480" s="6">
        <f t="shared" si="14"/>
        <v>88400</v>
      </c>
      <c r="K480" s="6">
        <f t="shared" si="15"/>
        <v>75140</v>
      </c>
      <c r="L480" s="8" t="s">
        <v>76</v>
      </c>
      <c r="M480" s="8" t="s">
        <v>77</v>
      </c>
    </row>
    <row r="481" spans="1:13" x14ac:dyDescent="0.25">
      <c r="A481" s="9">
        <v>473</v>
      </c>
      <c r="B481" s="10">
        <v>45138</v>
      </c>
      <c r="C481" s="11" t="s">
        <v>237</v>
      </c>
      <c r="D481" s="11" t="s">
        <v>117</v>
      </c>
      <c r="E481" s="11" t="s">
        <v>111</v>
      </c>
      <c r="F481" s="11" t="s">
        <v>159</v>
      </c>
      <c r="G481" s="9">
        <v>3</v>
      </c>
      <c r="H481" s="9">
        <v>13600</v>
      </c>
      <c r="I481" s="9">
        <v>0</v>
      </c>
      <c r="J481" s="9">
        <f t="shared" si="14"/>
        <v>40800</v>
      </c>
      <c r="K481" s="9">
        <f t="shared" si="15"/>
        <v>40800</v>
      </c>
      <c r="L481" s="11" t="s">
        <v>76</v>
      </c>
      <c r="M481" s="11" t="s">
        <v>96</v>
      </c>
    </row>
    <row r="482" spans="1:13" x14ac:dyDescent="0.25">
      <c r="A482" s="6">
        <v>474</v>
      </c>
      <c r="B482" s="7">
        <v>45647</v>
      </c>
      <c r="C482" s="8" t="s">
        <v>82</v>
      </c>
      <c r="D482" s="8" t="s">
        <v>117</v>
      </c>
      <c r="E482" s="8" t="s">
        <v>74</v>
      </c>
      <c r="F482" s="8" t="s">
        <v>142</v>
      </c>
      <c r="G482" s="6">
        <v>25</v>
      </c>
      <c r="H482" s="6">
        <v>11900</v>
      </c>
      <c r="I482" s="6">
        <v>10</v>
      </c>
      <c r="J482" s="6">
        <f t="shared" si="14"/>
        <v>297500</v>
      </c>
      <c r="K482" s="6">
        <f t="shared" si="15"/>
        <v>267750</v>
      </c>
      <c r="L482" s="8" t="s">
        <v>174</v>
      </c>
      <c r="M482" s="8"/>
    </row>
    <row r="483" spans="1:13" x14ac:dyDescent="0.25">
      <c r="A483" s="9">
        <v>475</v>
      </c>
      <c r="B483" s="10">
        <v>45184</v>
      </c>
      <c r="C483" s="11" t="s">
        <v>114</v>
      </c>
      <c r="D483" s="11" t="s">
        <v>109</v>
      </c>
      <c r="E483" s="11" t="s">
        <v>102</v>
      </c>
      <c r="F483" s="11" t="s">
        <v>151</v>
      </c>
      <c r="G483" s="9">
        <v>23</v>
      </c>
      <c r="H483" s="9">
        <v>7400</v>
      </c>
      <c r="I483" s="9">
        <v>10</v>
      </c>
      <c r="J483" s="9">
        <f t="shared" si="14"/>
        <v>170200</v>
      </c>
      <c r="K483" s="9">
        <f t="shared" si="15"/>
        <v>153180</v>
      </c>
      <c r="L483" s="11" t="s">
        <v>76</v>
      </c>
      <c r="M483" s="11" t="s">
        <v>91</v>
      </c>
    </row>
    <row r="484" spans="1:13" x14ac:dyDescent="0.25">
      <c r="A484" s="6">
        <v>476</v>
      </c>
      <c r="B484" s="7">
        <v>44933</v>
      </c>
      <c r="C484" s="8" t="s">
        <v>246</v>
      </c>
      <c r="D484" s="8" t="s">
        <v>109</v>
      </c>
      <c r="E484" s="8" t="s">
        <v>111</v>
      </c>
      <c r="F484" s="8" t="s">
        <v>166</v>
      </c>
      <c r="G484" s="6">
        <v>33</v>
      </c>
      <c r="H484" s="6">
        <v>26800</v>
      </c>
      <c r="I484" s="6">
        <v>0</v>
      </c>
      <c r="J484" s="6">
        <f t="shared" si="14"/>
        <v>884400</v>
      </c>
      <c r="K484" s="6">
        <f t="shared" si="15"/>
        <v>884400</v>
      </c>
      <c r="L484" s="8" t="s">
        <v>76</v>
      </c>
      <c r="M484" s="8" t="s">
        <v>81</v>
      </c>
    </row>
    <row r="485" spans="1:13" x14ac:dyDescent="0.25">
      <c r="A485" s="9">
        <v>477</v>
      </c>
      <c r="B485" s="10">
        <v>45118</v>
      </c>
      <c r="C485" s="11" t="s">
        <v>153</v>
      </c>
      <c r="D485" s="11" t="s">
        <v>117</v>
      </c>
      <c r="E485" s="11" t="s">
        <v>102</v>
      </c>
      <c r="F485" s="11" t="s">
        <v>137</v>
      </c>
      <c r="G485" s="9">
        <v>27</v>
      </c>
      <c r="H485" s="9">
        <v>2300</v>
      </c>
      <c r="I485" s="9">
        <v>5</v>
      </c>
      <c r="J485" s="9">
        <f t="shared" si="14"/>
        <v>62100</v>
      </c>
      <c r="K485" s="9">
        <f t="shared" si="15"/>
        <v>58995</v>
      </c>
      <c r="L485" s="11" t="s">
        <v>86</v>
      </c>
      <c r="M485" s="11"/>
    </row>
    <row r="486" spans="1:13" x14ac:dyDescent="0.25">
      <c r="A486" s="6">
        <v>478</v>
      </c>
      <c r="B486" s="7">
        <v>45618</v>
      </c>
      <c r="C486" s="8" t="s">
        <v>119</v>
      </c>
      <c r="D486" s="8" t="s">
        <v>83</v>
      </c>
      <c r="E486" s="8" t="s">
        <v>84</v>
      </c>
      <c r="F486" s="8" t="s">
        <v>128</v>
      </c>
      <c r="G486" s="6">
        <v>27</v>
      </c>
      <c r="H486" s="6">
        <v>4500</v>
      </c>
      <c r="I486" s="6">
        <v>0</v>
      </c>
      <c r="J486" s="6">
        <f t="shared" si="14"/>
        <v>121500</v>
      </c>
      <c r="K486" s="6">
        <f t="shared" si="15"/>
        <v>121500</v>
      </c>
      <c r="L486" s="8" t="s">
        <v>76</v>
      </c>
      <c r="M486" s="8" t="s">
        <v>77</v>
      </c>
    </row>
    <row r="487" spans="1:13" x14ac:dyDescent="0.25">
      <c r="A487" s="9">
        <v>479</v>
      </c>
      <c r="B487" s="10">
        <v>45514</v>
      </c>
      <c r="C487" s="11" t="s">
        <v>124</v>
      </c>
      <c r="D487" s="11" t="s">
        <v>109</v>
      </c>
      <c r="E487" s="11" t="s">
        <v>84</v>
      </c>
      <c r="F487" s="11" t="s">
        <v>206</v>
      </c>
      <c r="G487" s="9">
        <v>10</v>
      </c>
      <c r="H487" s="9">
        <v>15700</v>
      </c>
      <c r="I487" s="9">
        <v>0</v>
      </c>
      <c r="J487" s="9">
        <f t="shared" si="14"/>
        <v>157000</v>
      </c>
      <c r="K487" s="9">
        <f t="shared" si="15"/>
        <v>157000</v>
      </c>
      <c r="L487" s="11" t="s">
        <v>76</v>
      </c>
      <c r="M487" s="11" t="s">
        <v>96</v>
      </c>
    </row>
    <row r="488" spans="1:13" x14ac:dyDescent="0.25">
      <c r="A488" s="6">
        <v>382</v>
      </c>
      <c r="B488" s="7">
        <v>45214</v>
      </c>
      <c r="C488" s="8" t="s">
        <v>119</v>
      </c>
      <c r="D488" s="8" t="s">
        <v>73</v>
      </c>
      <c r="E488" s="8" t="s">
        <v>84</v>
      </c>
      <c r="F488" s="8" t="s">
        <v>128</v>
      </c>
      <c r="G488" s="6">
        <v>48</v>
      </c>
      <c r="H488" s="6">
        <v>4100</v>
      </c>
      <c r="I488" s="6">
        <v>0</v>
      </c>
      <c r="J488" s="6">
        <f t="shared" si="14"/>
        <v>196800</v>
      </c>
      <c r="K488" s="6">
        <f t="shared" si="15"/>
        <v>196800</v>
      </c>
      <c r="L488" s="8" t="s">
        <v>76</v>
      </c>
      <c r="M488" s="8" t="s">
        <v>96</v>
      </c>
    </row>
    <row r="489" spans="1:13" x14ac:dyDescent="0.25">
      <c r="A489" s="9">
        <v>480</v>
      </c>
      <c r="B489" s="10">
        <v>45456</v>
      </c>
      <c r="C489" s="11" t="s">
        <v>114</v>
      </c>
      <c r="D489" s="11" t="s">
        <v>93</v>
      </c>
      <c r="E489" s="11" t="s">
        <v>102</v>
      </c>
      <c r="F489" s="11" t="s">
        <v>138</v>
      </c>
      <c r="G489" s="9">
        <v>47</v>
      </c>
      <c r="H489" s="9">
        <v>7300</v>
      </c>
      <c r="I489" s="9">
        <v>0</v>
      </c>
      <c r="J489" s="9">
        <f t="shared" si="14"/>
        <v>343100</v>
      </c>
      <c r="K489" s="9">
        <f t="shared" si="15"/>
        <v>343100</v>
      </c>
      <c r="L489" s="11" t="s">
        <v>86</v>
      </c>
      <c r="M489" s="11" t="s">
        <v>96</v>
      </c>
    </row>
    <row r="490" spans="1:13" x14ac:dyDescent="0.25">
      <c r="A490" s="6">
        <v>481</v>
      </c>
      <c r="B490" s="8" t="s">
        <v>332</v>
      </c>
      <c r="C490" s="8" t="s">
        <v>119</v>
      </c>
      <c r="D490" s="8" t="s">
        <v>93</v>
      </c>
      <c r="E490" s="8" t="s">
        <v>111</v>
      </c>
      <c r="F490" s="8" t="s">
        <v>159</v>
      </c>
      <c r="G490" s="6">
        <v>27</v>
      </c>
      <c r="H490" s="6">
        <v>11300</v>
      </c>
      <c r="I490" s="6">
        <v>10</v>
      </c>
      <c r="J490" s="6">
        <f t="shared" si="14"/>
        <v>305100</v>
      </c>
      <c r="K490" s="6">
        <f t="shared" si="15"/>
        <v>274590</v>
      </c>
      <c r="L490" s="8" t="s">
        <v>76</v>
      </c>
      <c r="M490" s="8" t="s">
        <v>81</v>
      </c>
    </row>
    <row r="491" spans="1:13" x14ac:dyDescent="0.25">
      <c r="A491" s="9">
        <v>482</v>
      </c>
      <c r="B491" s="10">
        <v>45602</v>
      </c>
      <c r="C491" s="11" t="s">
        <v>82</v>
      </c>
      <c r="D491" s="11" t="s">
        <v>117</v>
      </c>
      <c r="E491" s="11" t="s">
        <v>84</v>
      </c>
      <c r="F491" s="11" t="s">
        <v>200</v>
      </c>
      <c r="G491" s="9">
        <v>39</v>
      </c>
      <c r="H491" s="9">
        <v>3600</v>
      </c>
      <c r="I491" s="9">
        <v>5</v>
      </c>
      <c r="J491" s="9">
        <f t="shared" si="14"/>
        <v>140400</v>
      </c>
      <c r="K491" s="9">
        <f t="shared" si="15"/>
        <v>133380</v>
      </c>
      <c r="L491" s="11" t="s">
        <v>76</v>
      </c>
      <c r="M491" s="11" t="s">
        <v>81</v>
      </c>
    </row>
    <row r="492" spans="1:13" x14ac:dyDescent="0.25">
      <c r="A492" s="6">
        <v>483</v>
      </c>
      <c r="B492" s="7">
        <v>45321</v>
      </c>
      <c r="C492" s="8" t="s">
        <v>160</v>
      </c>
      <c r="D492" s="8" t="s">
        <v>73</v>
      </c>
      <c r="E492" s="8" t="s">
        <v>79</v>
      </c>
      <c r="F492" s="8" t="s">
        <v>80</v>
      </c>
      <c r="G492" s="6">
        <v>33</v>
      </c>
      <c r="H492" s="6">
        <v>8800</v>
      </c>
      <c r="I492" s="6">
        <v>10</v>
      </c>
      <c r="J492" s="6">
        <f t="shared" si="14"/>
        <v>290400</v>
      </c>
      <c r="K492" s="6">
        <f t="shared" si="15"/>
        <v>261360</v>
      </c>
      <c r="L492" s="8" t="s">
        <v>86</v>
      </c>
      <c r="M492" s="8" t="s">
        <v>81</v>
      </c>
    </row>
    <row r="493" spans="1:13" x14ac:dyDescent="0.25">
      <c r="A493" s="9">
        <v>484</v>
      </c>
      <c r="B493" s="11" t="s">
        <v>333</v>
      </c>
      <c r="C493" s="11" t="s">
        <v>108</v>
      </c>
      <c r="D493" s="11" t="s">
        <v>83</v>
      </c>
      <c r="E493" s="11" t="s">
        <v>102</v>
      </c>
      <c r="F493" s="11" t="s">
        <v>138</v>
      </c>
      <c r="G493" s="9">
        <v>35</v>
      </c>
      <c r="H493" s="9">
        <v>7300</v>
      </c>
      <c r="I493" s="9">
        <v>0</v>
      </c>
      <c r="J493" s="9">
        <f t="shared" si="14"/>
        <v>255500</v>
      </c>
      <c r="K493" s="9">
        <f t="shared" si="15"/>
        <v>255500</v>
      </c>
      <c r="L493" s="11" t="s">
        <v>76</v>
      </c>
      <c r="M493" s="11" t="s">
        <v>77</v>
      </c>
    </row>
    <row r="494" spans="1:13" x14ac:dyDescent="0.25">
      <c r="A494" s="6">
        <v>485</v>
      </c>
      <c r="B494" s="7">
        <v>45420</v>
      </c>
      <c r="C494" s="8" t="s">
        <v>108</v>
      </c>
      <c r="D494" s="8" t="s">
        <v>93</v>
      </c>
      <c r="E494" s="8" t="s">
        <v>102</v>
      </c>
      <c r="F494" s="8" t="s">
        <v>138</v>
      </c>
      <c r="G494" s="6">
        <v>50</v>
      </c>
      <c r="H494" s="6">
        <v>7300</v>
      </c>
      <c r="I494" s="6">
        <v>10</v>
      </c>
      <c r="J494" s="6">
        <f t="shared" si="14"/>
        <v>365000</v>
      </c>
      <c r="K494" s="6">
        <f t="shared" si="15"/>
        <v>328500</v>
      </c>
      <c r="L494" s="8" t="s">
        <v>86</v>
      </c>
      <c r="M494" s="8" t="s">
        <v>91</v>
      </c>
    </row>
    <row r="495" spans="1:13" x14ac:dyDescent="0.25">
      <c r="A495" s="9">
        <v>486</v>
      </c>
      <c r="B495" s="10">
        <v>45357</v>
      </c>
      <c r="C495" s="11" t="s">
        <v>88</v>
      </c>
      <c r="D495" s="11" t="s">
        <v>73</v>
      </c>
      <c r="E495" s="11" t="s">
        <v>102</v>
      </c>
      <c r="F495" s="11" t="s">
        <v>151</v>
      </c>
      <c r="G495" s="9">
        <v>31</v>
      </c>
      <c r="H495" s="9">
        <v>7200</v>
      </c>
      <c r="I495" s="9">
        <v>0</v>
      </c>
      <c r="J495" s="9">
        <f t="shared" si="14"/>
        <v>223200</v>
      </c>
      <c r="K495" s="9">
        <f t="shared" si="15"/>
        <v>223200</v>
      </c>
      <c r="L495" s="11" t="s">
        <v>86</v>
      </c>
      <c r="M495" s="11" t="s">
        <v>91</v>
      </c>
    </row>
    <row r="496" spans="1:13" x14ac:dyDescent="0.25">
      <c r="A496" s="6">
        <v>487</v>
      </c>
      <c r="B496" s="7">
        <v>45530</v>
      </c>
      <c r="C496" s="8" t="s">
        <v>124</v>
      </c>
      <c r="D496" s="8" t="s">
        <v>73</v>
      </c>
      <c r="E496" s="8" t="s">
        <v>111</v>
      </c>
      <c r="F496" s="8" t="s">
        <v>166</v>
      </c>
      <c r="G496" s="6">
        <v>50</v>
      </c>
      <c r="H496" s="6">
        <v>27000</v>
      </c>
      <c r="I496" s="6">
        <v>0</v>
      </c>
      <c r="J496" s="6">
        <f t="shared" si="14"/>
        <v>1350000</v>
      </c>
      <c r="K496" s="6">
        <f t="shared" si="15"/>
        <v>1350000</v>
      </c>
      <c r="L496" s="8" t="s">
        <v>76</v>
      </c>
      <c r="M496" s="8" t="s">
        <v>77</v>
      </c>
    </row>
    <row r="497" spans="1:13" x14ac:dyDescent="0.25">
      <c r="A497" s="9">
        <v>488</v>
      </c>
      <c r="B497" s="10">
        <v>45539</v>
      </c>
      <c r="C497" s="11" t="s">
        <v>82</v>
      </c>
      <c r="D497" s="11" t="s">
        <v>83</v>
      </c>
      <c r="E497" s="11" t="s">
        <v>74</v>
      </c>
      <c r="F497" s="11" t="s">
        <v>75</v>
      </c>
      <c r="G497" s="12">
        <v>-48</v>
      </c>
      <c r="H497" s="9">
        <v>19800</v>
      </c>
      <c r="I497" s="9">
        <v>10</v>
      </c>
      <c r="J497" s="9">
        <f t="shared" si="14"/>
        <v>-950400</v>
      </c>
      <c r="K497" s="9">
        <f t="shared" si="15"/>
        <v>-855360</v>
      </c>
      <c r="L497" s="11" t="s">
        <v>86</v>
      </c>
      <c r="M497" s="11" t="s">
        <v>77</v>
      </c>
    </row>
    <row r="498" spans="1:13" x14ac:dyDescent="0.25">
      <c r="A498" s="6">
        <v>489</v>
      </c>
      <c r="B498" s="7">
        <v>44934</v>
      </c>
      <c r="C498" s="8" t="s">
        <v>114</v>
      </c>
      <c r="D498" s="8" t="s">
        <v>109</v>
      </c>
      <c r="E498" s="8" t="s">
        <v>74</v>
      </c>
      <c r="F498" s="8" t="s">
        <v>140</v>
      </c>
      <c r="G498" s="6">
        <v>10</v>
      </c>
      <c r="H498" s="6">
        <v>4500</v>
      </c>
      <c r="I498" s="6">
        <v>0</v>
      </c>
      <c r="J498" s="6">
        <f t="shared" si="14"/>
        <v>45000</v>
      </c>
      <c r="K498" s="6">
        <f t="shared" si="15"/>
        <v>45000</v>
      </c>
      <c r="L498" s="8" t="s">
        <v>76</v>
      </c>
      <c r="M498" s="8" t="s">
        <v>96</v>
      </c>
    </row>
    <row r="499" spans="1:13" x14ac:dyDescent="0.25">
      <c r="A499" s="9">
        <v>490</v>
      </c>
      <c r="B499" s="10">
        <v>45475</v>
      </c>
      <c r="C499" s="11" t="s">
        <v>114</v>
      </c>
      <c r="D499" s="11" t="s">
        <v>93</v>
      </c>
      <c r="E499" s="11" t="s">
        <v>74</v>
      </c>
      <c r="F499" s="11" t="s">
        <v>190</v>
      </c>
      <c r="G499" s="9">
        <v>26</v>
      </c>
      <c r="H499" s="9">
        <v>36700</v>
      </c>
      <c r="I499" s="9">
        <v>10</v>
      </c>
      <c r="J499" s="9">
        <f t="shared" si="14"/>
        <v>954200</v>
      </c>
      <c r="K499" s="9">
        <f t="shared" si="15"/>
        <v>858780</v>
      </c>
      <c r="L499" s="11" t="s">
        <v>86</v>
      </c>
      <c r="M499" s="11" t="s">
        <v>91</v>
      </c>
    </row>
    <row r="500" spans="1:13" x14ac:dyDescent="0.25">
      <c r="A500" s="6">
        <v>491</v>
      </c>
      <c r="B500" s="7">
        <v>45497</v>
      </c>
      <c r="C500" s="8" t="s">
        <v>119</v>
      </c>
      <c r="D500" s="8" t="s">
        <v>109</v>
      </c>
      <c r="E500" s="8" t="s">
        <v>74</v>
      </c>
      <c r="F500" s="8" t="s">
        <v>99</v>
      </c>
      <c r="G500" s="6">
        <v>20</v>
      </c>
      <c r="H500" s="6">
        <v>3400</v>
      </c>
      <c r="I500" s="6">
        <v>15</v>
      </c>
      <c r="J500" s="6">
        <f t="shared" si="14"/>
        <v>68000</v>
      </c>
      <c r="K500" s="6">
        <f t="shared" si="15"/>
        <v>57800</v>
      </c>
      <c r="L500" s="8" t="s">
        <v>174</v>
      </c>
      <c r="M500" s="8" t="s">
        <v>91</v>
      </c>
    </row>
    <row r="501" spans="1:13" x14ac:dyDescent="0.25">
      <c r="A501" s="9">
        <v>492</v>
      </c>
      <c r="B501" s="10">
        <v>45068</v>
      </c>
      <c r="C501" s="11" t="s">
        <v>97</v>
      </c>
      <c r="D501" s="11" t="s">
        <v>109</v>
      </c>
      <c r="E501" s="11" t="s">
        <v>111</v>
      </c>
      <c r="F501" s="11" t="s">
        <v>166</v>
      </c>
      <c r="G501" s="9">
        <v>33</v>
      </c>
      <c r="H501" s="9">
        <v>25900</v>
      </c>
      <c r="I501" s="9">
        <v>20</v>
      </c>
      <c r="J501" s="9">
        <f t="shared" si="14"/>
        <v>854700</v>
      </c>
      <c r="K501" s="9">
        <f t="shared" si="15"/>
        <v>683760</v>
      </c>
      <c r="L501" s="11" t="s">
        <v>76</v>
      </c>
      <c r="M501" s="11"/>
    </row>
    <row r="502" spans="1:13" x14ac:dyDescent="0.25">
      <c r="A502" s="6">
        <v>493</v>
      </c>
      <c r="B502" s="7">
        <v>45490</v>
      </c>
      <c r="C502" s="8" t="s">
        <v>124</v>
      </c>
      <c r="D502" s="8" t="s">
        <v>73</v>
      </c>
      <c r="E502" s="8" t="s">
        <v>84</v>
      </c>
      <c r="F502" s="8" t="s">
        <v>148</v>
      </c>
      <c r="G502" s="6">
        <v>1</v>
      </c>
      <c r="H502" s="6">
        <v>5500</v>
      </c>
      <c r="I502" s="6">
        <v>5</v>
      </c>
      <c r="J502" s="6">
        <f t="shared" si="14"/>
        <v>5500</v>
      </c>
      <c r="K502" s="6">
        <f t="shared" si="15"/>
        <v>5225</v>
      </c>
      <c r="L502" s="8" t="s">
        <v>86</v>
      </c>
      <c r="M502" s="8" t="s">
        <v>81</v>
      </c>
    </row>
    <row r="503" spans="1:13" x14ac:dyDescent="0.25">
      <c r="A503" s="9">
        <v>494</v>
      </c>
      <c r="B503" s="10">
        <v>45541</v>
      </c>
      <c r="C503" s="11" t="s">
        <v>114</v>
      </c>
      <c r="D503" s="11" t="s">
        <v>73</v>
      </c>
      <c r="E503" s="11" t="s">
        <v>324</v>
      </c>
      <c r="F503" s="11" t="s">
        <v>179</v>
      </c>
      <c r="G503" s="9">
        <v>6</v>
      </c>
      <c r="H503" s="9" t="s">
        <v>225</v>
      </c>
      <c r="I503" s="9">
        <v>5</v>
      </c>
      <c r="J503" s="9">
        <f t="shared" si="14"/>
        <v>14400</v>
      </c>
      <c r="K503" s="9">
        <f t="shared" si="15"/>
        <v>13680</v>
      </c>
      <c r="L503" s="11" t="s">
        <v>76</v>
      </c>
      <c r="M503" s="11" t="s">
        <v>91</v>
      </c>
    </row>
    <row r="504" spans="1:13" x14ac:dyDescent="0.25">
      <c r="A504" s="6">
        <v>495</v>
      </c>
      <c r="B504" s="8" t="s">
        <v>334</v>
      </c>
      <c r="C504" s="8" t="s">
        <v>82</v>
      </c>
      <c r="D504" s="8" t="s">
        <v>117</v>
      </c>
      <c r="E504" s="8" t="s">
        <v>102</v>
      </c>
      <c r="F504" s="8" t="s">
        <v>138</v>
      </c>
      <c r="G504" s="6">
        <v>12</v>
      </c>
      <c r="H504" s="6">
        <v>7400</v>
      </c>
      <c r="I504" s="6">
        <v>0</v>
      </c>
      <c r="J504" s="6">
        <f t="shared" si="14"/>
        <v>88800</v>
      </c>
      <c r="K504" s="6">
        <f t="shared" si="15"/>
        <v>88800</v>
      </c>
      <c r="L504" s="8" t="s">
        <v>76</v>
      </c>
      <c r="M504" s="8" t="s">
        <v>91</v>
      </c>
    </row>
    <row r="505" spans="1:13" x14ac:dyDescent="0.25">
      <c r="A505" s="9">
        <v>496</v>
      </c>
      <c r="B505" s="10">
        <v>45133</v>
      </c>
      <c r="C505" s="11" t="s">
        <v>82</v>
      </c>
      <c r="D505" s="11" t="s">
        <v>117</v>
      </c>
      <c r="E505" s="11" t="s">
        <v>84</v>
      </c>
      <c r="F505" s="11" t="s">
        <v>206</v>
      </c>
      <c r="G505" s="9">
        <v>33</v>
      </c>
      <c r="H505" s="9">
        <v>15300</v>
      </c>
      <c r="I505" s="9">
        <v>10</v>
      </c>
      <c r="J505" s="9">
        <f t="shared" si="14"/>
        <v>504900</v>
      </c>
      <c r="K505" s="9">
        <f t="shared" si="15"/>
        <v>454410</v>
      </c>
      <c r="L505" s="11" t="s">
        <v>76</v>
      </c>
      <c r="M505" s="11" t="s">
        <v>81</v>
      </c>
    </row>
    <row r="506" spans="1:13" x14ac:dyDescent="0.25">
      <c r="A506" s="6">
        <v>497</v>
      </c>
      <c r="B506" s="7">
        <v>45100</v>
      </c>
      <c r="C506" s="8" t="s">
        <v>78</v>
      </c>
      <c r="D506" s="8" t="s">
        <v>117</v>
      </c>
      <c r="E506" s="8" t="s">
        <v>176</v>
      </c>
      <c r="F506" s="8" t="s">
        <v>206</v>
      </c>
      <c r="G506" s="6">
        <v>6</v>
      </c>
      <c r="H506" s="6">
        <v>16000</v>
      </c>
      <c r="I506" s="6">
        <v>0</v>
      </c>
      <c r="J506" s="6">
        <f t="shared" si="14"/>
        <v>96000</v>
      </c>
      <c r="K506" s="6">
        <f t="shared" si="15"/>
        <v>96000</v>
      </c>
      <c r="L506" s="8" t="s">
        <v>125</v>
      </c>
      <c r="M506" s="8" t="s">
        <v>91</v>
      </c>
    </row>
    <row r="507" spans="1:13" x14ac:dyDescent="0.25">
      <c r="A507" s="9">
        <v>498</v>
      </c>
      <c r="B507" s="10">
        <v>45612</v>
      </c>
      <c r="C507" s="11" t="s">
        <v>114</v>
      </c>
      <c r="D507" s="11" t="s">
        <v>83</v>
      </c>
      <c r="E507" s="11" t="s">
        <v>145</v>
      </c>
      <c r="F507" s="11" t="s">
        <v>181</v>
      </c>
      <c r="G507" s="9">
        <v>48</v>
      </c>
      <c r="H507" s="9">
        <v>4600</v>
      </c>
      <c r="I507" s="9">
        <v>10</v>
      </c>
      <c r="J507" s="9">
        <f t="shared" si="14"/>
        <v>220800</v>
      </c>
      <c r="K507" s="9">
        <f t="shared" si="15"/>
        <v>198720</v>
      </c>
      <c r="L507" s="11" t="s">
        <v>86</v>
      </c>
      <c r="M507" s="11" t="s">
        <v>77</v>
      </c>
    </row>
    <row r="508" spans="1:13" x14ac:dyDescent="0.25">
      <c r="A508" s="6">
        <v>499</v>
      </c>
      <c r="B508" s="7">
        <v>45218</v>
      </c>
      <c r="C508" s="8" t="s">
        <v>82</v>
      </c>
      <c r="D508" s="8" t="s">
        <v>93</v>
      </c>
      <c r="E508" s="8" t="s">
        <v>74</v>
      </c>
      <c r="F508" s="8" t="s">
        <v>212</v>
      </c>
      <c r="G508" s="6">
        <v>18</v>
      </c>
      <c r="H508" s="6">
        <v>9100</v>
      </c>
      <c r="I508" s="6">
        <v>5</v>
      </c>
      <c r="J508" s="6">
        <f t="shared" si="14"/>
        <v>163800</v>
      </c>
      <c r="K508" s="6">
        <f t="shared" si="15"/>
        <v>155610</v>
      </c>
      <c r="L508" s="8" t="s">
        <v>76</v>
      </c>
      <c r="M508" s="8"/>
    </row>
    <row r="509" spans="1:13" x14ac:dyDescent="0.25">
      <c r="A509" s="9">
        <v>500</v>
      </c>
      <c r="B509" s="10">
        <v>45340</v>
      </c>
      <c r="C509" s="11" t="s">
        <v>124</v>
      </c>
      <c r="D509" s="11" t="s">
        <v>73</v>
      </c>
      <c r="E509" s="11" t="s">
        <v>74</v>
      </c>
      <c r="F509" s="11" t="s">
        <v>142</v>
      </c>
      <c r="G509" s="9">
        <v>7</v>
      </c>
      <c r="H509" s="9">
        <v>12000</v>
      </c>
      <c r="I509" s="9">
        <v>0</v>
      </c>
      <c r="J509" s="9">
        <f t="shared" si="14"/>
        <v>84000</v>
      </c>
      <c r="K509" s="9">
        <f t="shared" si="15"/>
        <v>84000</v>
      </c>
      <c r="L509" s="11" t="s">
        <v>76</v>
      </c>
      <c r="M509" s="11" t="s">
        <v>96</v>
      </c>
    </row>
    <row r="510" spans="1:13" x14ac:dyDescent="0.25">
      <c r="A510" s="6">
        <v>501</v>
      </c>
      <c r="B510" s="8" t="s">
        <v>335</v>
      </c>
      <c r="C510" s="8" t="s">
        <v>237</v>
      </c>
      <c r="D510" s="8" t="s">
        <v>117</v>
      </c>
      <c r="E510" s="8" t="s">
        <v>102</v>
      </c>
      <c r="F510" s="8" t="s">
        <v>110</v>
      </c>
      <c r="G510" s="6">
        <v>25</v>
      </c>
      <c r="H510" s="6">
        <v>23600</v>
      </c>
      <c r="I510" s="6">
        <v>20</v>
      </c>
      <c r="J510" s="6">
        <f t="shared" si="14"/>
        <v>590000</v>
      </c>
      <c r="K510" s="6">
        <f t="shared" si="15"/>
        <v>472000</v>
      </c>
      <c r="L510" s="8" t="s">
        <v>76</v>
      </c>
      <c r="M510" s="8" t="s">
        <v>81</v>
      </c>
    </row>
    <row r="511" spans="1:13" x14ac:dyDescent="0.25">
      <c r="A511" s="9">
        <v>502</v>
      </c>
      <c r="B511" s="10">
        <v>45274</v>
      </c>
      <c r="C511" s="11" t="s">
        <v>119</v>
      </c>
      <c r="D511" s="11" t="s">
        <v>83</v>
      </c>
      <c r="E511" s="11" t="s">
        <v>102</v>
      </c>
      <c r="F511" s="11" t="s">
        <v>138</v>
      </c>
      <c r="G511" s="9">
        <v>17</v>
      </c>
      <c r="H511" s="9">
        <v>6600</v>
      </c>
      <c r="I511" s="9">
        <v>15</v>
      </c>
      <c r="J511" s="9">
        <f t="shared" si="14"/>
        <v>112200</v>
      </c>
      <c r="K511" s="9">
        <f t="shared" si="15"/>
        <v>95370</v>
      </c>
      <c r="L511" s="11" t="s">
        <v>76</v>
      </c>
      <c r="M511" s="11" t="s">
        <v>81</v>
      </c>
    </row>
    <row r="512" spans="1:13" x14ac:dyDescent="0.25">
      <c r="A512" s="6">
        <v>503</v>
      </c>
      <c r="B512" s="7">
        <v>45645</v>
      </c>
      <c r="C512" s="8" t="s">
        <v>106</v>
      </c>
      <c r="D512" s="8" t="s">
        <v>117</v>
      </c>
      <c r="E512" s="8" t="s">
        <v>155</v>
      </c>
      <c r="F512" s="8" t="s">
        <v>132</v>
      </c>
      <c r="G512" s="6">
        <v>1</v>
      </c>
      <c r="H512" s="6">
        <v>7700</v>
      </c>
      <c r="I512" s="6">
        <v>0</v>
      </c>
      <c r="J512" s="6">
        <f t="shared" si="14"/>
        <v>7700</v>
      </c>
      <c r="K512" s="6">
        <f t="shared" si="15"/>
        <v>7700</v>
      </c>
      <c r="L512" s="8" t="s">
        <v>86</v>
      </c>
      <c r="M512" s="8" t="s">
        <v>96</v>
      </c>
    </row>
    <row r="513" spans="1:13" x14ac:dyDescent="0.25">
      <c r="A513" s="9">
        <v>504</v>
      </c>
      <c r="B513" s="10">
        <v>45221</v>
      </c>
      <c r="C513" s="11" t="s">
        <v>97</v>
      </c>
      <c r="D513" s="11" t="s">
        <v>83</v>
      </c>
      <c r="E513" s="11" t="s">
        <v>74</v>
      </c>
      <c r="F513" s="11" t="s">
        <v>118</v>
      </c>
      <c r="G513" s="9">
        <v>12</v>
      </c>
      <c r="H513" s="9">
        <v>29100</v>
      </c>
      <c r="I513" s="9">
        <v>0</v>
      </c>
      <c r="J513" s="9">
        <f t="shared" si="14"/>
        <v>349200</v>
      </c>
      <c r="K513" s="9">
        <f t="shared" si="15"/>
        <v>349200</v>
      </c>
      <c r="L513" s="11" t="s">
        <v>76</v>
      </c>
      <c r="M513" s="11" t="s">
        <v>96</v>
      </c>
    </row>
    <row r="514" spans="1:13" x14ac:dyDescent="0.25">
      <c r="A514" s="6">
        <v>505</v>
      </c>
      <c r="B514" s="7">
        <v>45514</v>
      </c>
      <c r="C514" s="8" t="s">
        <v>101</v>
      </c>
      <c r="D514" s="8" t="s">
        <v>109</v>
      </c>
      <c r="E514" s="8" t="s">
        <v>162</v>
      </c>
      <c r="F514" s="8" t="s">
        <v>85</v>
      </c>
      <c r="G514" s="6">
        <v>16</v>
      </c>
      <c r="H514" s="6" t="s">
        <v>336</v>
      </c>
      <c r="I514" s="6">
        <v>0</v>
      </c>
      <c r="J514" s="6" t="e">
        <f t="shared" ref="J514:J577" si="16">G514*H514</f>
        <v>#VALUE!</v>
      </c>
      <c r="K514" s="6" t="e">
        <f t="shared" ref="K514:K577" si="17">J514*(1-I514/100)</f>
        <v>#VALUE!</v>
      </c>
      <c r="L514" s="8" t="s">
        <v>86</v>
      </c>
      <c r="M514" s="8" t="s">
        <v>96</v>
      </c>
    </row>
    <row r="515" spans="1:13" x14ac:dyDescent="0.25">
      <c r="A515" s="9">
        <v>506</v>
      </c>
      <c r="B515" s="10">
        <v>45161</v>
      </c>
      <c r="C515" s="11" t="s">
        <v>106</v>
      </c>
      <c r="D515" s="11" t="s">
        <v>109</v>
      </c>
      <c r="E515" s="11" t="s">
        <v>102</v>
      </c>
      <c r="F515" s="11" t="s">
        <v>157</v>
      </c>
      <c r="G515" s="9">
        <v>7</v>
      </c>
      <c r="H515" s="9" t="s">
        <v>337</v>
      </c>
      <c r="I515" s="9">
        <v>15</v>
      </c>
      <c r="J515" s="9" t="e">
        <f t="shared" si="16"/>
        <v>#VALUE!</v>
      </c>
      <c r="K515" s="9" t="e">
        <f t="shared" si="17"/>
        <v>#VALUE!</v>
      </c>
      <c r="L515" s="11" t="s">
        <v>76</v>
      </c>
      <c r="M515" s="11" t="s">
        <v>77</v>
      </c>
    </row>
    <row r="516" spans="1:13" x14ac:dyDescent="0.25">
      <c r="A516" s="6">
        <v>507</v>
      </c>
      <c r="B516" s="7">
        <v>45606</v>
      </c>
      <c r="C516" s="8" t="s">
        <v>338</v>
      </c>
      <c r="D516" s="8" t="s">
        <v>93</v>
      </c>
      <c r="E516" s="8" t="s">
        <v>79</v>
      </c>
      <c r="F516" s="8" t="s">
        <v>136</v>
      </c>
      <c r="G516" s="6">
        <v>24</v>
      </c>
      <c r="H516" s="6" t="s">
        <v>339</v>
      </c>
      <c r="I516" s="6">
        <v>10</v>
      </c>
      <c r="J516" s="6" t="e">
        <f t="shared" si="16"/>
        <v>#VALUE!</v>
      </c>
      <c r="K516" s="6" t="e">
        <f t="shared" si="17"/>
        <v>#VALUE!</v>
      </c>
      <c r="L516" s="8" t="s">
        <v>76</v>
      </c>
      <c r="M516" s="8" t="s">
        <v>91</v>
      </c>
    </row>
    <row r="517" spans="1:13" x14ac:dyDescent="0.25">
      <c r="A517" s="9">
        <v>508</v>
      </c>
      <c r="B517" s="10">
        <v>45208</v>
      </c>
      <c r="C517" s="11" t="s">
        <v>119</v>
      </c>
      <c r="D517" s="11" t="s">
        <v>249</v>
      </c>
      <c r="E517" s="11" t="s">
        <v>102</v>
      </c>
      <c r="F517" s="11" t="s">
        <v>110</v>
      </c>
      <c r="G517" s="9">
        <v>49</v>
      </c>
      <c r="H517" s="9">
        <v>22000</v>
      </c>
      <c r="I517" s="9">
        <v>10</v>
      </c>
      <c r="J517" s="9">
        <f t="shared" si="16"/>
        <v>1078000</v>
      </c>
      <c r="K517" s="9">
        <f t="shared" si="17"/>
        <v>970200</v>
      </c>
      <c r="L517" s="11" t="s">
        <v>76</v>
      </c>
      <c r="M517" s="11"/>
    </row>
    <row r="518" spans="1:13" x14ac:dyDescent="0.25">
      <c r="A518" s="6">
        <v>509</v>
      </c>
      <c r="B518" s="7">
        <v>45360</v>
      </c>
      <c r="C518" s="8" t="s">
        <v>119</v>
      </c>
      <c r="D518" s="8" t="s">
        <v>93</v>
      </c>
      <c r="E518" s="8" t="s">
        <v>79</v>
      </c>
      <c r="F518" s="8" t="s">
        <v>120</v>
      </c>
      <c r="G518" s="6">
        <v>44</v>
      </c>
      <c r="H518" s="6">
        <v>6000</v>
      </c>
      <c r="I518" s="6">
        <v>0</v>
      </c>
      <c r="J518" s="6">
        <f t="shared" si="16"/>
        <v>264000</v>
      </c>
      <c r="K518" s="6">
        <f t="shared" si="17"/>
        <v>264000</v>
      </c>
      <c r="L518" s="8" t="s">
        <v>86</v>
      </c>
      <c r="M518" s="8" t="s">
        <v>91</v>
      </c>
    </row>
    <row r="519" spans="1:13" x14ac:dyDescent="0.25">
      <c r="A519" s="9">
        <v>510</v>
      </c>
      <c r="B519" s="10">
        <v>45642</v>
      </c>
      <c r="C519" s="11" t="s">
        <v>246</v>
      </c>
      <c r="D519" s="11" t="s">
        <v>83</v>
      </c>
      <c r="E519" s="11" t="s">
        <v>74</v>
      </c>
      <c r="F519" s="11" t="s">
        <v>94</v>
      </c>
      <c r="G519" s="9">
        <v>14</v>
      </c>
      <c r="H519" s="9">
        <v>31600</v>
      </c>
      <c r="I519" s="9">
        <v>0</v>
      </c>
      <c r="J519" s="9">
        <f t="shared" si="16"/>
        <v>442400</v>
      </c>
      <c r="K519" s="9">
        <f t="shared" si="17"/>
        <v>442400</v>
      </c>
      <c r="L519" s="11" t="s">
        <v>76</v>
      </c>
      <c r="M519" s="11" t="s">
        <v>77</v>
      </c>
    </row>
    <row r="520" spans="1:13" x14ac:dyDescent="0.25">
      <c r="A520" s="6">
        <v>511</v>
      </c>
      <c r="B520" s="7">
        <v>45297</v>
      </c>
      <c r="C520" s="8" t="s">
        <v>124</v>
      </c>
      <c r="D520" s="8" t="s">
        <v>117</v>
      </c>
      <c r="E520" s="8" t="s">
        <v>84</v>
      </c>
      <c r="F520" s="8" t="s">
        <v>134</v>
      </c>
      <c r="G520" s="6">
        <v>31</v>
      </c>
      <c r="H520" s="6" t="s">
        <v>340</v>
      </c>
      <c r="I520" s="6">
        <v>0</v>
      </c>
      <c r="J520" s="6" t="e">
        <f t="shared" si="16"/>
        <v>#VALUE!</v>
      </c>
      <c r="K520" s="6" t="e">
        <f t="shared" si="17"/>
        <v>#VALUE!</v>
      </c>
      <c r="L520" s="8" t="s">
        <v>125</v>
      </c>
      <c r="M520" s="8" t="s">
        <v>96</v>
      </c>
    </row>
    <row r="521" spans="1:13" x14ac:dyDescent="0.25">
      <c r="A521" s="9">
        <v>512</v>
      </c>
      <c r="B521" s="10">
        <v>45115</v>
      </c>
      <c r="C521" s="11" t="s">
        <v>119</v>
      </c>
      <c r="D521" s="11" t="s">
        <v>83</v>
      </c>
      <c r="E521" s="11" t="s">
        <v>84</v>
      </c>
      <c r="F521" s="11" t="s">
        <v>148</v>
      </c>
      <c r="G521" s="9">
        <v>24</v>
      </c>
      <c r="H521" s="9">
        <v>5200</v>
      </c>
      <c r="I521" s="9">
        <v>0</v>
      </c>
      <c r="J521" s="9">
        <f t="shared" si="16"/>
        <v>124800</v>
      </c>
      <c r="K521" s="9">
        <f t="shared" si="17"/>
        <v>124800</v>
      </c>
      <c r="L521" s="11" t="s">
        <v>76</v>
      </c>
      <c r="M521" s="11" t="s">
        <v>91</v>
      </c>
    </row>
    <row r="522" spans="1:13" x14ac:dyDescent="0.25">
      <c r="A522" s="6">
        <v>513</v>
      </c>
      <c r="B522" s="7">
        <v>45388</v>
      </c>
      <c r="C522" s="8" t="s">
        <v>290</v>
      </c>
      <c r="D522" s="8" t="s">
        <v>93</v>
      </c>
      <c r="E522" s="8" t="s">
        <v>84</v>
      </c>
      <c r="F522" s="8" t="s">
        <v>90</v>
      </c>
      <c r="G522" s="6">
        <v>47</v>
      </c>
      <c r="H522" s="6">
        <v>2000</v>
      </c>
      <c r="I522" s="6">
        <v>10</v>
      </c>
      <c r="J522" s="6">
        <f t="shared" si="16"/>
        <v>94000</v>
      </c>
      <c r="K522" s="6">
        <f t="shared" si="17"/>
        <v>84600</v>
      </c>
      <c r="L522" s="8" t="s">
        <v>76</v>
      </c>
      <c r="M522" s="8" t="s">
        <v>81</v>
      </c>
    </row>
    <row r="523" spans="1:13" x14ac:dyDescent="0.25">
      <c r="A523" s="9">
        <v>514</v>
      </c>
      <c r="B523" s="11" t="s">
        <v>341</v>
      </c>
      <c r="C523" s="11" t="s">
        <v>114</v>
      </c>
      <c r="D523" s="11" t="s">
        <v>109</v>
      </c>
      <c r="E523" s="11" t="s">
        <v>84</v>
      </c>
      <c r="F523" s="11" t="s">
        <v>128</v>
      </c>
      <c r="G523" s="9">
        <v>1</v>
      </c>
      <c r="H523" s="9">
        <v>4300</v>
      </c>
      <c r="I523" s="9">
        <v>0</v>
      </c>
      <c r="J523" s="9">
        <f t="shared" si="16"/>
        <v>4300</v>
      </c>
      <c r="K523" s="9">
        <f t="shared" si="17"/>
        <v>4300</v>
      </c>
      <c r="L523" s="11" t="s">
        <v>76</v>
      </c>
      <c r="M523" s="11" t="s">
        <v>91</v>
      </c>
    </row>
    <row r="524" spans="1:13" x14ac:dyDescent="0.25">
      <c r="A524" s="6">
        <v>515</v>
      </c>
      <c r="B524" s="7">
        <v>45572</v>
      </c>
      <c r="C524" s="8" t="s">
        <v>82</v>
      </c>
      <c r="D524" s="8" t="s">
        <v>93</v>
      </c>
      <c r="E524" s="8" t="s">
        <v>74</v>
      </c>
      <c r="F524" s="8" t="s">
        <v>99</v>
      </c>
      <c r="G524" s="6">
        <v>36</v>
      </c>
      <c r="H524" s="6">
        <v>3400</v>
      </c>
      <c r="I524" s="6">
        <v>5</v>
      </c>
      <c r="J524" s="6">
        <f t="shared" si="16"/>
        <v>122400</v>
      </c>
      <c r="K524" s="6">
        <f t="shared" si="17"/>
        <v>116280</v>
      </c>
      <c r="L524" s="8" t="s">
        <v>107</v>
      </c>
      <c r="M524" s="8" t="s">
        <v>77</v>
      </c>
    </row>
    <row r="525" spans="1:13" x14ac:dyDescent="0.25">
      <c r="A525" s="9">
        <v>516</v>
      </c>
      <c r="B525" s="10">
        <v>45028</v>
      </c>
      <c r="C525" s="11" t="s">
        <v>108</v>
      </c>
      <c r="D525" s="11" t="s">
        <v>73</v>
      </c>
      <c r="E525" s="11" t="s">
        <v>84</v>
      </c>
      <c r="F525" s="11" t="s">
        <v>134</v>
      </c>
      <c r="G525" s="9">
        <v>41</v>
      </c>
      <c r="H525" s="9">
        <v>9800</v>
      </c>
      <c r="I525" s="9">
        <v>0</v>
      </c>
      <c r="J525" s="9">
        <f t="shared" si="16"/>
        <v>401800</v>
      </c>
      <c r="K525" s="9">
        <f t="shared" si="17"/>
        <v>401800</v>
      </c>
      <c r="L525" s="11" t="s">
        <v>76</v>
      </c>
      <c r="M525" s="11" t="s">
        <v>96</v>
      </c>
    </row>
    <row r="526" spans="1:13" x14ac:dyDescent="0.25">
      <c r="A526" s="6">
        <v>517</v>
      </c>
      <c r="B526" s="7">
        <v>45296</v>
      </c>
      <c r="C526" s="8" t="s">
        <v>88</v>
      </c>
      <c r="D526" s="8" t="s">
        <v>93</v>
      </c>
      <c r="E526" s="8" t="s">
        <v>145</v>
      </c>
      <c r="F526" s="8" t="s">
        <v>110</v>
      </c>
      <c r="G526" s="6">
        <v>27</v>
      </c>
      <c r="H526" s="6">
        <v>21700</v>
      </c>
      <c r="I526" s="6">
        <v>10</v>
      </c>
      <c r="J526" s="6">
        <f t="shared" si="16"/>
        <v>585900</v>
      </c>
      <c r="K526" s="6">
        <f t="shared" si="17"/>
        <v>527310</v>
      </c>
      <c r="L526" s="8" t="s">
        <v>76</v>
      </c>
      <c r="M526" s="8" t="s">
        <v>81</v>
      </c>
    </row>
    <row r="527" spans="1:13" x14ac:dyDescent="0.25">
      <c r="A527" s="9">
        <v>518</v>
      </c>
      <c r="B527" s="10">
        <v>45516</v>
      </c>
      <c r="C527" s="11" t="s">
        <v>82</v>
      </c>
      <c r="D527" s="11" t="s">
        <v>109</v>
      </c>
      <c r="E527" s="11" t="s">
        <v>74</v>
      </c>
      <c r="F527" s="11" t="s">
        <v>212</v>
      </c>
      <c r="G527" s="9">
        <v>33</v>
      </c>
      <c r="H527" s="9">
        <v>7900</v>
      </c>
      <c r="I527" s="9">
        <v>0</v>
      </c>
      <c r="J527" s="9">
        <f t="shared" si="16"/>
        <v>260700</v>
      </c>
      <c r="K527" s="9">
        <f t="shared" si="17"/>
        <v>260700</v>
      </c>
      <c r="L527" s="11" t="s">
        <v>76</v>
      </c>
      <c r="M527" s="11" t="s">
        <v>91</v>
      </c>
    </row>
    <row r="528" spans="1:13" x14ac:dyDescent="0.25">
      <c r="A528" s="6">
        <v>519</v>
      </c>
      <c r="B528" s="7">
        <v>45317</v>
      </c>
      <c r="C528" s="8" t="s">
        <v>124</v>
      </c>
      <c r="D528" s="8" t="s">
        <v>117</v>
      </c>
      <c r="E528" s="8" t="s">
        <v>111</v>
      </c>
      <c r="F528" s="8" t="s">
        <v>166</v>
      </c>
      <c r="G528" s="12">
        <v>-41</v>
      </c>
      <c r="H528" s="6">
        <v>31300</v>
      </c>
      <c r="I528" s="6">
        <v>5</v>
      </c>
      <c r="J528" s="6">
        <f t="shared" si="16"/>
        <v>-1283300</v>
      </c>
      <c r="K528" s="6">
        <f t="shared" si="17"/>
        <v>-1219135</v>
      </c>
      <c r="L528" s="8" t="s">
        <v>86</v>
      </c>
      <c r="M528" s="8" t="s">
        <v>96</v>
      </c>
    </row>
    <row r="529" spans="1:13" x14ac:dyDescent="0.25">
      <c r="A529" s="9">
        <v>520</v>
      </c>
      <c r="B529" s="11" t="s">
        <v>342</v>
      </c>
      <c r="C529" s="11" t="s">
        <v>124</v>
      </c>
      <c r="D529" s="11" t="s">
        <v>93</v>
      </c>
      <c r="E529" s="11" t="s">
        <v>111</v>
      </c>
      <c r="F529" s="11" t="s">
        <v>112</v>
      </c>
      <c r="G529" s="9">
        <v>22</v>
      </c>
      <c r="H529" s="9">
        <v>59800</v>
      </c>
      <c r="I529" s="9">
        <v>15</v>
      </c>
      <c r="J529" s="9">
        <f t="shared" si="16"/>
        <v>1315600</v>
      </c>
      <c r="K529" s="9">
        <f t="shared" si="17"/>
        <v>1118260</v>
      </c>
      <c r="L529" s="11" t="s">
        <v>76</v>
      </c>
      <c r="M529" s="11" t="s">
        <v>96</v>
      </c>
    </row>
    <row r="530" spans="1:13" x14ac:dyDescent="0.25">
      <c r="A530" s="6">
        <v>521</v>
      </c>
      <c r="B530" s="7">
        <v>45225</v>
      </c>
      <c r="C530" s="8" t="s">
        <v>101</v>
      </c>
      <c r="D530" s="8" t="s">
        <v>93</v>
      </c>
      <c r="E530" s="8" t="s">
        <v>111</v>
      </c>
      <c r="F530" s="8" t="s">
        <v>135</v>
      </c>
      <c r="G530" s="6">
        <v>50</v>
      </c>
      <c r="H530" s="6" t="s">
        <v>343</v>
      </c>
      <c r="I530" s="6">
        <v>15</v>
      </c>
      <c r="J530" s="6" t="e">
        <f t="shared" si="16"/>
        <v>#VALUE!</v>
      </c>
      <c r="K530" s="6" t="e">
        <f t="shared" si="17"/>
        <v>#VALUE!</v>
      </c>
      <c r="L530" s="8" t="s">
        <v>107</v>
      </c>
      <c r="M530" s="8" t="s">
        <v>96</v>
      </c>
    </row>
    <row r="531" spans="1:13" x14ac:dyDescent="0.25">
      <c r="A531" s="9">
        <v>522</v>
      </c>
      <c r="B531" s="10">
        <v>45528</v>
      </c>
      <c r="C531" s="11" t="s">
        <v>82</v>
      </c>
      <c r="D531" s="11" t="s">
        <v>83</v>
      </c>
      <c r="E531" s="11" t="s">
        <v>111</v>
      </c>
      <c r="F531" s="11" t="s">
        <v>166</v>
      </c>
      <c r="G531" s="9">
        <v>2</v>
      </c>
      <c r="H531" s="9">
        <v>26500</v>
      </c>
      <c r="I531" s="9">
        <v>15</v>
      </c>
      <c r="J531" s="9">
        <f t="shared" si="16"/>
        <v>53000</v>
      </c>
      <c r="K531" s="9">
        <f t="shared" si="17"/>
        <v>45050</v>
      </c>
      <c r="L531" s="11" t="s">
        <v>76</v>
      </c>
      <c r="M531" s="11" t="s">
        <v>81</v>
      </c>
    </row>
    <row r="532" spans="1:13" x14ac:dyDescent="0.25">
      <c r="A532" s="6">
        <v>523</v>
      </c>
      <c r="B532" s="8" t="s">
        <v>344</v>
      </c>
      <c r="C532" s="8" t="s">
        <v>97</v>
      </c>
      <c r="D532" s="8"/>
      <c r="E532" s="8" t="s">
        <v>84</v>
      </c>
      <c r="F532" s="8" t="s">
        <v>148</v>
      </c>
      <c r="G532" s="6">
        <v>5</v>
      </c>
      <c r="H532" s="6" t="s">
        <v>345</v>
      </c>
      <c r="I532" s="6">
        <v>10</v>
      </c>
      <c r="J532" s="6">
        <f t="shared" si="16"/>
        <v>22000</v>
      </c>
      <c r="K532" s="6">
        <f t="shared" si="17"/>
        <v>19800</v>
      </c>
      <c r="L532" s="8" t="s">
        <v>125</v>
      </c>
      <c r="M532" s="8" t="s">
        <v>91</v>
      </c>
    </row>
    <row r="533" spans="1:13" x14ac:dyDescent="0.25">
      <c r="A533" s="9">
        <v>524</v>
      </c>
      <c r="B533" s="10">
        <v>44982</v>
      </c>
      <c r="C533" s="11" t="s">
        <v>199</v>
      </c>
      <c r="D533" s="11" t="s">
        <v>83</v>
      </c>
      <c r="E533" s="11" t="s">
        <v>102</v>
      </c>
      <c r="F533" s="11" t="s">
        <v>137</v>
      </c>
      <c r="G533" s="9">
        <v>40</v>
      </c>
      <c r="H533" s="9" t="s">
        <v>346</v>
      </c>
      <c r="I533" s="9"/>
      <c r="J533" s="9" t="e">
        <f t="shared" si="16"/>
        <v>#VALUE!</v>
      </c>
      <c r="K533" s="9" t="e">
        <f t="shared" si="17"/>
        <v>#VALUE!</v>
      </c>
      <c r="L533" s="11" t="s">
        <v>76</v>
      </c>
      <c r="M533" s="11" t="s">
        <v>91</v>
      </c>
    </row>
    <row r="534" spans="1:13" x14ac:dyDescent="0.25">
      <c r="A534" s="6">
        <v>525</v>
      </c>
      <c r="B534" s="8" t="s">
        <v>347</v>
      </c>
      <c r="C534" s="8" t="s">
        <v>106</v>
      </c>
      <c r="D534" s="8" t="s">
        <v>117</v>
      </c>
      <c r="E534" s="8" t="s">
        <v>191</v>
      </c>
      <c r="F534" s="8" t="s">
        <v>166</v>
      </c>
      <c r="G534" s="6">
        <v>11</v>
      </c>
      <c r="H534" s="6">
        <v>26100</v>
      </c>
      <c r="I534" s="6">
        <v>20</v>
      </c>
      <c r="J534" s="6">
        <f t="shared" si="16"/>
        <v>287100</v>
      </c>
      <c r="K534" s="6">
        <f t="shared" si="17"/>
        <v>229680</v>
      </c>
      <c r="L534" s="8" t="s">
        <v>76</v>
      </c>
      <c r="M534" s="8" t="s">
        <v>96</v>
      </c>
    </row>
    <row r="535" spans="1:13" x14ac:dyDescent="0.25">
      <c r="A535" s="9">
        <v>526</v>
      </c>
      <c r="B535" s="10">
        <v>45260</v>
      </c>
      <c r="C535" s="11" t="s">
        <v>119</v>
      </c>
      <c r="D535" s="11" t="s">
        <v>83</v>
      </c>
      <c r="E535" s="11" t="s">
        <v>102</v>
      </c>
      <c r="F535" s="11" t="s">
        <v>110</v>
      </c>
      <c r="G535" s="9">
        <v>9</v>
      </c>
      <c r="H535" s="9" t="s">
        <v>348</v>
      </c>
      <c r="I535" s="9">
        <v>10</v>
      </c>
      <c r="J535" s="9" t="e">
        <f t="shared" si="16"/>
        <v>#VALUE!</v>
      </c>
      <c r="K535" s="9" t="e">
        <f t="shared" si="17"/>
        <v>#VALUE!</v>
      </c>
      <c r="L535" s="11" t="s">
        <v>125</v>
      </c>
      <c r="M535" s="11" t="s">
        <v>81</v>
      </c>
    </row>
    <row r="536" spans="1:13" x14ac:dyDescent="0.25">
      <c r="A536" s="6">
        <v>527</v>
      </c>
      <c r="B536" s="7">
        <v>45538</v>
      </c>
      <c r="C536" s="8" t="s">
        <v>119</v>
      </c>
      <c r="D536" s="8" t="s">
        <v>93</v>
      </c>
      <c r="E536" s="8" t="s">
        <v>111</v>
      </c>
      <c r="F536" s="8" t="s">
        <v>135</v>
      </c>
      <c r="G536" s="6">
        <v>31</v>
      </c>
      <c r="H536" s="6">
        <v>129600</v>
      </c>
      <c r="I536" s="6">
        <v>5</v>
      </c>
      <c r="J536" s="6">
        <f t="shared" si="16"/>
        <v>4017600</v>
      </c>
      <c r="K536" s="6">
        <f t="shared" si="17"/>
        <v>3816720</v>
      </c>
      <c r="L536" s="8" t="s">
        <v>76</v>
      </c>
      <c r="M536" s="8" t="s">
        <v>77</v>
      </c>
    </row>
    <row r="537" spans="1:13" x14ac:dyDescent="0.25">
      <c r="A537" s="9">
        <v>528</v>
      </c>
      <c r="B537" s="10">
        <v>45242</v>
      </c>
      <c r="C537" s="11" t="s">
        <v>88</v>
      </c>
      <c r="D537" s="11" t="s">
        <v>83</v>
      </c>
      <c r="E537" s="11" t="s">
        <v>74</v>
      </c>
      <c r="F537" s="11" t="s">
        <v>142</v>
      </c>
      <c r="G537" s="9">
        <v>1</v>
      </c>
      <c r="H537" s="9" t="s">
        <v>349</v>
      </c>
      <c r="I537" s="9">
        <v>0</v>
      </c>
      <c r="J537" s="9">
        <f t="shared" si="16"/>
        <v>11700</v>
      </c>
      <c r="K537" s="9">
        <f t="shared" si="17"/>
        <v>11700</v>
      </c>
      <c r="L537" s="11" t="s">
        <v>76</v>
      </c>
      <c r="M537" s="11" t="s">
        <v>81</v>
      </c>
    </row>
    <row r="538" spans="1:13" x14ac:dyDescent="0.25">
      <c r="A538" s="6">
        <v>529</v>
      </c>
      <c r="B538" s="7">
        <v>45220</v>
      </c>
      <c r="C538" s="8" t="s">
        <v>119</v>
      </c>
      <c r="D538" s="8" t="s">
        <v>93</v>
      </c>
      <c r="E538" s="8" t="s">
        <v>324</v>
      </c>
      <c r="F538" s="8" t="s">
        <v>172</v>
      </c>
      <c r="G538" s="6">
        <v>31</v>
      </c>
      <c r="H538" s="6">
        <v>28400</v>
      </c>
      <c r="I538" s="6">
        <v>20</v>
      </c>
      <c r="J538" s="6">
        <f t="shared" si="16"/>
        <v>880400</v>
      </c>
      <c r="K538" s="6">
        <f t="shared" si="17"/>
        <v>704320</v>
      </c>
      <c r="L538" s="8" t="s">
        <v>76</v>
      </c>
      <c r="M538" s="8" t="s">
        <v>91</v>
      </c>
    </row>
    <row r="539" spans="1:13" x14ac:dyDescent="0.25">
      <c r="A539" s="9">
        <v>530</v>
      </c>
      <c r="B539" s="11" t="s">
        <v>350</v>
      </c>
      <c r="C539" s="11" t="s">
        <v>124</v>
      </c>
      <c r="D539" s="11" t="s">
        <v>109</v>
      </c>
      <c r="E539" s="11" t="s">
        <v>79</v>
      </c>
      <c r="F539" s="11" t="s">
        <v>120</v>
      </c>
      <c r="G539" s="9">
        <v>36</v>
      </c>
      <c r="H539" s="9">
        <v>5700</v>
      </c>
      <c r="I539" s="9">
        <v>0</v>
      </c>
      <c r="J539" s="9">
        <f t="shared" si="16"/>
        <v>205200</v>
      </c>
      <c r="K539" s="9">
        <f t="shared" si="17"/>
        <v>205200</v>
      </c>
      <c r="L539" s="11" t="s">
        <v>76</v>
      </c>
      <c r="M539" s="11" t="s">
        <v>81</v>
      </c>
    </row>
    <row r="540" spans="1:13" x14ac:dyDescent="0.25">
      <c r="A540" s="6">
        <v>531</v>
      </c>
      <c r="B540" s="7">
        <v>45588</v>
      </c>
      <c r="C540" s="8" t="s">
        <v>114</v>
      </c>
      <c r="D540" s="8" t="s">
        <v>83</v>
      </c>
      <c r="E540" s="8" t="s">
        <v>84</v>
      </c>
      <c r="F540" s="8" t="s">
        <v>134</v>
      </c>
      <c r="G540" s="6">
        <v>41</v>
      </c>
      <c r="H540" s="6">
        <v>8800</v>
      </c>
      <c r="I540" s="6">
        <v>0</v>
      </c>
      <c r="J540" s="6">
        <f t="shared" si="16"/>
        <v>360800</v>
      </c>
      <c r="K540" s="6">
        <f t="shared" si="17"/>
        <v>360800</v>
      </c>
      <c r="L540" s="8" t="s">
        <v>76</v>
      </c>
      <c r="M540" s="8" t="s">
        <v>96</v>
      </c>
    </row>
    <row r="541" spans="1:13" x14ac:dyDescent="0.25">
      <c r="A541" s="9">
        <v>532</v>
      </c>
      <c r="B541" s="10">
        <v>45591</v>
      </c>
      <c r="C541" s="11" t="s">
        <v>82</v>
      </c>
      <c r="D541" s="11" t="s">
        <v>117</v>
      </c>
      <c r="E541" s="11" t="s">
        <v>111</v>
      </c>
      <c r="F541" s="11" t="s">
        <v>156</v>
      </c>
      <c r="G541" s="9">
        <v>12</v>
      </c>
      <c r="H541" s="9">
        <v>46800</v>
      </c>
      <c r="I541" s="9">
        <v>15</v>
      </c>
      <c r="J541" s="9">
        <f t="shared" si="16"/>
        <v>561600</v>
      </c>
      <c r="K541" s="9">
        <f t="shared" si="17"/>
        <v>477360</v>
      </c>
      <c r="L541" s="11" t="s">
        <v>76</v>
      </c>
      <c r="M541" s="11" t="s">
        <v>77</v>
      </c>
    </row>
    <row r="542" spans="1:13" x14ac:dyDescent="0.25">
      <c r="A542" s="6">
        <v>533</v>
      </c>
      <c r="B542" s="7">
        <v>45393</v>
      </c>
      <c r="C542" s="8" t="s">
        <v>124</v>
      </c>
      <c r="D542" s="8" t="s">
        <v>83</v>
      </c>
      <c r="E542" s="8" t="s">
        <v>74</v>
      </c>
      <c r="F542" s="8" t="s">
        <v>99</v>
      </c>
      <c r="G542" s="6">
        <v>2</v>
      </c>
      <c r="H542" s="6">
        <v>3300</v>
      </c>
      <c r="I542" s="6">
        <v>0</v>
      </c>
      <c r="J542" s="6">
        <f t="shared" si="16"/>
        <v>6600</v>
      </c>
      <c r="K542" s="6">
        <f t="shared" si="17"/>
        <v>6600</v>
      </c>
      <c r="L542" s="8" t="s">
        <v>76</v>
      </c>
      <c r="M542" s="8" t="s">
        <v>77</v>
      </c>
    </row>
    <row r="543" spans="1:13" x14ac:dyDescent="0.25">
      <c r="A543" s="9">
        <v>534</v>
      </c>
      <c r="B543" s="10">
        <v>45031</v>
      </c>
      <c r="C543" s="11" t="s">
        <v>101</v>
      </c>
      <c r="D543" s="11" t="s">
        <v>117</v>
      </c>
      <c r="E543" s="11" t="s">
        <v>84</v>
      </c>
      <c r="F543" s="11" t="s">
        <v>85</v>
      </c>
      <c r="G543" s="9">
        <v>15</v>
      </c>
      <c r="H543" s="9">
        <v>5800</v>
      </c>
      <c r="I543" s="9">
        <v>5</v>
      </c>
      <c r="J543" s="9">
        <f t="shared" si="16"/>
        <v>87000</v>
      </c>
      <c r="K543" s="9">
        <f t="shared" si="17"/>
        <v>82650</v>
      </c>
      <c r="L543" s="11" t="s">
        <v>76</v>
      </c>
      <c r="M543" s="11" t="s">
        <v>77</v>
      </c>
    </row>
    <row r="544" spans="1:13" x14ac:dyDescent="0.25">
      <c r="A544" s="6">
        <v>535</v>
      </c>
      <c r="B544" s="8" t="s">
        <v>351</v>
      </c>
      <c r="C544" s="8" t="s">
        <v>88</v>
      </c>
      <c r="D544" s="8" t="s">
        <v>83</v>
      </c>
      <c r="E544" s="8" t="s">
        <v>74</v>
      </c>
      <c r="F544" s="8" t="s">
        <v>99</v>
      </c>
      <c r="G544" s="6">
        <v>30</v>
      </c>
      <c r="H544" s="6">
        <v>4000</v>
      </c>
      <c r="I544" s="6">
        <v>0</v>
      </c>
      <c r="J544" s="6">
        <f t="shared" si="16"/>
        <v>120000</v>
      </c>
      <c r="K544" s="6">
        <f t="shared" si="17"/>
        <v>120000</v>
      </c>
      <c r="L544" s="8" t="s">
        <v>86</v>
      </c>
      <c r="M544" s="8" t="s">
        <v>77</v>
      </c>
    </row>
    <row r="545" spans="1:13" x14ac:dyDescent="0.25">
      <c r="A545" s="9">
        <v>536</v>
      </c>
      <c r="B545" s="11" t="s">
        <v>352</v>
      </c>
      <c r="C545" s="11" t="s">
        <v>108</v>
      </c>
      <c r="D545" s="11" t="s">
        <v>73</v>
      </c>
      <c r="E545" s="11" t="s">
        <v>74</v>
      </c>
      <c r="F545" s="11" t="s">
        <v>140</v>
      </c>
      <c r="G545" s="9">
        <v>31</v>
      </c>
      <c r="H545" s="9">
        <v>4100</v>
      </c>
      <c r="I545" s="9">
        <v>20</v>
      </c>
      <c r="J545" s="9">
        <f t="shared" si="16"/>
        <v>127100</v>
      </c>
      <c r="K545" s="9">
        <f t="shared" si="17"/>
        <v>101680</v>
      </c>
      <c r="L545" s="11" t="s">
        <v>174</v>
      </c>
      <c r="M545" s="11" t="s">
        <v>96</v>
      </c>
    </row>
    <row r="546" spans="1:13" x14ac:dyDescent="0.25">
      <c r="A546" s="6">
        <v>537</v>
      </c>
      <c r="B546" s="7">
        <v>45317</v>
      </c>
      <c r="C546" s="8" t="s">
        <v>78</v>
      </c>
      <c r="D546" s="8" t="s">
        <v>73</v>
      </c>
      <c r="E546" s="8" t="s">
        <v>173</v>
      </c>
      <c r="F546" s="8" t="s">
        <v>148</v>
      </c>
      <c r="G546" s="6">
        <v>29</v>
      </c>
      <c r="H546" s="6">
        <v>5200</v>
      </c>
      <c r="I546" s="6">
        <v>0</v>
      </c>
      <c r="J546" s="6">
        <f t="shared" si="16"/>
        <v>150800</v>
      </c>
      <c r="K546" s="6">
        <f t="shared" si="17"/>
        <v>150800</v>
      </c>
      <c r="L546" s="8" t="s">
        <v>76</v>
      </c>
      <c r="M546" s="8" t="s">
        <v>77</v>
      </c>
    </row>
    <row r="547" spans="1:13" x14ac:dyDescent="0.25">
      <c r="A547" s="9">
        <v>538</v>
      </c>
      <c r="B547" s="10">
        <v>45398</v>
      </c>
      <c r="C547" s="11" t="s">
        <v>97</v>
      </c>
      <c r="D547" s="11" t="s">
        <v>93</v>
      </c>
      <c r="E547" s="11" t="s">
        <v>84</v>
      </c>
      <c r="F547" s="11" t="s">
        <v>85</v>
      </c>
      <c r="G547" s="9">
        <v>20</v>
      </c>
      <c r="H547" s="9">
        <v>5400</v>
      </c>
      <c r="I547" s="9">
        <v>15</v>
      </c>
      <c r="J547" s="9">
        <f t="shared" si="16"/>
        <v>108000</v>
      </c>
      <c r="K547" s="9">
        <f t="shared" si="17"/>
        <v>91800</v>
      </c>
      <c r="L547" s="11" t="s">
        <v>125</v>
      </c>
      <c r="M547" s="11" t="s">
        <v>81</v>
      </c>
    </row>
    <row r="548" spans="1:13" x14ac:dyDescent="0.25">
      <c r="A548" s="6">
        <v>539</v>
      </c>
      <c r="B548" s="7">
        <v>44970</v>
      </c>
      <c r="C548" s="8" t="s">
        <v>82</v>
      </c>
      <c r="D548" s="8" t="s">
        <v>93</v>
      </c>
      <c r="E548" s="8" t="s">
        <v>79</v>
      </c>
      <c r="F548" s="8" t="s">
        <v>179</v>
      </c>
      <c r="G548" s="6">
        <v>20</v>
      </c>
      <c r="H548" s="6">
        <v>2600</v>
      </c>
      <c r="I548" s="6">
        <v>20</v>
      </c>
      <c r="J548" s="6">
        <f t="shared" si="16"/>
        <v>52000</v>
      </c>
      <c r="K548" s="6">
        <f t="shared" si="17"/>
        <v>41600</v>
      </c>
      <c r="L548" s="8" t="s">
        <v>76</v>
      </c>
      <c r="M548" s="8" t="s">
        <v>77</v>
      </c>
    </row>
    <row r="549" spans="1:13" x14ac:dyDescent="0.25">
      <c r="A549" s="9">
        <v>540</v>
      </c>
      <c r="B549" s="11" t="s">
        <v>353</v>
      </c>
      <c r="C549" s="11" t="s">
        <v>106</v>
      </c>
      <c r="D549" s="11" t="s">
        <v>195</v>
      </c>
      <c r="E549" s="11" t="s">
        <v>84</v>
      </c>
      <c r="F549" s="11" t="s">
        <v>148</v>
      </c>
      <c r="G549" s="9">
        <v>11</v>
      </c>
      <c r="H549" s="9">
        <v>4700</v>
      </c>
      <c r="I549" s="9">
        <v>5</v>
      </c>
      <c r="J549" s="9">
        <f t="shared" si="16"/>
        <v>51700</v>
      </c>
      <c r="K549" s="9">
        <f t="shared" si="17"/>
        <v>49115</v>
      </c>
      <c r="L549" s="11" t="s">
        <v>86</v>
      </c>
      <c r="M549" s="11" t="s">
        <v>77</v>
      </c>
    </row>
    <row r="550" spans="1:13" x14ac:dyDescent="0.25">
      <c r="A550" s="6">
        <v>541</v>
      </c>
      <c r="B550" s="7">
        <v>45175</v>
      </c>
      <c r="C550" s="8" t="s">
        <v>78</v>
      </c>
      <c r="D550" s="8" t="s">
        <v>73</v>
      </c>
      <c r="E550" s="8" t="s">
        <v>102</v>
      </c>
      <c r="F550" s="8" t="s">
        <v>197</v>
      </c>
      <c r="G550" s="6">
        <v>10</v>
      </c>
      <c r="H550" s="6">
        <v>4100</v>
      </c>
      <c r="I550" s="6">
        <v>0</v>
      </c>
      <c r="J550" s="6">
        <f t="shared" si="16"/>
        <v>41000</v>
      </c>
      <c r="K550" s="6">
        <f t="shared" si="17"/>
        <v>41000</v>
      </c>
      <c r="L550" s="8" t="s">
        <v>76</v>
      </c>
      <c r="M550" s="8" t="s">
        <v>77</v>
      </c>
    </row>
    <row r="551" spans="1:13" x14ac:dyDescent="0.25">
      <c r="A551" s="9">
        <v>542</v>
      </c>
      <c r="B551" s="10">
        <v>45088</v>
      </c>
      <c r="C551" s="11" t="s">
        <v>119</v>
      </c>
      <c r="D551" s="11" t="s">
        <v>195</v>
      </c>
      <c r="E551" s="11" t="s">
        <v>102</v>
      </c>
      <c r="F551" s="11" t="s">
        <v>157</v>
      </c>
      <c r="G551" s="9">
        <v>49</v>
      </c>
      <c r="H551" s="9">
        <v>13600</v>
      </c>
      <c r="I551" s="9">
        <v>0</v>
      </c>
      <c r="J551" s="9">
        <f t="shared" si="16"/>
        <v>666400</v>
      </c>
      <c r="K551" s="9">
        <f t="shared" si="17"/>
        <v>666400</v>
      </c>
      <c r="L551" s="11" t="s">
        <v>229</v>
      </c>
      <c r="M551" s="11" t="s">
        <v>77</v>
      </c>
    </row>
    <row r="552" spans="1:13" x14ac:dyDescent="0.25">
      <c r="A552" s="6">
        <v>543</v>
      </c>
      <c r="B552" s="7">
        <v>45587</v>
      </c>
      <c r="C552" s="8" t="s">
        <v>108</v>
      </c>
      <c r="D552" s="8" t="s">
        <v>93</v>
      </c>
      <c r="E552" s="8" t="s">
        <v>79</v>
      </c>
      <c r="F552" s="8" t="s">
        <v>122</v>
      </c>
      <c r="G552" s="6">
        <v>21</v>
      </c>
      <c r="H552" s="6">
        <v>18400</v>
      </c>
      <c r="I552" s="6">
        <v>20</v>
      </c>
      <c r="J552" s="6">
        <f t="shared" si="16"/>
        <v>386400</v>
      </c>
      <c r="K552" s="6">
        <f t="shared" si="17"/>
        <v>309120</v>
      </c>
      <c r="L552" s="8" t="s">
        <v>125</v>
      </c>
      <c r="M552" s="8" t="s">
        <v>96</v>
      </c>
    </row>
    <row r="553" spans="1:13" x14ac:dyDescent="0.25">
      <c r="A553" s="9">
        <v>544</v>
      </c>
      <c r="B553" s="10">
        <v>45376</v>
      </c>
      <c r="C553" s="11" t="s">
        <v>106</v>
      </c>
      <c r="D553" s="11" t="s">
        <v>73</v>
      </c>
      <c r="E553" s="11" t="s">
        <v>111</v>
      </c>
      <c r="F553" s="11" t="s">
        <v>132</v>
      </c>
      <c r="G553" s="9">
        <v>17</v>
      </c>
      <c r="H553" s="9">
        <v>8100</v>
      </c>
      <c r="I553" s="9">
        <v>15</v>
      </c>
      <c r="J553" s="9">
        <f t="shared" si="16"/>
        <v>137700</v>
      </c>
      <c r="K553" s="9">
        <f t="shared" si="17"/>
        <v>117045</v>
      </c>
      <c r="L553" s="11" t="s">
        <v>107</v>
      </c>
      <c r="M553" s="11" t="s">
        <v>91</v>
      </c>
    </row>
    <row r="554" spans="1:13" x14ac:dyDescent="0.25">
      <c r="A554" s="6">
        <v>545</v>
      </c>
      <c r="B554" s="7">
        <v>45375</v>
      </c>
      <c r="C554" s="8" t="s">
        <v>82</v>
      </c>
      <c r="D554" s="8" t="s">
        <v>117</v>
      </c>
      <c r="E554" s="8" t="s">
        <v>102</v>
      </c>
      <c r="F554" s="8" t="s">
        <v>197</v>
      </c>
      <c r="G554" s="6">
        <v>12</v>
      </c>
      <c r="H554" s="6">
        <v>3600</v>
      </c>
      <c r="I554" s="6">
        <v>15</v>
      </c>
      <c r="J554" s="6">
        <f t="shared" si="16"/>
        <v>43200</v>
      </c>
      <c r="K554" s="6">
        <f t="shared" si="17"/>
        <v>36720</v>
      </c>
      <c r="L554" s="8" t="s">
        <v>76</v>
      </c>
      <c r="M554" s="8" t="s">
        <v>96</v>
      </c>
    </row>
    <row r="555" spans="1:13" x14ac:dyDescent="0.25">
      <c r="A555" s="9">
        <v>546</v>
      </c>
      <c r="B555" s="10">
        <v>45406</v>
      </c>
      <c r="C555" s="11" t="s">
        <v>101</v>
      </c>
      <c r="D555" s="11" t="s">
        <v>93</v>
      </c>
      <c r="E555" s="11" t="s">
        <v>102</v>
      </c>
      <c r="F555" s="11" t="s">
        <v>103</v>
      </c>
      <c r="G555" s="9">
        <v>10</v>
      </c>
      <c r="H555" s="9">
        <v>9000</v>
      </c>
      <c r="I555" s="9">
        <v>10</v>
      </c>
      <c r="J555" s="9">
        <f t="shared" si="16"/>
        <v>90000</v>
      </c>
      <c r="K555" s="9">
        <f t="shared" si="17"/>
        <v>81000</v>
      </c>
      <c r="L555" s="11" t="s">
        <v>76</v>
      </c>
      <c r="M555" s="11" t="s">
        <v>96</v>
      </c>
    </row>
    <row r="556" spans="1:13" x14ac:dyDescent="0.25">
      <c r="A556" s="6">
        <v>356</v>
      </c>
      <c r="B556" s="7">
        <v>45266</v>
      </c>
      <c r="C556" s="8" t="s">
        <v>124</v>
      </c>
      <c r="D556" s="8" t="s">
        <v>109</v>
      </c>
      <c r="E556" s="8" t="s">
        <v>84</v>
      </c>
      <c r="F556" s="8" t="s">
        <v>200</v>
      </c>
      <c r="G556" s="6">
        <v>21</v>
      </c>
      <c r="H556" s="6">
        <v>3500</v>
      </c>
      <c r="I556" s="6">
        <v>10</v>
      </c>
      <c r="J556" s="6">
        <f t="shared" si="16"/>
        <v>73500</v>
      </c>
      <c r="K556" s="6">
        <f t="shared" si="17"/>
        <v>66150</v>
      </c>
      <c r="L556" s="8" t="s">
        <v>76</v>
      </c>
      <c r="M556" s="8" t="s">
        <v>81</v>
      </c>
    </row>
    <row r="557" spans="1:13" x14ac:dyDescent="0.25">
      <c r="A557" s="9">
        <v>547</v>
      </c>
      <c r="B557" s="10">
        <v>45302</v>
      </c>
      <c r="C557" s="11" t="s">
        <v>119</v>
      </c>
      <c r="D557" s="11" t="s">
        <v>73</v>
      </c>
      <c r="E557" s="11" t="s">
        <v>102</v>
      </c>
      <c r="F557" s="11" t="s">
        <v>151</v>
      </c>
      <c r="G557" s="9">
        <v>2</v>
      </c>
      <c r="H557" s="9">
        <v>8100</v>
      </c>
      <c r="I557" s="9">
        <v>20</v>
      </c>
      <c r="J557" s="9">
        <f t="shared" si="16"/>
        <v>16200</v>
      </c>
      <c r="K557" s="9">
        <f t="shared" si="17"/>
        <v>12960</v>
      </c>
      <c r="L557" s="11" t="s">
        <v>76</v>
      </c>
      <c r="M557" s="11" t="s">
        <v>96</v>
      </c>
    </row>
    <row r="558" spans="1:13" x14ac:dyDescent="0.25">
      <c r="A558" s="6">
        <v>548</v>
      </c>
      <c r="B558" s="7">
        <v>45562</v>
      </c>
      <c r="C558" s="8" t="s">
        <v>106</v>
      </c>
      <c r="D558" s="8" t="s">
        <v>117</v>
      </c>
      <c r="E558" s="8" t="s">
        <v>79</v>
      </c>
      <c r="F558" s="8" t="s">
        <v>115</v>
      </c>
      <c r="G558" s="6">
        <v>44</v>
      </c>
      <c r="H558" s="6" t="s">
        <v>354</v>
      </c>
      <c r="I558" s="6">
        <v>10</v>
      </c>
      <c r="J558" s="6">
        <f t="shared" si="16"/>
        <v>374000</v>
      </c>
      <c r="K558" s="6">
        <f t="shared" si="17"/>
        <v>336600</v>
      </c>
      <c r="L558" s="8" t="s">
        <v>76</v>
      </c>
      <c r="M558" s="8" t="s">
        <v>81</v>
      </c>
    </row>
    <row r="559" spans="1:13" x14ac:dyDescent="0.25">
      <c r="A559" s="9">
        <v>549</v>
      </c>
      <c r="B559" s="11" t="s">
        <v>355</v>
      </c>
      <c r="C559" s="11" t="s">
        <v>88</v>
      </c>
      <c r="D559" s="11" t="s">
        <v>83</v>
      </c>
      <c r="E559" s="11" t="s">
        <v>74</v>
      </c>
      <c r="F559" s="11" t="s">
        <v>118</v>
      </c>
      <c r="G559" s="9">
        <v>43</v>
      </c>
      <c r="H559" s="9">
        <v>25900</v>
      </c>
      <c r="I559" s="9">
        <v>0</v>
      </c>
      <c r="J559" s="9">
        <f t="shared" si="16"/>
        <v>1113700</v>
      </c>
      <c r="K559" s="9">
        <f t="shared" si="17"/>
        <v>1113700</v>
      </c>
      <c r="L559" s="11" t="s">
        <v>76</v>
      </c>
      <c r="M559" s="11" t="s">
        <v>81</v>
      </c>
    </row>
    <row r="560" spans="1:13" x14ac:dyDescent="0.25">
      <c r="A560" s="6">
        <v>550</v>
      </c>
      <c r="B560" s="7">
        <v>44959</v>
      </c>
      <c r="C560" s="8" t="s">
        <v>106</v>
      </c>
      <c r="D560" s="8" t="s">
        <v>73</v>
      </c>
      <c r="E560" s="8" t="s">
        <v>111</v>
      </c>
      <c r="F560" s="8" t="s">
        <v>156</v>
      </c>
      <c r="G560" s="6">
        <v>37</v>
      </c>
      <c r="H560" s="6">
        <v>38800</v>
      </c>
      <c r="I560" s="6">
        <v>15</v>
      </c>
      <c r="J560" s="6">
        <f t="shared" si="16"/>
        <v>1435600</v>
      </c>
      <c r="K560" s="6">
        <f t="shared" si="17"/>
        <v>1220260</v>
      </c>
      <c r="L560" s="8" t="s">
        <v>76</v>
      </c>
      <c r="M560" s="8" t="s">
        <v>91</v>
      </c>
    </row>
    <row r="561" spans="1:13" x14ac:dyDescent="0.25">
      <c r="A561" s="9">
        <v>551</v>
      </c>
      <c r="B561" s="10">
        <v>45428</v>
      </c>
      <c r="C561" s="11" t="s">
        <v>82</v>
      </c>
      <c r="D561" s="11"/>
      <c r="E561" s="11" t="s">
        <v>102</v>
      </c>
      <c r="F561" s="11" t="s">
        <v>110</v>
      </c>
      <c r="G561" s="9">
        <v>15</v>
      </c>
      <c r="H561" s="9">
        <v>20100</v>
      </c>
      <c r="I561" s="9">
        <v>0</v>
      </c>
      <c r="J561" s="9">
        <f t="shared" si="16"/>
        <v>301500</v>
      </c>
      <c r="K561" s="9">
        <f t="shared" si="17"/>
        <v>301500</v>
      </c>
      <c r="L561" s="11" t="s">
        <v>76</v>
      </c>
      <c r="M561" s="11" t="s">
        <v>77</v>
      </c>
    </row>
    <row r="562" spans="1:13" x14ac:dyDescent="0.25">
      <c r="A562" s="6">
        <v>552</v>
      </c>
      <c r="B562" s="7">
        <v>45140</v>
      </c>
      <c r="C562" s="8" t="s">
        <v>119</v>
      </c>
      <c r="D562" s="8" t="s">
        <v>73</v>
      </c>
      <c r="E562" s="8" t="s">
        <v>111</v>
      </c>
      <c r="F562" s="8" t="s">
        <v>192</v>
      </c>
      <c r="G562" s="6">
        <v>48</v>
      </c>
      <c r="H562" s="6">
        <v>94100</v>
      </c>
      <c r="I562" s="6">
        <v>20</v>
      </c>
      <c r="J562" s="6">
        <f t="shared" si="16"/>
        <v>4516800</v>
      </c>
      <c r="K562" s="6">
        <f t="shared" si="17"/>
        <v>3613440</v>
      </c>
      <c r="L562" s="8" t="s">
        <v>125</v>
      </c>
      <c r="M562" s="8" t="s">
        <v>91</v>
      </c>
    </row>
    <row r="563" spans="1:13" x14ac:dyDescent="0.25">
      <c r="A563" s="9">
        <v>553</v>
      </c>
      <c r="B563" s="10">
        <v>45304</v>
      </c>
      <c r="C563" s="11" t="s">
        <v>78</v>
      </c>
      <c r="D563" s="11" t="s">
        <v>93</v>
      </c>
      <c r="E563" s="11" t="s">
        <v>74</v>
      </c>
      <c r="F563" s="11" t="s">
        <v>94</v>
      </c>
      <c r="G563" s="9">
        <v>20</v>
      </c>
      <c r="H563" s="9">
        <v>37900</v>
      </c>
      <c r="I563" s="9">
        <v>10</v>
      </c>
      <c r="J563" s="9">
        <f t="shared" si="16"/>
        <v>758000</v>
      </c>
      <c r="K563" s="9">
        <f t="shared" si="17"/>
        <v>682200</v>
      </c>
      <c r="L563" s="11" t="s">
        <v>174</v>
      </c>
      <c r="M563" s="11" t="s">
        <v>81</v>
      </c>
    </row>
    <row r="564" spans="1:13" x14ac:dyDescent="0.25">
      <c r="A564" s="6">
        <v>554</v>
      </c>
      <c r="B564" s="7">
        <v>45026</v>
      </c>
      <c r="C564" s="8" t="s">
        <v>97</v>
      </c>
      <c r="D564" s="8" t="s">
        <v>109</v>
      </c>
      <c r="E564" s="8" t="s">
        <v>102</v>
      </c>
      <c r="F564" s="8" t="s">
        <v>151</v>
      </c>
      <c r="G564" s="6">
        <v>34</v>
      </c>
      <c r="H564" s="6">
        <v>7100</v>
      </c>
      <c r="I564" s="6">
        <v>10</v>
      </c>
      <c r="J564" s="6">
        <f t="shared" si="16"/>
        <v>241400</v>
      </c>
      <c r="K564" s="6">
        <f t="shared" si="17"/>
        <v>217260</v>
      </c>
      <c r="L564" s="8" t="s">
        <v>86</v>
      </c>
      <c r="M564" s="8" t="s">
        <v>81</v>
      </c>
    </row>
    <row r="565" spans="1:13" x14ac:dyDescent="0.25">
      <c r="A565" s="9">
        <v>555</v>
      </c>
      <c r="B565" s="10">
        <v>45498</v>
      </c>
      <c r="C565" s="11" t="s">
        <v>114</v>
      </c>
      <c r="D565" s="11" t="s">
        <v>73</v>
      </c>
      <c r="E565" s="11" t="s">
        <v>102</v>
      </c>
      <c r="F565" s="11" t="s">
        <v>157</v>
      </c>
      <c r="G565" s="9">
        <v>45</v>
      </c>
      <c r="H565" s="9">
        <v>12800</v>
      </c>
      <c r="I565" s="9">
        <v>0</v>
      </c>
      <c r="J565" s="9">
        <f t="shared" si="16"/>
        <v>576000</v>
      </c>
      <c r="K565" s="9">
        <f t="shared" si="17"/>
        <v>576000</v>
      </c>
      <c r="L565" s="11" t="s">
        <v>86</v>
      </c>
      <c r="M565" s="11" t="s">
        <v>77</v>
      </c>
    </row>
    <row r="566" spans="1:13" x14ac:dyDescent="0.25">
      <c r="A566" s="6">
        <v>556</v>
      </c>
      <c r="B566" s="7">
        <v>45111</v>
      </c>
      <c r="C566" s="8" t="s">
        <v>82</v>
      </c>
      <c r="D566" s="8" t="s">
        <v>83</v>
      </c>
      <c r="E566" s="8" t="s">
        <v>102</v>
      </c>
      <c r="F566" s="8" t="s">
        <v>157</v>
      </c>
      <c r="G566" s="6">
        <v>35</v>
      </c>
      <c r="H566" s="6">
        <v>12800</v>
      </c>
      <c r="I566" s="6">
        <v>0</v>
      </c>
      <c r="J566" s="6">
        <f t="shared" si="16"/>
        <v>448000</v>
      </c>
      <c r="K566" s="6">
        <f t="shared" si="17"/>
        <v>448000</v>
      </c>
      <c r="L566" s="8" t="s">
        <v>125</v>
      </c>
      <c r="M566" s="8" t="s">
        <v>91</v>
      </c>
    </row>
    <row r="567" spans="1:13" x14ac:dyDescent="0.25">
      <c r="A567" s="9">
        <v>557</v>
      </c>
      <c r="B567" s="11" t="s">
        <v>356</v>
      </c>
      <c r="C567" s="11" t="s">
        <v>82</v>
      </c>
      <c r="D567" s="11" t="s">
        <v>117</v>
      </c>
      <c r="E567" s="11" t="s">
        <v>74</v>
      </c>
      <c r="F567" s="11" t="s">
        <v>140</v>
      </c>
      <c r="G567" s="9">
        <v>28</v>
      </c>
      <c r="H567" s="9">
        <v>4900</v>
      </c>
      <c r="I567" s="9">
        <v>10</v>
      </c>
      <c r="J567" s="9">
        <f t="shared" si="16"/>
        <v>137200</v>
      </c>
      <c r="K567" s="9">
        <f t="shared" si="17"/>
        <v>123480</v>
      </c>
      <c r="L567" s="11" t="s">
        <v>86</v>
      </c>
      <c r="M567" s="11" t="s">
        <v>96</v>
      </c>
    </row>
    <row r="568" spans="1:13" x14ac:dyDescent="0.25">
      <c r="A568" s="6">
        <v>558</v>
      </c>
      <c r="B568" s="7">
        <v>45173</v>
      </c>
      <c r="C568" s="8" t="s">
        <v>124</v>
      </c>
      <c r="D568" s="8" t="s">
        <v>93</v>
      </c>
      <c r="E568" s="8" t="s">
        <v>84</v>
      </c>
      <c r="F568" s="8" t="s">
        <v>148</v>
      </c>
      <c r="G568" s="6">
        <v>48</v>
      </c>
      <c r="H568" s="6">
        <v>5200</v>
      </c>
      <c r="I568" s="6">
        <v>5</v>
      </c>
      <c r="J568" s="6">
        <f t="shared" si="16"/>
        <v>249600</v>
      </c>
      <c r="K568" s="6">
        <f t="shared" si="17"/>
        <v>237120</v>
      </c>
      <c r="L568" s="8" t="s">
        <v>76</v>
      </c>
      <c r="M568" s="8" t="s">
        <v>91</v>
      </c>
    </row>
    <row r="569" spans="1:13" x14ac:dyDescent="0.25">
      <c r="A569" s="9">
        <v>559</v>
      </c>
      <c r="B569" s="10">
        <v>45333</v>
      </c>
      <c r="C569" s="11" t="s">
        <v>78</v>
      </c>
      <c r="D569" s="11" t="s">
        <v>73</v>
      </c>
      <c r="E569" s="11" t="s">
        <v>74</v>
      </c>
      <c r="F569" s="11" t="s">
        <v>94</v>
      </c>
      <c r="G569" s="9">
        <v>20</v>
      </c>
      <c r="H569" s="9">
        <v>36000</v>
      </c>
      <c r="I569" s="9">
        <v>0</v>
      </c>
      <c r="J569" s="9">
        <f t="shared" si="16"/>
        <v>720000</v>
      </c>
      <c r="K569" s="9">
        <f t="shared" si="17"/>
        <v>720000</v>
      </c>
      <c r="L569" s="11" t="s">
        <v>76</v>
      </c>
      <c r="M569" s="11" t="s">
        <v>81</v>
      </c>
    </row>
    <row r="570" spans="1:13" x14ac:dyDescent="0.25">
      <c r="A570" s="6">
        <v>560</v>
      </c>
      <c r="B570" s="7">
        <v>45249</v>
      </c>
      <c r="C570" s="8" t="s">
        <v>78</v>
      </c>
      <c r="D570" s="8" t="s">
        <v>117</v>
      </c>
      <c r="E570" s="8" t="s">
        <v>102</v>
      </c>
      <c r="F570" s="8" t="s">
        <v>103</v>
      </c>
      <c r="G570" s="6">
        <v>30</v>
      </c>
      <c r="H570" s="6">
        <v>9100</v>
      </c>
      <c r="I570" s="6">
        <v>0</v>
      </c>
      <c r="J570" s="6">
        <f t="shared" si="16"/>
        <v>273000</v>
      </c>
      <c r="K570" s="6">
        <f t="shared" si="17"/>
        <v>273000</v>
      </c>
      <c r="L570" s="8" t="s">
        <v>76</v>
      </c>
      <c r="M570" s="8" t="s">
        <v>81</v>
      </c>
    </row>
    <row r="571" spans="1:13" x14ac:dyDescent="0.25">
      <c r="A571" s="9">
        <v>561</v>
      </c>
      <c r="B571" s="11" t="s">
        <v>357</v>
      </c>
      <c r="C571" s="11" t="s">
        <v>124</v>
      </c>
      <c r="D571" s="11" t="s">
        <v>109</v>
      </c>
      <c r="E571" s="11" t="s">
        <v>84</v>
      </c>
      <c r="F571" s="11" t="s">
        <v>134</v>
      </c>
      <c r="G571" s="9">
        <v>6</v>
      </c>
      <c r="H571" s="9">
        <v>10600</v>
      </c>
      <c r="I571" s="9">
        <v>15</v>
      </c>
      <c r="J571" s="9">
        <f t="shared" si="16"/>
        <v>63600</v>
      </c>
      <c r="K571" s="9">
        <f t="shared" si="17"/>
        <v>54060</v>
      </c>
      <c r="L571" s="11" t="s">
        <v>76</v>
      </c>
      <c r="M571" s="11" t="s">
        <v>81</v>
      </c>
    </row>
    <row r="572" spans="1:13" x14ac:dyDescent="0.25">
      <c r="A572" s="6">
        <v>562</v>
      </c>
      <c r="B572" s="7">
        <v>45006</v>
      </c>
      <c r="C572" s="8" t="s">
        <v>88</v>
      </c>
      <c r="D572" s="8" t="s">
        <v>83</v>
      </c>
      <c r="E572" s="8" t="s">
        <v>173</v>
      </c>
      <c r="F572" s="8" t="s">
        <v>85</v>
      </c>
      <c r="G572" s="6">
        <v>45</v>
      </c>
      <c r="H572" s="6">
        <v>6000</v>
      </c>
      <c r="I572" s="6">
        <v>10</v>
      </c>
      <c r="J572" s="6">
        <f t="shared" si="16"/>
        <v>270000</v>
      </c>
      <c r="K572" s="6">
        <f t="shared" si="17"/>
        <v>243000</v>
      </c>
      <c r="L572" s="8" t="s">
        <v>86</v>
      </c>
      <c r="M572" s="8" t="s">
        <v>77</v>
      </c>
    </row>
    <row r="573" spans="1:13" x14ac:dyDescent="0.25">
      <c r="A573" s="9">
        <v>563</v>
      </c>
      <c r="B573" s="11" t="s">
        <v>358</v>
      </c>
      <c r="C573" s="11" t="s">
        <v>101</v>
      </c>
      <c r="D573" s="11" t="s">
        <v>73</v>
      </c>
      <c r="E573" s="11" t="s">
        <v>102</v>
      </c>
      <c r="F573" s="11" t="s">
        <v>151</v>
      </c>
      <c r="G573" s="9">
        <v>4</v>
      </c>
      <c r="H573" s="9">
        <v>6900</v>
      </c>
      <c r="I573" s="9">
        <v>0</v>
      </c>
      <c r="J573" s="9">
        <f t="shared" si="16"/>
        <v>27600</v>
      </c>
      <c r="K573" s="9">
        <f t="shared" si="17"/>
        <v>27600</v>
      </c>
      <c r="L573" s="11" t="s">
        <v>107</v>
      </c>
      <c r="M573" s="11" t="s">
        <v>96</v>
      </c>
    </row>
    <row r="574" spans="1:13" x14ac:dyDescent="0.25">
      <c r="A574" s="6">
        <v>564</v>
      </c>
      <c r="B574" s="7">
        <v>45371</v>
      </c>
      <c r="C574" s="8" t="s">
        <v>114</v>
      </c>
      <c r="D574" s="8" t="s">
        <v>73</v>
      </c>
      <c r="E574" s="8" t="s">
        <v>84</v>
      </c>
      <c r="F574" s="8" t="s">
        <v>206</v>
      </c>
      <c r="G574" s="6">
        <v>41</v>
      </c>
      <c r="H574" s="6">
        <v>14800</v>
      </c>
      <c r="I574" s="6">
        <v>10</v>
      </c>
      <c r="J574" s="6">
        <f t="shared" si="16"/>
        <v>606800</v>
      </c>
      <c r="K574" s="6">
        <f t="shared" si="17"/>
        <v>546120</v>
      </c>
      <c r="L574" s="8" t="s">
        <v>76</v>
      </c>
      <c r="M574" s="8" t="s">
        <v>96</v>
      </c>
    </row>
    <row r="575" spans="1:13" x14ac:dyDescent="0.25">
      <c r="A575" s="9">
        <v>565</v>
      </c>
      <c r="B575" s="10">
        <v>44969</v>
      </c>
      <c r="C575" s="11" t="s">
        <v>88</v>
      </c>
      <c r="D575" s="11" t="s">
        <v>93</v>
      </c>
      <c r="E575" s="11" t="s">
        <v>102</v>
      </c>
      <c r="F575" s="11" t="s">
        <v>103</v>
      </c>
      <c r="G575" s="9">
        <v>45</v>
      </c>
      <c r="H575" s="9">
        <v>9600</v>
      </c>
      <c r="I575" s="9">
        <v>15</v>
      </c>
      <c r="J575" s="9">
        <f t="shared" si="16"/>
        <v>432000</v>
      </c>
      <c r="K575" s="9">
        <f t="shared" si="17"/>
        <v>367200</v>
      </c>
      <c r="L575" s="11" t="s">
        <v>76</v>
      </c>
      <c r="M575" s="11" t="s">
        <v>77</v>
      </c>
    </row>
    <row r="576" spans="1:13" x14ac:dyDescent="0.25">
      <c r="A576" s="6">
        <v>566</v>
      </c>
      <c r="B576" s="7">
        <v>45329</v>
      </c>
      <c r="C576" s="8" t="s">
        <v>119</v>
      </c>
      <c r="D576" s="8" t="s">
        <v>93</v>
      </c>
      <c r="E576" s="8" t="s">
        <v>102</v>
      </c>
      <c r="F576" s="8" t="s">
        <v>137</v>
      </c>
      <c r="G576" s="6">
        <v>19</v>
      </c>
      <c r="H576" s="6" t="s">
        <v>359</v>
      </c>
      <c r="I576" s="6">
        <v>0</v>
      </c>
      <c r="J576" s="6" t="e">
        <f t="shared" si="16"/>
        <v>#VALUE!</v>
      </c>
      <c r="K576" s="6" t="e">
        <f t="shared" si="17"/>
        <v>#VALUE!</v>
      </c>
      <c r="L576" s="8" t="s">
        <v>86</v>
      </c>
      <c r="M576" s="8" t="s">
        <v>81</v>
      </c>
    </row>
    <row r="577" spans="1:13" x14ac:dyDescent="0.25">
      <c r="A577" s="9">
        <v>567</v>
      </c>
      <c r="B577" s="10">
        <v>45271</v>
      </c>
      <c r="C577" s="11" t="s">
        <v>97</v>
      </c>
      <c r="D577" s="11" t="s">
        <v>83</v>
      </c>
      <c r="E577" s="11" t="s">
        <v>102</v>
      </c>
      <c r="F577" s="11" t="s">
        <v>138</v>
      </c>
      <c r="G577" s="9">
        <v>17</v>
      </c>
      <c r="H577" s="9">
        <v>6700</v>
      </c>
      <c r="I577" s="9">
        <v>20</v>
      </c>
      <c r="J577" s="9">
        <f t="shared" si="16"/>
        <v>113900</v>
      </c>
      <c r="K577" s="9">
        <f t="shared" si="17"/>
        <v>91120</v>
      </c>
      <c r="L577" s="11" t="s">
        <v>76</v>
      </c>
      <c r="M577" s="11"/>
    </row>
    <row r="578" spans="1:13" x14ac:dyDescent="0.25">
      <c r="A578" s="6">
        <v>568</v>
      </c>
      <c r="B578" s="7">
        <v>45641</v>
      </c>
      <c r="C578" s="8" t="s">
        <v>108</v>
      </c>
      <c r="D578" s="8" t="s">
        <v>109</v>
      </c>
      <c r="E578" s="8" t="s">
        <v>111</v>
      </c>
      <c r="F578" s="8" t="s">
        <v>156</v>
      </c>
      <c r="G578" s="6">
        <v>42</v>
      </c>
      <c r="H578" s="6">
        <v>42900</v>
      </c>
      <c r="I578" s="6">
        <v>0</v>
      </c>
      <c r="J578" s="6">
        <f t="shared" ref="J578:J641" si="18">G578*H578</f>
        <v>1801800</v>
      </c>
      <c r="K578" s="6">
        <f t="shared" ref="K578:K641" si="19">J578*(1-I578/100)</f>
        <v>1801800</v>
      </c>
      <c r="L578" s="8" t="s">
        <v>76</v>
      </c>
      <c r="M578" s="8" t="s">
        <v>81</v>
      </c>
    </row>
    <row r="579" spans="1:13" x14ac:dyDescent="0.25">
      <c r="A579" s="9">
        <v>569</v>
      </c>
      <c r="B579" s="11" t="s">
        <v>360</v>
      </c>
      <c r="C579" s="11" t="s">
        <v>101</v>
      </c>
      <c r="D579" s="11" t="s">
        <v>186</v>
      </c>
      <c r="E579" s="11" t="s">
        <v>74</v>
      </c>
      <c r="F579" s="11" t="s">
        <v>118</v>
      </c>
      <c r="G579" s="9">
        <v>27</v>
      </c>
      <c r="H579" s="9">
        <v>26000</v>
      </c>
      <c r="I579" s="9">
        <v>0</v>
      </c>
      <c r="J579" s="9">
        <f t="shared" si="18"/>
        <v>702000</v>
      </c>
      <c r="K579" s="9">
        <f t="shared" si="19"/>
        <v>702000</v>
      </c>
      <c r="L579" s="11" t="s">
        <v>76</v>
      </c>
      <c r="M579" s="11" t="s">
        <v>96</v>
      </c>
    </row>
    <row r="580" spans="1:13" x14ac:dyDescent="0.25">
      <c r="A580" s="6">
        <v>570</v>
      </c>
      <c r="B580" s="7">
        <v>45255</v>
      </c>
      <c r="C580" s="8" t="s">
        <v>88</v>
      </c>
      <c r="D580" s="8" t="s">
        <v>93</v>
      </c>
      <c r="E580" s="8" t="s">
        <v>79</v>
      </c>
      <c r="F580" s="8" t="s">
        <v>179</v>
      </c>
      <c r="G580" s="6">
        <v>23</v>
      </c>
      <c r="H580" s="6">
        <v>2400</v>
      </c>
      <c r="I580" s="6">
        <v>10</v>
      </c>
      <c r="J580" s="6">
        <f t="shared" si="18"/>
        <v>55200</v>
      </c>
      <c r="K580" s="6">
        <f t="shared" si="19"/>
        <v>49680</v>
      </c>
      <c r="L580" s="8" t="s">
        <v>76</v>
      </c>
      <c r="M580" s="8" t="s">
        <v>91</v>
      </c>
    </row>
    <row r="581" spans="1:13" x14ac:dyDescent="0.25">
      <c r="A581" s="9">
        <v>571</v>
      </c>
      <c r="B581" s="10">
        <v>45076</v>
      </c>
      <c r="C581" s="11" t="s">
        <v>119</v>
      </c>
      <c r="D581" s="11" t="s">
        <v>73</v>
      </c>
      <c r="E581" s="11" t="s">
        <v>173</v>
      </c>
      <c r="F581" s="11" t="s">
        <v>90</v>
      </c>
      <c r="G581" s="9">
        <v>10</v>
      </c>
      <c r="H581" s="9">
        <v>1900</v>
      </c>
      <c r="I581" s="9">
        <v>0</v>
      </c>
      <c r="J581" s="9">
        <f t="shared" si="18"/>
        <v>19000</v>
      </c>
      <c r="K581" s="9">
        <f t="shared" si="19"/>
        <v>19000</v>
      </c>
      <c r="L581" s="11" t="s">
        <v>86</v>
      </c>
      <c r="M581" s="11" t="s">
        <v>77</v>
      </c>
    </row>
    <row r="582" spans="1:13" x14ac:dyDescent="0.25">
      <c r="A582" s="6">
        <v>572</v>
      </c>
      <c r="B582" s="7">
        <v>44982</v>
      </c>
      <c r="C582" s="8" t="s">
        <v>106</v>
      </c>
      <c r="D582" s="8" t="s">
        <v>93</v>
      </c>
      <c r="E582" s="8" t="s">
        <v>84</v>
      </c>
      <c r="F582" s="8" t="s">
        <v>134</v>
      </c>
      <c r="G582" s="6">
        <v>45</v>
      </c>
      <c r="H582" s="6">
        <v>8700</v>
      </c>
      <c r="I582" s="6">
        <v>5</v>
      </c>
      <c r="J582" s="6">
        <f t="shared" si="18"/>
        <v>391500</v>
      </c>
      <c r="K582" s="6">
        <f t="shared" si="19"/>
        <v>371925</v>
      </c>
      <c r="L582" s="8" t="s">
        <v>86</v>
      </c>
      <c r="M582" s="8" t="s">
        <v>96</v>
      </c>
    </row>
    <row r="583" spans="1:13" x14ac:dyDescent="0.25">
      <c r="A583" s="9">
        <v>573</v>
      </c>
      <c r="B583" s="10">
        <v>45409</v>
      </c>
      <c r="C583" s="11" t="s">
        <v>78</v>
      </c>
      <c r="D583" s="11" t="s">
        <v>117</v>
      </c>
      <c r="E583" s="11" t="s">
        <v>84</v>
      </c>
      <c r="F583" s="11" t="s">
        <v>90</v>
      </c>
      <c r="G583" s="9">
        <v>34</v>
      </c>
      <c r="H583" s="9">
        <v>1700</v>
      </c>
      <c r="I583" s="9">
        <v>10</v>
      </c>
      <c r="J583" s="9">
        <f t="shared" si="18"/>
        <v>57800</v>
      </c>
      <c r="K583" s="9">
        <f t="shared" si="19"/>
        <v>52020</v>
      </c>
      <c r="L583" s="11" t="s">
        <v>86</v>
      </c>
      <c r="M583" s="11"/>
    </row>
    <row r="584" spans="1:13" x14ac:dyDescent="0.25">
      <c r="A584" s="6">
        <v>574</v>
      </c>
      <c r="B584" s="7">
        <v>45071</v>
      </c>
      <c r="C584" s="8" t="s">
        <v>78</v>
      </c>
      <c r="D584" s="8" t="s">
        <v>83</v>
      </c>
      <c r="E584" s="8" t="s">
        <v>213</v>
      </c>
      <c r="F584" s="8" t="s">
        <v>138</v>
      </c>
      <c r="G584" s="6">
        <v>4</v>
      </c>
      <c r="H584" s="6">
        <v>6300</v>
      </c>
      <c r="I584" s="6">
        <v>0</v>
      </c>
      <c r="J584" s="6">
        <f t="shared" si="18"/>
        <v>25200</v>
      </c>
      <c r="K584" s="6">
        <f t="shared" si="19"/>
        <v>25200</v>
      </c>
      <c r="L584" s="8" t="s">
        <v>229</v>
      </c>
      <c r="M584" s="8" t="s">
        <v>96</v>
      </c>
    </row>
    <row r="585" spans="1:13" x14ac:dyDescent="0.25">
      <c r="A585" s="9">
        <v>575</v>
      </c>
      <c r="B585" s="10">
        <v>45403</v>
      </c>
      <c r="C585" s="11" t="s">
        <v>78</v>
      </c>
      <c r="D585" s="11" t="s">
        <v>73</v>
      </c>
      <c r="E585" s="11" t="s">
        <v>111</v>
      </c>
      <c r="F585" s="11" t="s">
        <v>135</v>
      </c>
      <c r="G585" s="9">
        <v>43</v>
      </c>
      <c r="H585" s="9">
        <v>122600</v>
      </c>
      <c r="I585" s="9">
        <v>0</v>
      </c>
      <c r="J585" s="9">
        <f t="shared" si="18"/>
        <v>5271800</v>
      </c>
      <c r="K585" s="9">
        <f t="shared" si="19"/>
        <v>5271800</v>
      </c>
      <c r="L585" s="11" t="s">
        <v>76</v>
      </c>
      <c r="M585" s="11" t="s">
        <v>77</v>
      </c>
    </row>
    <row r="586" spans="1:13" x14ac:dyDescent="0.25">
      <c r="A586" s="6">
        <v>576</v>
      </c>
      <c r="B586" s="7">
        <v>45226</v>
      </c>
      <c r="C586" s="8" t="s">
        <v>114</v>
      </c>
      <c r="D586" s="8" t="s">
        <v>104</v>
      </c>
      <c r="E586" s="8" t="s">
        <v>111</v>
      </c>
      <c r="F586" s="8" t="s">
        <v>112</v>
      </c>
      <c r="G586" s="6">
        <v>32</v>
      </c>
      <c r="H586" s="6">
        <v>73200</v>
      </c>
      <c r="I586" s="6"/>
      <c r="J586" s="6">
        <f t="shared" si="18"/>
        <v>2342400</v>
      </c>
      <c r="K586" s="6">
        <f t="shared" si="19"/>
        <v>2342400</v>
      </c>
      <c r="L586" s="8" t="s">
        <v>107</v>
      </c>
      <c r="M586" s="8" t="s">
        <v>77</v>
      </c>
    </row>
    <row r="587" spans="1:13" x14ac:dyDescent="0.25">
      <c r="A587" s="9">
        <v>577</v>
      </c>
      <c r="B587" s="10">
        <v>45130</v>
      </c>
      <c r="C587" s="11" t="s">
        <v>82</v>
      </c>
      <c r="D587" s="11" t="s">
        <v>83</v>
      </c>
      <c r="E587" s="11" t="s">
        <v>102</v>
      </c>
      <c r="F587" s="11" t="s">
        <v>138</v>
      </c>
      <c r="G587" s="9">
        <v>34</v>
      </c>
      <c r="H587" s="9">
        <v>5900</v>
      </c>
      <c r="I587" s="9">
        <v>5</v>
      </c>
      <c r="J587" s="9">
        <f t="shared" si="18"/>
        <v>200600</v>
      </c>
      <c r="K587" s="9">
        <f t="shared" si="19"/>
        <v>190570</v>
      </c>
      <c r="L587" s="11" t="s">
        <v>76</v>
      </c>
      <c r="M587" s="11" t="s">
        <v>91</v>
      </c>
    </row>
    <row r="588" spans="1:13" x14ac:dyDescent="0.25">
      <c r="A588" s="6">
        <v>578</v>
      </c>
      <c r="B588" s="7">
        <v>45087</v>
      </c>
      <c r="C588" s="8" t="s">
        <v>78</v>
      </c>
      <c r="D588" s="8" t="s">
        <v>89</v>
      </c>
      <c r="E588" s="8" t="s">
        <v>74</v>
      </c>
      <c r="F588" s="8" t="s">
        <v>212</v>
      </c>
      <c r="G588" s="6">
        <v>16</v>
      </c>
      <c r="H588" s="6" t="s">
        <v>361</v>
      </c>
      <c r="I588" s="6">
        <v>20</v>
      </c>
      <c r="J588" s="6" t="e">
        <f t="shared" si="18"/>
        <v>#VALUE!</v>
      </c>
      <c r="K588" s="6" t="e">
        <f t="shared" si="19"/>
        <v>#VALUE!</v>
      </c>
      <c r="L588" s="8" t="s">
        <v>125</v>
      </c>
      <c r="M588" s="8" t="s">
        <v>96</v>
      </c>
    </row>
    <row r="589" spans="1:13" x14ac:dyDescent="0.25">
      <c r="A589" s="9">
        <v>579</v>
      </c>
      <c r="B589" s="11" t="s">
        <v>362</v>
      </c>
      <c r="C589" s="11" t="s">
        <v>101</v>
      </c>
      <c r="D589" s="11" t="s">
        <v>83</v>
      </c>
      <c r="E589" s="11" t="s">
        <v>79</v>
      </c>
      <c r="F589" s="11" t="s">
        <v>179</v>
      </c>
      <c r="G589" s="9">
        <v>22</v>
      </c>
      <c r="H589" s="9">
        <v>2400</v>
      </c>
      <c r="I589" s="9">
        <v>0</v>
      </c>
      <c r="J589" s="9">
        <f t="shared" si="18"/>
        <v>52800</v>
      </c>
      <c r="K589" s="9">
        <f t="shared" si="19"/>
        <v>52800</v>
      </c>
      <c r="L589" s="11" t="s">
        <v>363</v>
      </c>
      <c r="M589" s="11" t="s">
        <v>81</v>
      </c>
    </row>
    <row r="590" spans="1:13" x14ac:dyDescent="0.25">
      <c r="A590" s="6">
        <v>580</v>
      </c>
      <c r="B590" s="8" t="s">
        <v>364</v>
      </c>
      <c r="C590" s="8" t="s">
        <v>82</v>
      </c>
      <c r="D590" s="8" t="s">
        <v>93</v>
      </c>
      <c r="E590" s="8" t="s">
        <v>84</v>
      </c>
      <c r="F590" s="8" t="s">
        <v>148</v>
      </c>
      <c r="G590" s="6">
        <v>10</v>
      </c>
      <c r="H590" s="6">
        <v>4600</v>
      </c>
      <c r="I590" s="6">
        <v>10</v>
      </c>
      <c r="J590" s="6">
        <f t="shared" si="18"/>
        <v>46000</v>
      </c>
      <c r="K590" s="6">
        <f t="shared" si="19"/>
        <v>41400</v>
      </c>
      <c r="L590" s="8" t="s">
        <v>76</v>
      </c>
      <c r="M590" s="8" t="s">
        <v>96</v>
      </c>
    </row>
    <row r="591" spans="1:13" x14ac:dyDescent="0.25">
      <c r="A591" s="9">
        <v>116</v>
      </c>
      <c r="B591" s="10">
        <v>45619</v>
      </c>
      <c r="C591" s="11" t="s">
        <v>114</v>
      </c>
      <c r="D591" s="11" t="s">
        <v>93</v>
      </c>
      <c r="E591" s="11" t="s">
        <v>74</v>
      </c>
      <c r="F591" s="11" t="s">
        <v>118</v>
      </c>
      <c r="G591" s="9">
        <v>1</v>
      </c>
      <c r="H591" s="9">
        <v>30700</v>
      </c>
      <c r="I591" s="9">
        <v>5</v>
      </c>
      <c r="J591" s="9">
        <f t="shared" si="18"/>
        <v>30700</v>
      </c>
      <c r="K591" s="9">
        <f t="shared" si="19"/>
        <v>29165</v>
      </c>
      <c r="L591" s="11" t="s">
        <v>76</v>
      </c>
      <c r="M591" s="11" t="s">
        <v>77</v>
      </c>
    </row>
    <row r="592" spans="1:13" x14ac:dyDescent="0.25">
      <c r="A592" s="6">
        <v>581</v>
      </c>
      <c r="B592" s="8" t="s">
        <v>365</v>
      </c>
      <c r="C592" s="8" t="s">
        <v>119</v>
      </c>
      <c r="D592" s="8" t="s">
        <v>93</v>
      </c>
      <c r="E592" s="8" t="s">
        <v>84</v>
      </c>
      <c r="F592" s="8" t="s">
        <v>90</v>
      </c>
      <c r="G592" s="6">
        <v>38</v>
      </c>
      <c r="H592" s="6" t="s">
        <v>366</v>
      </c>
      <c r="I592" s="6">
        <v>20</v>
      </c>
      <c r="J592" s="6" t="e">
        <f t="shared" si="18"/>
        <v>#VALUE!</v>
      </c>
      <c r="K592" s="6" t="e">
        <f t="shared" si="19"/>
        <v>#VALUE!</v>
      </c>
      <c r="L592" s="8" t="s">
        <v>76</v>
      </c>
      <c r="M592" s="8" t="s">
        <v>81</v>
      </c>
    </row>
    <row r="593" spans="1:13" x14ac:dyDescent="0.25">
      <c r="A593" s="9">
        <v>582</v>
      </c>
      <c r="B593" s="10">
        <v>45068</v>
      </c>
      <c r="C593" s="11" t="s">
        <v>101</v>
      </c>
      <c r="D593" s="11" t="s">
        <v>93</v>
      </c>
      <c r="E593" s="11" t="s">
        <v>176</v>
      </c>
      <c r="F593" s="11" t="s">
        <v>148</v>
      </c>
      <c r="G593" s="9">
        <v>50</v>
      </c>
      <c r="H593" s="9">
        <v>5500</v>
      </c>
      <c r="I593" s="9">
        <v>0</v>
      </c>
      <c r="J593" s="9">
        <f t="shared" si="18"/>
        <v>275000</v>
      </c>
      <c r="K593" s="9">
        <f t="shared" si="19"/>
        <v>275000</v>
      </c>
      <c r="L593" s="11" t="s">
        <v>76</v>
      </c>
      <c r="M593" s="11" t="s">
        <v>81</v>
      </c>
    </row>
    <row r="594" spans="1:13" x14ac:dyDescent="0.25">
      <c r="A594" s="6">
        <v>583</v>
      </c>
      <c r="B594" s="7">
        <v>44996</v>
      </c>
      <c r="C594" s="8" t="s">
        <v>82</v>
      </c>
      <c r="D594" s="8" t="s">
        <v>93</v>
      </c>
      <c r="E594" s="8" t="s">
        <v>367</v>
      </c>
      <c r="F594" s="8" t="s">
        <v>122</v>
      </c>
      <c r="G594" s="6">
        <v>10</v>
      </c>
      <c r="H594" s="6">
        <v>17600</v>
      </c>
      <c r="I594" s="6">
        <v>5</v>
      </c>
      <c r="J594" s="6">
        <f t="shared" si="18"/>
        <v>176000</v>
      </c>
      <c r="K594" s="6">
        <f t="shared" si="19"/>
        <v>167200</v>
      </c>
      <c r="L594" s="8" t="s">
        <v>86</v>
      </c>
      <c r="M594" s="8" t="s">
        <v>96</v>
      </c>
    </row>
    <row r="595" spans="1:13" x14ac:dyDescent="0.25">
      <c r="A595" s="9">
        <v>584</v>
      </c>
      <c r="B595" s="10">
        <v>45348</v>
      </c>
      <c r="C595" s="11" t="s">
        <v>101</v>
      </c>
      <c r="D595" s="11" t="s">
        <v>83</v>
      </c>
      <c r="E595" s="11" t="s">
        <v>74</v>
      </c>
      <c r="F595" s="11" t="s">
        <v>142</v>
      </c>
      <c r="G595" s="9">
        <v>7</v>
      </c>
      <c r="H595" s="9">
        <v>13100</v>
      </c>
      <c r="I595" s="9">
        <v>20</v>
      </c>
      <c r="J595" s="9">
        <f t="shared" si="18"/>
        <v>91700</v>
      </c>
      <c r="K595" s="9">
        <f t="shared" si="19"/>
        <v>73360</v>
      </c>
      <c r="L595" s="11" t="s">
        <v>76</v>
      </c>
      <c r="M595" s="11" t="s">
        <v>77</v>
      </c>
    </row>
    <row r="596" spans="1:13" x14ac:dyDescent="0.25">
      <c r="A596" s="6">
        <v>585</v>
      </c>
      <c r="B596" s="7">
        <v>45553</v>
      </c>
      <c r="C596" s="8" t="s">
        <v>124</v>
      </c>
      <c r="D596" s="8" t="s">
        <v>117</v>
      </c>
      <c r="E596" s="8" t="s">
        <v>102</v>
      </c>
      <c r="F596" s="8" t="s">
        <v>181</v>
      </c>
      <c r="G596" s="6">
        <v>15</v>
      </c>
      <c r="H596" s="6">
        <v>4700</v>
      </c>
      <c r="I596" s="6">
        <v>0</v>
      </c>
      <c r="J596" s="6">
        <f t="shared" si="18"/>
        <v>70500</v>
      </c>
      <c r="K596" s="6">
        <f t="shared" si="19"/>
        <v>70500</v>
      </c>
      <c r="L596" s="8" t="s">
        <v>86</v>
      </c>
      <c r="M596" s="8" t="s">
        <v>96</v>
      </c>
    </row>
    <row r="597" spans="1:13" x14ac:dyDescent="0.25">
      <c r="A597" s="9">
        <v>586</v>
      </c>
      <c r="B597" s="10">
        <v>45631</v>
      </c>
      <c r="C597" s="11" t="s">
        <v>119</v>
      </c>
      <c r="D597" s="11" t="s">
        <v>109</v>
      </c>
      <c r="E597" s="11" t="s">
        <v>213</v>
      </c>
      <c r="F597" s="11" t="s">
        <v>197</v>
      </c>
      <c r="G597" s="9">
        <v>24</v>
      </c>
      <c r="H597" s="9">
        <v>4100</v>
      </c>
      <c r="I597" s="9">
        <v>5</v>
      </c>
      <c r="J597" s="9">
        <f t="shared" si="18"/>
        <v>98400</v>
      </c>
      <c r="K597" s="9">
        <f t="shared" si="19"/>
        <v>93480</v>
      </c>
      <c r="L597" s="11" t="s">
        <v>76</v>
      </c>
      <c r="M597" s="11" t="s">
        <v>91</v>
      </c>
    </row>
    <row r="598" spans="1:13" x14ac:dyDescent="0.25">
      <c r="A598" s="6">
        <v>587</v>
      </c>
      <c r="B598" s="7">
        <v>45412</v>
      </c>
      <c r="C598" s="8" t="s">
        <v>108</v>
      </c>
      <c r="D598" s="8" t="s">
        <v>109</v>
      </c>
      <c r="E598" s="8" t="s">
        <v>84</v>
      </c>
      <c r="F598" s="8" t="s">
        <v>90</v>
      </c>
      <c r="G598" s="6">
        <v>49</v>
      </c>
      <c r="H598" s="6">
        <v>1600</v>
      </c>
      <c r="I598" s="6">
        <v>5</v>
      </c>
      <c r="J598" s="6">
        <f t="shared" si="18"/>
        <v>78400</v>
      </c>
      <c r="K598" s="6">
        <f t="shared" si="19"/>
        <v>74480</v>
      </c>
      <c r="L598" s="8" t="s">
        <v>125</v>
      </c>
      <c r="M598" s="8" t="s">
        <v>96</v>
      </c>
    </row>
    <row r="599" spans="1:13" x14ac:dyDescent="0.25">
      <c r="A599" s="9">
        <v>588</v>
      </c>
      <c r="B599" s="10">
        <v>45154</v>
      </c>
      <c r="C599" s="11" t="s">
        <v>106</v>
      </c>
      <c r="D599" s="11" t="s">
        <v>109</v>
      </c>
      <c r="E599" s="11" t="s">
        <v>368</v>
      </c>
      <c r="F599" s="11" t="s">
        <v>122</v>
      </c>
      <c r="G599" s="9">
        <v>29</v>
      </c>
      <c r="H599" s="9">
        <v>20400</v>
      </c>
      <c r="I599" s="9">
        <v>15</v>
      </c>
      <c r="J599" s="9">
        <f t="shared" si="18"/>
        <v>591600</v>
      </c>
      <c r="K599" s="9">
        <f t="shared" si="19"/>
        <v>502860</v>
      </c>
      <c r="L599" s="11" t="s">
        <v>107</v>
      </c>
      <c r="M599" s="11" t="s">
        <v>91</v>
      </c>
    </row>
    <row r="600" spans="1:13" x14ac:dyDescent="0.25">
      <c r="A600" s="6">
        <v>589</v>
      </c>
      <c r="B600" s="7">
        <v>45259</v>
      </c>
      <c r="C600" s="8" t="s">
        <v>119</v>
      </c>
      <c r="D600" s="8" t="s">
        <v>109</v>
      </c>
      <c r="E600" s="8" t="s">
        <v>111</v>
      </c>
      <c r="F600" s="8" t="s">
        <v>165</v>
      </c>
      <c r="G600" s="6">
        <v>39</v>
      </c>
      <c r="H600" s="6">
        <v>19700</v>
      </c>
      <c r="I600" s="6">
        <v>15</v>
      </c>
      <c r="J600" s="6">
        <f t="shared" si="18"/>
        <v>768300</v>
      </c>
      <c r="K600" s="6">
        <f t="shared" si="19"/>
        <v>653055</v>
      </c>
      <c r="L600" s="8" t="s">
        <v>86</v>
      </c>
      <c r="M600" s="8" t="s">
        <v>91</v>
      </c>
    </row>
    <row r="601" spans="1:13" x14ac:dyDescent="0.25">
      <c r="A601" s="9">
        <v>590</v>
      </c>
      <c r="B601" s="10">
        <v>45247</v>
      </c>
      <c r="C601" s="11" t="s">
        <v>114</v>
      </c>
      <c r="D601" s="11" t="s">
        <v>93</v>
      </c>
      <c r="E601" s="11" t="s">
        <v>102</v>
      </c>
      <c r="F601" s="11" t="s">
        <v>138</v>
      </c>
      <c r="G601" s="9">
        <v>29</v>
      </c>
      <c r="H601" s="9">
        <v>6700</v>
      </c>
      <c r="I601" s="9"/>
      <c r="J601" s="9">
        <f t="shared" si="18"/>
        <v>194300</v>
      </c>
      <c r="K601" s="9">
        <f t="shared" si="19"/>
        <v>194300</v>
      </c>
      <c r="L601" s="11" t="s">
        <v>76</v>
      </c>
      <c r="M601" s="11" t="s">
        <v>77</v>
      </c>
    </row>
    <row r="602" spans="1:13" x14ac:dyDescent="0.25">
      <c r="A602" s="6">
        <v>591</v>
      </c>
      <c r="B602" s="7">
        <v>45458</v>
      </c>
      <c r="C602" s="8" t="s">
        <v>82</v>
      </c>
      <c r="D602" s="8" t="s">
        <v>83</v>
      </c>
      <c r="E602" s="8" t="s">
        <v>79</v>
      </c>
      <c r="F602" s="8" t="s">
        <v>115</v>
      </c>
      <c r="G602" s="6">
        <v>41</v>
      </c>
      <c r="H602" s="6">
        <v>9300</v>
      </c>
      <c r="I602" s="6">
        <v>0</v>
      </c>
      <c r="J602" s="6">
        <f t="shared" si="18"/>
        <v>381300</v>
      </c>
      <c r="K602" s="6">
        <f t="shared" si="19"/>
        <v>381300</v>
      </c>
      <c r="L602" s="8" t="s">
        <v>125</v>
      </c>
      <c r="M602" s="8" t="s">
        <v>81</v>
      </c>
    </row>
    <row r="603" spans="1:13" x14ac:dyDescent="0.25">
      <c r="A603" s="9">
        <v>592</v>
      </c>
      <c r="B603" s="10">
        <v>45377</v>
      </c>
      <c r="C603" s="11" t="s">
        <v>114</v>
      </c>
      <c r="D603" s="11" t="s">
        <v>117</v>
      </c>
      <c r="E603" s="11" t="s">
        <v>74</v>
      </c>
      <c r="F603" s="11" t="s">
        <v>99</v>
      </c>
      <c r="G603" s="9">
        <v>19</v>
      </c>
      <c r="H603" s="9">
        <v>3300</v>
      </c>
      <c r="I603" s="9">
        <v>15</v>
      </c>
      <c r="J603" s="9">
        <f t="shared" si="18"/>
        <v>62700</v>
      </c>
      <c r="K603" s="9">
        <f t="shared" si="19"/>
        <v>53295</v>
      </c>
      <c r="L603" s="11" t="s">
        <v>76</v>
      </c>
      <c r="M603" s="11" t="s">
        <v>77</v>
      </c>
    </row>
    <row r="604" spans="1:13" x14ac:dyDescent="0.25">
      <c r="A604" s="6">
        <v>593</v>
      </c>
      <c r="B604" s="7">
        <v>45456</v>
      </c>
      <c r="C604" s="8" t="s">
        <v>108</v>
      </c>
      <c r="D604" s="8" t="s">
        <v>83</v>
      </c>
      <c r="E604" s="8" t="s">
        <v>111</v>
      </c>
      <c r="F604" s="8" t="s">
        <v>112</v>
      </c>
      <c r="G604" s="6">
        <v>8</v>
      </c>
      <c r="H604" s="6">
        <v>70200</v>
      </c>
      <c r="I604" s="6">
        <v>5</v>
      </c>
      <c r="J604" s="6">
        <f t="shared" si="18"/>
        <v>561600</v>
      </c>
      <c r="K604" s="6">
        <f t="shared" si="19"/>
        <v>533520</v>
      </c>
      <c r="L604" s="8" t="s">
        <v>76</v>
      </c>
      <c r="M604" s="8"/>
    </row>
    <row r="605" spans="1:13" x14ac:dyDescent="0.25">
      <c r="A605" s="9">
        <v>594</v>
      </c>
      <c r="B605" s="10">
        <v>45350</v>
      </c>
      <c r="C605" s="11" t="s">
        <v>88</v>
      </c>
      <c r="D605" s="11" t="s">
        <v>83</v>
      </c>
      <c r="E605" s="11" t="s">
        <v>79</v>
      </c>
      <c r="F605" s="11" t="s">
        <v>122</v>
      </c>
      <c r="G605" s="9">
        <v>46</v>
      </c>
      <c r="H605" s="9">
        <v>18200</v>
      </c>
      <c r="I605" s="9">
        <v>0</v>
      </c>
      <c r="J605" s="9">
        <f t="shared" si="18"/>
        <v>837200</v>
      </c>
      <c r="K605" s="9">
        <f t="shared" si="19"/>
        <v>837200</v>
      </c>
      <c r="L605" s="11" t="s">
        <v>107</v>
      </c>
      <c r="M605" s="11"/>
    </row>
    <row r="606" spans="1:13" x14ac:dyDescent="0.25">
      <c r="A606" s="6">
        <v>595</v>
      </c>
      <c r="B606" s="7">
        <v>45183</v>
      </c>
      <c r="C606" s="8" t="s">
        <v>88</v>
      </c>
      <c r="D606" s="8" t="s">
        <v>109</v>
      </c>
      <c r="E606" s="8" t="s">
        <v>79</v>
      </c>
      <c r="F606" s="8" t="s">
        <v>131</v>
      </c>
      <c r="G606" s="6">
        <v>29</v>
      </c>
      <c r="H606" s="6">
        <v>111400</v>
      </c>
      <c r="I606" s="6">
        <v>10</v>
      </c>
      <c r="J606" s="6">
        <f t="shared" si="18"/>
        <v>3230600</v>
      </c>
      <c r="K606" s="6">
        <f t="shared" si="19"/>
        <v>2907540</v>
      </c>
      <c r="L606" s="8" t="s">
        <v>76</v>
      </c>
      <c r="M606" s="8" t="s">
        <v>77</v>
      </c>
    </row>
    <row r="607" spans="1:13" x14ac:dyDescent="0.25">
      <c r="A607" s="9">
        <v>596</v>
      </c>
      <c r="B607" s="10">
        <v>45651</v>
      </c>
      <c r="C607" s="11" t="s">
        <v>114</v>
      </c>
      <c r="D607" s="11" t="s">
        <v>93</v>
      </c>
      <c r="E607" s="11" t="s">
        <v>102</v>
      </c>
      <c r="F607" s="11" t="s">
        <v>103</v>
      </c>
      <c r="G607" s="9">
        <v>25</v>
      </c>
      <c r="H607" s="9">
        <v>9700</v>
      </c>
      <c r="I607" s="9">
        <v>0</v>
      </c>
      <c r="J607" s="9">
        <f t="shared" si="18"/>
        <v>242500</v>
      </c>
      <c r="K607" s="9">
        <f t="shared" si="19"/>
        <v>242500</v>
      </c>
      <c r="L607" s="11" t="s">
        <v>76</v>
      </c>
      <c r="M607" s="11" t="s">
        <v>81</v>
      </c>
    </row>
    <row r="608" spans="1:13" x14ac:dyDescent="0.25">
      <c r="A608" s="6">
        <v>597</v>
      </c>
      <c r="B608" s="7">
        <v>45506</v>
      </c>
      <c r="C608" s="8" t="s">
        <v>108</v>
      </c>
      <c r="D608" s="8" t="s">
        <v>109</v>
      </c>
      <c r="E608" s="8" t="s">
        <v>84</v>
      </c>
      <c r="F608" s="8" t="s">
        <v>128</v>
      </c>
      <c r="G608" s="6">
        <v>4</v>
      </c>
      <c r="H608" s="6">
        <v>4600</v>
      </c>
      <c r="I608" s="6">
        <v>15</v>
      </c>
      <c r="J608" s="6">
        <f t="shared" si="18"/>
        <v>18400</v>
      </c>
      <c r="K608" s="6">
        <f t="shared" si="19"/>
        <v>15640</v>
      </c>
      <c r="L608" s="8" t="s">
        <v>76</v>
      </c>
      <c r="M608" s="8" t="s">
        <v>96</v>
      </c>
    </row>
    <row r="609" spans="1:13" x14ac:dyDescent="0.25">
      <c r="A609" s="9">
        <v>598</v>
      </c>
      <c r="B609" s="10">
        <v>45383</v>
      </c>
      <c r="C609" s="11" t="s">
        <v>101</v>
      </c>
      <c r="D609" s="11" t="s">
        <v>109</v>
      </c>
      <c r="E609" s="11" t="s">
        <v>79</v>
      </c>
      <c r="F609" s="11" t="s">
        <v>122</v>
      </c>
      <c r="G609" s="9">
        <v>1</v>
      </c>
      <c r="H609" s="9">
        <v>20500</v>
      </c>
      <c r="I609" s="9">
        <v>0</v>
      </c>
      <c r="J609" s="9">
        <f t="shared" si="18"/>
        <v>20500</v>
      </c>
      <c r="K609" s="9">
        <f t="shared" si="19"/>
        <v>20500</v>
      </c>
      <c r="L609" s="11" t="s">
        <v>76</v>
      </c>
      <c r="M609" s="11" t="s">
        <v>96</v>
      </c>
    </row>
    <row r="610" spans="1:13" x14ac:dyDescent="0.25">
      <c r="A610" s="6">
        <v>301</v>
      </c>
      <c r="B610" s="7">
        <v>45378</v>
      </c>
      <c r="C610" s="8" t="s">
        <v>82</v>
      </c>
      <c r="D610" s="8" t="s">
        <v>109</v>
      </c>
      <c r="E610" s="8" t="s">
        <v>111</v>
      </c>
      <c r="F610" s="8" t="s">
        <v>112</v>
      </c>
      <c r="G610" s="6">
        <v>42</v>
      </c>
      <c r="H610" s="6">
        <v>70500</v>
      </c>
      <c r="I610" s="6">
        <v>20</v>
      </c>
      <c r="J610" s="6">
        <f t="shared" si="18"/>
        <v>2961000</v>
      </c>
      <c r="K610" s="6">
        <f t="shared" si="19"/>
        <v>2368800</v>
      </c>
      <c r="L610" s="8" t="s">
        <v>86</v>
      </c>
      <c r="M610" s="8" t="s">
        <v>96</v>
      </c>
    </row>
    <row r="611" spans="1:13" x14ac:dyDescent="0.25">
      <c r="A611" s="9">
        <v>599</v>
      </c>
      <c r="B611" s="10">
        <v>45396</v>
      </c>
      <c r="C611" s="11" t="s">
        <v>119</v>
      </c>
      <c r="D611" s="11" t="s">
        <v>83</v>
      </c>
      <c r="E611" s="11" t="s">
        <v>102</v>
      </c>
      <c r="F611" s="11" t="s">
        <v>138</v>
      </c>
      <c r="G611" s="9">
        <v>32</v>
      </c>
      <c r="H611" s="9">
        <v>6800</v>
      </c>
      <c r="I611" s="9">
        <v>5</v>
      </c>
      <c r="J611" s="9">
        <f t="shared" si="18"/>
        <v>217600</v>
      </c>
      <c r="K611" s="9">
        <f t="shared" si="19"/>
        <v>206720</v>
      </c>
      <c r="L611" s="11" t="s">
        <v>76</v>
      </c>
      <c r="M611" s="11" t="s">
        <v>91</v>
      </c>
    </row>
    <row r="612" spans="1:13" x14ac:dyDescent="0.25">
      <c r="A612" s="6">
        <v>600</v>
      </c>
      <c r="B612" s="7">
        <v>45346</v>
      </c>
      <c r="C612" s="8" t="s">
        <v>119</v>
      </c>
      <c r="D612" s="8" t="s">
        <v>73</v>
      </c>
      <c r="E612" s="8" t="s">
        <v>102</v>
      </c>
      <c r="F612" s="8" t="s">
        <v>138</v>
      </c>
      <c r="G612" s="6">
        <v>36</v>
      </c>
      <c r="H612" s="6">
        <v>6200</v>
      </c>
      <c r="I612" s="6">
        <v>0</v>
      </c>
      <c r="J612" s="6">
        <f t="shared" si="18"/>
        <v>223200</v>
      </c>
      <c r="K612" s="6">
        <f t="shared" si="19"/>
        <v>223200</v>
      </c>
      <c r="L612" s="8" t="s">
        <v>76</v>
      </c>
      <c r="M612" s="8" t="s">
        <v>81</v>
      </c>
    </row>
    <row r="613" spans="1:13" x14ac:dyDescent="0.25">
      <c r="A613" s="9">
        <v>601</v>
      </c>
      <c r="B613" s="10">
        <v>45116</v>
      </c>
      <c r="C613" s="11" t="s">
        <v>108</v>
      </c>
      <c r="D613" s="11" t="s">
        <v>73</v>
      </c>
      <c r="E613" s="11" t="s">
        <v>74</v>
      </c>
      <c r="F613" s="11" t="s">
        <v>94</v>
      </c>
      <c r="G613" s="9">
        <v>3</v>
      </c>
      <c r="H613" s="9">
        <v>32800</v>
      </c>
      <c r="I613" s="9">
        <v>0</v>
      </c>
      <c r="J613" s="9">
        <f t="shared" si="18"/>
        <v>98400</v>
      </c>
      <c r="K613" s="9">
        <f t="shared" si="19"/>
        <v>98400</v>
      </c>
      <c r="L613" s="11" t="s">
        <v>86</v>
      </c>
      <c r="M613" s="11"/>
    </row>
    <row r="614" spans="1:13" x14ac:dyDescent="0.25">
      <c r="A614" s="6">
        <v>602</v>
      </c>
      <c r="B614" s="8" t="s">
        <v>369</v>
      </c>
      <c r="C614" s="8" t="s">
        <v>78</v>
      </c>
      <c r="D614" s="8" t="s">
        <v>73</v>
      </c>
      <c r="E614" s="8" t="s">
        <v>111</v>
      </c>
      <c r="F614" s="8" t="s">
        <v>166</v>
      </c>
      <c r="G614" s="6">
        <v>19</v>
      </c>
      <c r="H614" s="6">
        <v>26300</v>
      </c>
      <c r="I614" s="6">
        <v>5</v>
      </c>
      <c r="J614" s="6">
        <f t="shared" si="18"/>
        <v>499700</v>
      </c>
      <c r="K614" s="6">
        <f t="shared" si="19"/>
        <v>474715</v>
      </c>
      <c r="L614" s="8" t="s">
        <v>76</v>
      </c>
      <c r="M614" s="8" t="s">
        <v>81</v>
      </c>
    </row>
    <row r="615" spans="1:13" x14ac:dyDescent="0.25">
      <c r="A615" s="9">
        <v>603</v>
      </c>
      <c r="B615" s="10">
        <v>45519</v>
      </c>
      <c r="C615" s="11" t="s">
        <v>282</v>
      </c>
      <c r="D615" s="11" t="s">
        <v>73</v>
      </c>
      <c r="E615" s="11" t="s">
        <v>79</v>
      </c>
      <c r="F615" s="11" t="s">
        <v>179</v>
      </c>
      <c r="G615" s="9">
        <v>25</v>
      </c>
      <c r="H615" s="9">
        <v>2500</v>
      </c>
      <c r="I615" s="9">
        <v>20</v>
      </c>
      <c r="J615" s="9">
        <f t="shared" si="18"/>
        <v>62500</v>
      </c>
      <c r="K615" s="9">
        <f t="shared" si="19"/>
        <v>50000</v>
      </c>
      <c r="L615" s="11" t="s">
        <v>86</v>
      </c>
      <c r="M615" s="11" t="s">
        <v>91</v>
      </c>
    </row>
    <row r="616" spans="1:13" x14ac:dyDescent="0.25">
      <c r="A616" s="6">
        <v>604</v>
      </c>
      <c r="B616" s="7">
        <v>45490</v>
      </c>
      <c r="C616" s="8" t="s">
        <v>97</v>
      </c>
      <c r="D616" s="8" t="s">
        <v>89</v>
      </c>
      <c r="E616" s="8" t="s">
        <v>111</v>
      </c>
      <c r="F616" s="8" t="s">
        <v>166</v>
      </c>
      <c r="G616" s="6">
        <v>18</v>
      </c>
      <c r="H616" s="6">
        <v>26100</v>
      </c>
      <c r="I616" s="6">
        <v>10</v>
      </c>
      <c r="J616" s="6">
        <f t="shared" si="18"/>
        <v>469800</v>
      </c>
      <c r="K616" s="6">
        <f t="shared" si="19"/>
        <v>422820</v>
      </c>
      <c r="L616" s="8" t="s">
        <v>76</v>
      </c>
      <c r="M616" s="8" t="s">
        <v>91</v>
      </c>
    </row>
    <row r="617" spans="1:13" x14ac:dyDescent="0.25">
      <c r="A617" s="9">
        <v>605</v>
      </c>
      <c r="B617" s="10">
        <v>45141</v>
      </c>
      <c r="C617" s="11" t="s">
        <v>106</v>
      </c>
      <c r="D617" s="11" t="s">
        <v>93</v>
      </c>
      <c r="E617" s="11" t="s">
        <v>292</v>
      </c>
      <c r="F617" s="11" t="s">
        <v>131</v>
      </c>
      <c r="G617" s="9">
        <v>41</v>
      </c>
      <c r="H617" s="9" t="s">
        <v>370</v>
      </c>
      <c r="I617" s="9">
        <v>5</v>
      </c>
      <c r="J617" s="9" t="e">
        <f t="shared" si="18"/>
        <v>#VALUE!</v>
      </c>
      <c r="K617" s="9" t="e">
        <f t="shared" si="19"/>
        <v>#VALUE!</v>
      </c>
      <c r="L617" s="11" t="s">
        <v>76</v>
      </c>
      <c r="M617" s="11" t="s">
        <v>77</v>
      </c>
    </row>
    <row r="618" spans="1:13" x14ac:dyDescent="0.25">
      <c r="A618" s="6">
        <v>181</v>
      </c>
      <c r="B618" s="7">
        <v>45363</v>
      </c>
      <c r="C618" s="8" t="s">
        <v>108</v>
      </c>
      <c r="D618" s="8" t="s">
        <v>83</v>
      </c>
      <c r="E618" s="8" t="s">
        <v>74</v>
      </c>
      <c r="F618" s="8" t="s">
        <v>99</v>
      </c>
      <c r="G618" s="6">
        <v>23</v>
      </c>
      <c r="H618" s="6">
        <v>3200</v>
      </c>
      <c r="I618" s="6">
        <v>0</v>
      </c>
      <c r="J618" s="6">
        <f t="shared" si="18"/>
        <v>73600</v>
      </c>
      <c r="K618" s="6">
        <f t="shared" si="19"/>
        <v>73600</v>
      </c>
      <c r="L618" s="8" t="s">
        <v>76</v>
      </c>
      <c r="M618" s="8" t="s">
        <v>91</v>
      </c>
    </row>
    <row r="619" spans="1:13" x14ac:dyDescent="0.25">
      <c r="A619" s="9">
        <v>606</v>
      </c>
      <c r="B619" s="10">
        <v>45632</v>
      </c>
      <c r="C619" s="11" t="s">
        <v>124</v>
      </c>
      <c r="D619" s="11" t="s">
        <v>117</v>
      </c>
      <c r="E619" s="11" t="s">
        <v>111</v>
      </c>
      <c r="F619" s="11" t="s">
        <v>132</v>
      </c>
      <c r="G619" s="9">
        <v>37</v>
      </c>
      <c r="H619" s="9">
        <v>7200</v>
      </c>
      <c r="I619" s="9">
        <v>0</v>
      </c>
      <c r="J619" s="9">
        <f t="shared" si="18"/>
        <v>266400</v>
      </c>
      <c r="K619" s="9">
        <f t="shared" si="19"/>
        <v>266400</v>
      </c>
      <c r="L619" s="11" t="s">
        <v>125</v>
      </c>
      <c r="M619" s="11" t="s">
        <v>96</v>
      </c>
    </row>
    <row r="620" spans="1:13" x14ac:dyDescent="0.25">
      <c r="A620" s="6">
        <v>607</v>
      </c>
      <c r="B620" s="7">
        <v>45556</v>
      </c>
      <c r="C620" s="8" t="s">
        <v>124</v>
      </c>
      <c r="D620" s="8" t="s">
        <v>83</v>
      </c>
      <c r="E620" s="8" t="s">
        <v>102</v>
      </c>
      <c r="F620" s="8" t="s">
        <v>197</v>
      </c>
      <c r="G620" s="6">
        <v>12</v>
      </c>
      <c r="H620" s="6">
        <v>3900</v>
      </c>
      <c r="I620" s="6">
        <v>15</v>
      </c>
      <c r="J620" s="6">
        <f t="shared" si="18"/>
        <v>46800</v>
      </c>
      <c r="K620" s="6">
        <f t="shared" si="19"/>
        <v>39780</v>
      </c>
      <c r="L620" s="8" t="s">
        <v>107</v>
      </c>
      <c r="M620" s="8" t="s">
        <v>81</v>
      </c>
    </row>
    <row r="621" spans="1:13" x14ac:dyDescent="0.25">
      <c r="A621" s="9">
        <v>608</v>
      </c>
      <c r="B621" s="10">
        <v>45224</v>
      </c>
      <c r="C621" s="11" t="s">
        <v>106</v>
      </c>
      <c r="D621" s="11" t="s">
        <v>73</v>
      </c>
      <c r="E621" s="11" t="s">
        <v>79</v>
      </c>
      <c r="F621" s="11" t="s">
        <v>136</v>
      </c>
      <c r="G621" s="9">
        <v>8</v>
      </c>
      <c r="H621" s="9">
        <v>86400</v>
      </c>
      <c r="I621" s="9"/>
      <c r="J621" s="9">
        <f t="shared" si="18"/>
        <v>691200</v>
      </c>
      <c r="K621" s="9">
        <f t="shared" si="19"/>
        <v>691200</v>
      </c>
      <c r="L621" s="11" t="s">
        <v>86</v>
      </c>
      <c r="M621" s="11" t="s">
        <v>81</v>
      </c>
    </row>
    <row r="622" spans="1:13" x14ac:dyDescent="0.25">
      <c r="A622" s="6">
        <v>609</v>
      </c>
      <c r="B622" s="8" t="s">
        <v>371</v>
      </c>
      <c r="C622" s="8" t="s">
        <v>114</v>
      </c>
      <c r="D622" s="8" t="s">
        <v>83</v>
      </c>
      <c r="E622" s="8" t="s">
        <v>79</v>
      </c>
      <c r="F622" s="8" t="s">
        <v>120</v>
      </c>
      <c r="G622" s="6">
        <v>41</v>
      </c>
      <c r="H622" s="6">
        <v>5900</v>
      </c>
      <c r="I622" s="6">
        <v>15</v>
      </c>
      <c r="J622" s="6">
        <f t="shared" si="18"/>
        <v>241900</v>
      </c>
      <c r="K622" s="6">
        <f t="shared" si="19"/>
        <v>205615</v>
      </c>
      <c r="L622" s="8" t="s">
        <v>76</v>
      </c>
      <c r="M622" s="8" t="s">
        <v>81</v>
      </c>
    </row>
    <row r="623" spans="1:13" x14ac:dyDescent="0.25">
      <c r="A623" s="9">
        <v>610</v>
      </c>
      <c r="B623" s="10">
        <v>45215</v>
      </c>
      <c r="C623" s="11" t="s">
        <v>101</v>
      </c>
      <c r="D623" s="11" t="s">
        <v>73</v>
      </c>
      <c r="E623" s="11" t="s">
        <v>74</v>
      </c>
      <c r="F623" s="11" t="s">
        <v>190</v>
      </c>
      <c r="G623" s="9">
        <v>21</v>
      </c>
      <c r="H623" s="9">
        <v>32900</v>
      </c>
      <c r="I623" s="9">
        <v>15</v>
      </c>
      <c r="J623" s="9">
        <f t="shared" si="18"/>
        <v>690900</v>
      </c>
      <c r="K623" s="9">
        <f t="shared" si="19"/>
        <v>587265</v>
      </c>
      <c r="L623" s="11" t="s">
        <v>86</v>
      </c>
      <c r="M623" s="11" t="s">
        <v>77</v>
      </c>
    </row>
    <row r="624" spans="1:13" x14ac:dyDescent="0.25">
      <c r="A624" s="6">
        <v>611</v>
      </c>
      <c r="B624" s="7">
        <v>45268</v>
      </c>
      <c r="C624" s="8" t="s">
        <v>88</v>
      </c>
      <c r="D624" s="8" t="s">
        <v>83</v>
      </c>
      <c r="E624" s="8" t="s">
        <v>102</v>
      </c>
      <c r="F624" s="8" t="s">
        <v>138</v>
      </c>
      <c r="G624" s="6">
        <v>13</v>
      </c>
      <c r="H624" s="6">
        <v>7200</v>
      </c>
      <c r="I624" s="6">
        <v>15</v>
      </c>
      <c r="J624" s="6">
        <f t="shared" si="18"/>
        <v>93600</v>
      </c>
      <c r="K624" s="6">
        <f t="shared" si="19"/>
        <v>79560</v>
      </c>
      <c r="L624" s="8" t="s">
        <v>76</v>
      </c>
      <c r="M624" s="8" t="s">
        <v>96</v>
      </c>
    </row>
    <row r="625" spans="1:13" x14ac:dyDescent="0.25">
      <c r="A625" s="9">
        <v>612</v>
      </c>
      <c r="B625" s="10">
        <v>45417</v>
      </c>
      <c r="C625" s="11" t="s">
        <v>119</v>
      </c>
      <c r="D625" s="11" t="s">
        <v>73</v>
      </c>
      <c r="E625" s="11" t="s">
        <v>84</v>
      </c>
      <c r="F625" s="11" t="s">
        <v>85</v>
      </c>
      <c r="G625" s="9">
        <v>30</v>
      </c>
      <c r="H625" s="9">
        <v>5100</v>
      </c>
      <c r="I625" s="9">
        <v>5</v>
      </c>
      <c r="J625" s="9">
        <f t="shared" si="18"/>
        <v>153000</v>
      </c>
      <c r="K625" s="9">
        <f t="shared" si="19"/>
        <v>145350</v>
      </c>
      <c r="L625" s="11" t="s">
        <v>107</v>
      </c>
      <c r="M625" s="11" t="s">
        <v>96</v>
      </c>
    </row>
    <row r="626" spans="1:13" x14ac:dyDescent="0.25">
      <c r="A626" s="6">
        <v>613</v>
      </c>
      <c r="B626" s="7">
        <v>45350</v>
      </c>
      <c r="C626" s="8" t="s">
        <v>78</v>
      </c>
      <c r="D626" s="8" t="s">
        <v>93</v>
      </c>
      <c r="E626" s="8" t="s">
        <v>74</v>
      </c>
      <c r="F626" s="8" t="s">
        <v>212</v>
      </c>
      <c r="G626" s="6">
        <v>2</v>
      </c>
      <c r="H626" s="6">
        <v>8300</v>
      </c>
      <c r="I626" s="6">
        <v>20</v>
      </c>
      <c r="J626" s="6">
        <f t="shared" si="18"/>
        <v>16600</v>
      </c>
      <c r="K626" s="6">
        <f t="shared" si="19"/>
        <v>13280</v>
      </c>
      <c r="L626" s="8" t="s">
        <v>76</v>
      </c>
      <c r="M626" s="8" t="s">
        <v>96</v>
      </c>
    </row>
    <row r="627" spans="1:13" x14ac:dyDescent="0.25">
      <c r="A627" s="9">
        <v>614</v>
      </c>
      <c r="B627" s="10">
        <v>45289</v>
      </c>
      <c r="C627" s="11" t="s">
        <v>97</v>
      </c>
      <c r="D627" s="11" t="s">
        <v>109</v>
      </c>
      <c r="E627" s="11" t="s">
        <v>74</v>
      </c>
      <c r="F627" s="11" t="s">
        <v>94</v>
      </c>
      <c r="G627" s="9">
        <v>25</v>
      </c>
      <c r="H627" s="9">
        <v>34500</v>
      </c>
      <c r="I627" s="9">
        <v>10</v>
      </c>
      <c r="J627" s="9">
        <f t="shared" si="18"/>
        <v>862500</v>
      </c>
      <c r="K627" s="9">
        <f t="shared" si="19"/>
        <v>776250</v>
      </c>
      <c r="L627" s="11" t="s">
        <v>76</v>
      </c>
      <c r="M627" s="11" t="s">
        <v>81</v>
      </c>
    </row>
    <row r="628" spans="1:13" x14ac:dyDescent="0.25">
      <c r="A628" s="6">
        <v>615</v>
      </c>
      <c r="B628" s="7">
        <v>45547</v>
      </c>
      <c r="C628" s="8" t="s">
        <v>114</v>
      </c>
      <c r="D628" s="8" t="s">
        <v>279</v>
      </c>
      <c r="E628" s="8" t="s">
        <v>102</v>
      </c>
      <c r="F628" s="8" t="s">
        <v>137</v>
      </c>
      <c r="G628" s="6">
        <v>49</v>
      </c>
      <c r="H628" s="6" t="s">
        <v>372</v>
      </c>
      <c r="I628" s="6">
        <v>15</v>
      </c>
      <c r="J628" s="6" t="e">
        <f t="shared" si="18"/>
        <v>#VALUE!</v>
      </c>
      <c r="K628" s="6" t="e">
        <f t="shared" si="19"/>
        <v>#VALUE!</v>
      </c>
      <c r="L628" s="8" t="s">
        <v>76</v>
      </c>
      <c r="M628" s="8" t="s">
        <v>96</v>
      </c>
    </row>
    <row r="629" spans="1:13" x14ac:dyDescent="0.25">
      <c r="A629" s="9">
        <v>616</v>
      </c>
      <c r="B629" s="10">
        <v>44959</v>
      </c>
      <c r="C629" s="11" t="s">
        <v>101</v>
      </c>
      <c r="D629" s="11" t="s">
        <v>83</v>
      </c>
      <c r="E629" s="11" t="s">
        <v>79</v>
      </c>
      <c r="F629" s="11" t="s">
        <v>172</v>
      </c>
      <c r="G629" s="9">
        <v>24</v>
      </c>
      <c r="H629" s="9">
        <v>28000</v>
      </c>
      <c r="I629" s="9">
        <v>0</v>
      </c>
      <c r="J629" s="9">
        <f t="shared" si="18"/>
        <v>672000</v>
      </c>
      <c r="K629" s="9">
        <f t="shared" si="19"/>
        <v>672000</v>
      </c>
      <c r="L629" s="11" t="s">
        <v>164</v>
      </c>
      <c r="M629" s="11"/>
    </row>
    <row r="630" spans="1:13" x14ac:dyDescent="0.25">
      <c r="A630" s="6">
        <v>617</v>
      </c>
      <c r="B630" s="7">
        <v>45464</v>
      </c>
      <c r="C630" s="8" t="s">
        <v>101</v>
      </c>
      <c r="D630" s="8" t="s">
        <v>109</v>
      </c>
      <c r="E630" s="8" t="s">
        <v>79</v>
      </c>
      <c r="F630" s="8" t="s">
        <v>120</v>
      </c>
      <c r="G630" s="6">
        <v>50</v>
      </c>
      <c r="H630" s="6">
        <v>6600</v>
      </c>
      <c r="I630" s="6">
        <v>5</v>
      </c>
      <c r="J630" s="6">
        <f t="shared" si="18"/>
        <v>330000</v>
      </c>
      <c r="K630" s="6">
        <f t="shared" si="19"/>
        <v>313500</v>
      </c>
      <c r="L630" s="8" t="s">
        <v>164</v>
      </c>
      <c r="M630" s="8" t="s">
        <v>77</v>
      </c>
    </row>
    <row r="631" spans="1:13" x14ac:dyDescent="0.25">
      <c r="A631" s="9">
        <v>618</v>
      </c>
      <c r="B631" s="10">
        <v>45445</v>
      </c>
      <c r="C631" s="11" t="s">
        <v>78</v>
      </c>
      <c r="D631" s="11" t="s">
        <v>83</v>
      </c>
      <c r="E631" s="11" t="s">
        <v>102</v>
      </c>
      <c r="F631" s="11" t="s">
        <v>103</v>
      </c>
      <c r="G631" s="9">
        <v>31</v>
      </c>
      <c r="H631" s="9">
        <v>9300</v>
      </c>
      <c r="I631" s="9">
        <v>20</v>
      </c>
      <c r="J631" s="9">
        <f t="shared" si="18"/>
        <v>288300</v>
      </c>
      <c r="K631" s="9">
        <f t="shared" si="19"/>
        <v>230640</v>
      </c>
      <c r="L631" s="11" t="s">
        <v>86</v>
      </c>
      <c r="M631" s="11" t="s">
        <v>96</v>
      </c>
    </row>
    <row r="632" spans="1:13" x14ac:dyDescent="0.25">
      <c r="A632" s="6">
        <v>619</v>
      </c>
      <c r="B632" s="7">
        <v>45262</v>
      </c>
      <c r="C632" s="8" t="s">
        <v>108</v>
      </c>
      <c r="D632" s="8" t="s">
        <v>127</v>
      </c>
      <c r="E632" s="8" t="s">
        <v>102</v>
      </c>
      <c r="F632" s="8" t="s">
        <v>103</v>
      </c>
      <c r="G632" s="6">
        <v>3</v>
      </c>
      <c r="H632" s="6">
        <v>9300</v>
      </c>
      <c r="I632" s="6">
        <v>0</v>
      </c>
      <c r="J632" s="6">
        <f t="shared" si="18"/>
        <v>27900</v>
      </c>
      <c r="K632" s="6">
        <f t="shared" si="19"/>
        <v>27900</v>
      </c>
      <c r="L632" s="8" t="s">
        <v>76</v>
      </c>
      <c r="M632" s="8" t="s">
        <v>77</v>
      </c>
    </row>
    <row r="633" spans="1:13" x14ac:dyDescent="0.25">
      <c r="A633" s="9">
        <v>620</v>
      </c>
      <c r="B633" s="10">
        <v>45245</v>
      </c>
      <c r="C633" s="11" t="s">
        <v>78</v>
      </c>
      <c r="D633" s="11" t="s">
        <v>93</v>
      </c>
      <c r="E633" s="11" t="s">
        <v>79</v>
      </c>
      <c r="F633" s="11" t="s">
        <v>120</v>
      </c>
      <c r="G633" s="9">
        <v>3</v>
      </c>
      <c r="H633" s="9">
        <v>6100</v>
      </c>
      <c r="I633" s="9">
        <v>0</v>
      </c>
      <c r="J633" s="9">
        <f t="shared" si="18"/>
        <v>18300</v>
      </c>
      <c r="K633" s="9">
        <f t="shared" si="19"/>
        <v>18300</v>
      </c>
      <c r="L633" s="11" t="s">
        <v>76</v>
      </c>
      <c r="M633" s="11" t="s">
        <v>96</v>
      </c>
    </row>
    <row r="634" spans="1:13" x14ac:dyDescent="0.25">
      <c r="A634" s="6">
        <v>621</v>
      </c>
      <c r="B634" s="7">
        <v>45518</v>
      </c>
      <c r="C634" s="8" t="s">
        <v>101</v>
      </c>
      <c r="D634" s="8" t="s">
        <v>109</v>
      </c>
      <c r="E634" s="8" t="s">
        <v>255</v>
      </c>
      <c r="F634" s="8" t="s">
        <v>75</v>
      </c>
      <c r="G634" s="6">
        <v>18</v>
      </c>
      <c r="H634" s="6">
        <v>20900</v>
      </c>
      <c r="I634" s="6">
        <v>15</v>
      </c>
      <c r="J634" s="6">
        <f t="shared" si="18"/>
        <v>376200</v>
      </c>
      <c r="K634" s="6">
        <f t="shared" si="19"/>
        <v>319770</v>
      </c>
      <c r="L634" s="8" t="s">
        <v>76</v>
      </c>
      <c r="M634" s="8" t="s">
        <v>91</v>
      </c>
    </row>
    <row r="635" spans="1:13" x14ac:dyDescent="0.25">
      <c r="A635" s="9">
        <v>622</v>
      </c>
      <c r="B635" s="10">
        <v>45047</v>
      </c>
      <c r="C635" s="11" t="s">
        <v>101</v>
      </c>
      <c r="D635" s="11" t="s">
        <v>109</v>
      </c>
      <c r="E635" s="11" t="s">
        <v>84</v>
      </c>
      <c r="F635" s="11" t="s">
        <v>134</v>
      </c>
      <c r="G635" s="9">
        <v>40</v>
      </c>
      <c r="H635" s="9">
        <v>8900</v>
      </c>
      <c r="I635" s="9">
        <v>0</v>
      </c>
      <c r="J635" s="9">
        <f t="shared" si="18"/>
        <v>356000</v>
      </c>
      <c r="K635" s="9">
        <f t="shared" si="19"/>
        <v>356000</v>
      </c>
      <c r="L635" s="11" t="s">
        <v>76</v>
      </c>
      <c r="M635" s="11" t="s">
        <v>77</v>
      </c>
    </row>
    <row r="636" spans="1:13" x14ac:dyDescent="0.25">
      <c r="A636" s="6">
        <v>623</v>
      </c>
      <c r="B636" s="7">
        <v>45482</v>
      </c>
      <c r="C636" s="8" t="s">
        <v>88</v>
      </c>
      <c r="D636" s="8" t="s">
        <v>300</v>
      </c>
      <c r="E636" s="8" t="s">
        <v>74</v>
      </c>
      <c r="F636" s="8" t="s">
        <v>190</v>
      </c>
      <c r="G636" s="6">
        <v>46</v>
      </c>
      <c r="H636" s="6">
        <v>29900</v>
      </c>
      <c r="I636" s="6">
        <v>0</v>
      </c>
      <c r="J636" s="6">
        <f t="shared" si="18"/>
        <v>1375400</v>
      </c>
      <c r="K636" s="6">
        <f t="shared" si="19"/>
        <v>1375400</v>
      </c>
      <c r="L636" s="8" t="s">
        <v>187</v>
      </c>
      <c r="M636" s="8" t="s">
        <v>81</v>
      </c>
    </row>
    <row r="637" spans="1:13" x14ac:dyDescent="0.25">
      <c r="A637" s="9">
        <v>624</v>
      </c>
      <c r="B637" s="10">
        <v>44999</v>
      </c>
      <c r="C637" s="11" t="s">
        <v>101</v>
      </c>
      <c r="D637" s="11"/>
      <c r="E637" s="11" t="s">
        <v>270</v>
      </c>
      <c r="F637" s="11" t="s">
        <v>99</v>
      </c>
      <c r="G637" s="9">
        <v>2</v>
      </c>
      <c r="H637" s="9">
        <v>3200</v>
      </c>
      <c r="I637" s="9">
        <v>0</v>
      </c>
      <c r="J637" s="9">
        <f t="shared" si="18"/>
        <v>6400</v>
      </c>
      <c r="K637" s="9">
        <f t="shared" si="19"/>
        <v>6400</v>
      </c>
      <c r="L637" s="11" t="s">
        <v>76</v>
      </c>
      <c r="M637" s="11" t="s">
        <v>77</v>
      </c>
    </row>
    <row r="638" spans="1:13" x14ac:dyDescent="0.25">
      <c r="A638" s="6">
        <v>625</v>
      </c>
      <c r="B638" s="7">
        <v>45319</v>
      </c>
      <c r="C638" s="8" t="s">
        <v>78</v>
      </c>
      <c r="D638" s="8" t="s">
        <v>73</v>
      </c>
      <c r="E638" s="8" t="s">
        <v>263</v>
      </c>
      <c r="F638" s="8" t="s">
        <v>165</v>
      </c>
      <c r="G638" s="6">
        <v>39</v>
      </c>
      <c r="H638" s="6">
        <v>17000</v>
      </c>
      <c r="I638" s="6">
        <v>10</v>
      </c>
      <c r="J638" s="6">
        <f t="shared" si="18"/>
        <v>663000</v>
      </c>
      <c r="K638" s="6">
        <f t="shared" si="19"/>
        <v>596700</v>
      </c>
      <c r="L638" s="8" t="s">
        <v>107</v>
      </c>
      <c r="M638" s="8" t="s">
        <v>91</v>
      </c>
    </row>
    <row r="639" spans="1:13" x14ac:dyDescent="0.25">
      <c r="A639" s="9">
        <v>626</v>
      </c>
      <c r="B639" s="10">
        <v>45291</v>
      </c>
      <c r="C639" s="11" t="s">
        <v>101</v>
      </c>
      <c r="D639" s="11" t="s">
        <v>117</v>
      </c>
      <c r="E639" s="11" t="s">
        <v>84</v>
      </c>
      <c r="F639" s="11" t="s">
        <v>150</v>
      </c>
      <c r="G639" s="9">
        <v>49</v>
      </c>
      <c r="H639" s="9" t="s">
        <v>373</v>
      </c>
      <c r="I639" s="9">
        <v>0</v>
      </c>
      <c r="J639" s="9">
        <f t="shared" si="18"/>
        <v>308700</v>
      </c>
      <c r="K639" s="9">
        <f t="shared" si="19"/>
        <v>308700</v>
      </c>
      <c r="L639" s="11" t="s">
        <v>264</v>
      </c>
      <c r="M639" s="11" t="s">
        <v>81</v>
      </c>
    </row>
    <row r="640" spans="1:13" x14ac:dyDescent="0.25">
      <c r="A640" s="6">
        <v>627</v>
      </c>
      <c r="B640" s="7">
        <v>45642</v>
      </c>
      <c r="C640" s="8" t="s">
        <v>119</v>
      </c>
      <c r="D640" s="8" t="s">
        <v>73</v>
      </c>
      <c r="E640" s="8" t="s">
        <v>111</v>
      </c>
      <c r="F640" s="8" t="s">
        <v>135</v>
      </c>
      <c r="G640" s="6">
        <v>46</v>
      </c>
      <c r="H640" s="6">
        <v>123200</v>
      </c>
      <c r="I640" s="6">
        <v>0</v>
      </c>
      <c r="J640" s="6">
        <f t="shared" si="18"/>
        <v>5667200</v>
      </c>
      <c r="K640" s="6">
        <f t="shared" si="19"/>
        <v>5667200</v>
      </c>
      <c r="L640" s="8" t="s">
        <v>86</v>
      </c>
      <c r="M640" s="8" t="s">
        <v>91</v>
      </c>
    </row>
    <row r="641" spans="1:13" x14ac:dyDescent="0.25">
      <c r="A641" s="9">
        <v>628</v>
      </c>
      <c r="B641" s="11" t="s">
        <v>374</v>
      </c>
      <c r="C641" s="11" t="s">
        <v>108</v>
      </c>
      <c r="D641" s="11" t="s">
        <v>93</v>
      </c>
      <c r="E641" s="11" t="s">
        <v>149</v>
      </c>
      <c r="F641" s="11" t="s">
        <v>212</v>
      </c>
      <c r="G641" s="9">
        <v>45</v>
      </c>
      <c r="H641" s="9" t="s">
        <v>375</v>
      </c>
      <c r="I641" s="9">
        <v>20</v>
      </c>
      <c r="J641" s="9" t="e">
        <f t="shared" si="18"/>
        <v>#VALUE!</v>
      </c>
      <c r="K641" s="9" t="e">
        <f t="shared" si="19"/>
        <v>#VALUE!</v>
      </c>
      <c r="L641" s="11" t="s">
        <v>107</v>
      </c>
      <c r="M641" s="11" t="s">
        <v>96</v>
      </c>
    </row>
    <row r="642" spans="1:13" x14ac:dyDescent="0.25">
      <c r="A642" s="6">
        <v>629</v>
      </c>
      <c r="B642" s="7">
        <v>45259</v>
      </c>
      <c r="C642" s="8" t="s">
        <v>119</v>
      </c>
      <c r="D642" s="8" t="s">
        <v>83</v>
      </c>
      <c r="E642" s="8" t="s">
        <v>79</v>
      </c>
      <c r="F642" s="8" t="s">
        <v>131</v>
      </c>
      <c r="G642" s="6">
        <v>23</v>
      </c>
      <c r="H642" s="6">
        <v>122300</v>
      </c>
      <c r="I642" s="6">
        <v>0</v>
      </c>
      <c r="J642" s="6">
        <f t="shared" ref="J642:J705" si="20">G642*H642</f>
        <v>2812900</v>
      </c>
      <c r="K642" s="6">
        <f t="shared" ref="K642:K705" si="21">J642*(1-I642/100)</f>
        <v>2812900</v>
      </c>
      <c r="L642" s="8" t="s">
        <v>76</v>
      </c>
      <c r="M642" s="8" t="s">
        <v>81</v>
      </c>
    </row>
    <row r="643" spans="1:13" x14ac:dyDescent="0.25">
      <c r="A643" s="9">
        <v>630</v>
      </c>
      <c r="B643" s="10">
        <v>45283</v>
      </c>
      <c r="C643" s="11" t="s">
        <v>124</v>
      </c>
      <c r="D643" s="11" t="s">
        <v>93</v>
      </c>
      <c r="E643" s="11" t="s">
        <v>84</v>
      </c>
      <c r="F643" s="11" t="s">
        <v>150</v>
      </c>
      <c r="G643" s="9">
        <v>46</v>
      </c>
      <c r="H643" s="9">
        <v>5500</v>
      </c>
      <c r="I643" s="9">
        <v>10</v>
      </c>
      <c r="J643" s="9">
        <f t="shared" si="20"/>
        <v>253000</v>
      </c>
      <c r="K643" s="9">
        <f t="shared" si="21"/>
        <v>227700</v>
      </c>
      <c r="L643" s="11" t="s">
        <v>86</v>
      </c>
      <c r="M643" s="11" t="s">
        <v>96</v>
      </c>
    </row>
    <row r="644" spans="1:13" x14ac:dyDescent="0.25">
      <c r="A644" s="6">
        <v>631</v>
      </c>
      <c r="B644" s="7">
        <v>45592</v>
      </c>
      <c r="C644" s="8" t="s">
        <v>274</v>
      </c>
      <c r="D644" s="8" t="s">
        <v>117</v>
      </c>
      <c r="E644" s="8" t="s">
        <v>102</v>
      </c>
      <c r="F644" s="8" t="s">
        <v>197</v>
      </c>
      <c r="G644" s="6">
        <v>27</v>
      </c>
      <c r="H644" s="6">
        <v>3800</v>
      </c>
      <c r="I644" s="6">
        <v>10</v>
      </c>
      <c r="J644" s="6">
        <f t="shared" si="20"/>
        <v>102600</v>
      </c>
      <c r="K644" s="6">
        <f t="shared" si="21"/>
        <v>92340</v>
      </c>
      <c r="L644" s="8" t="s">
        <v>76</v>
      </c>
      <c r="M644" s="8" t="s">
        <v>81</v>
      </c>
    </row>
    <row r="645" spans="1:13" x14ac:dyDescent="0.25">
      <c r="A645" s="9">
        <v>632</v>
      </c>
      <c r="B645" s="10">
        <v>45089</v>
      </c>
      <c r="C645" s="11" t="s">
        <v>119</v>
      </c>
      <c r="D645" s="11" t="s">
        <v>83</v>
      </c>
      <c r="E645" s="11" t="s">
        <v>79</v>
      </c>
      <c r="F645" s="11" t="s">
        <v>120</v>
      </c>
      <c r="G645" s="9">
        <v>45</v>
      </c>
      <c r="H645" s="9">
        <v>5700</v>
      </c>
      <c r="I645" s="9">
        <v>10</v>
      </c>
      <c r="J645" s="9">
        <f t="shared" si="20"/>
        <v>256500</v>
      </c>
      <c r="K645" s="9">
        <f t="shared" si="21"/>
        <v>230850</v>
      </c>
      <c r="L645" s="11" t="s">
        <v>76</v>
      </c>
      <c r="M645" s="11" t="s">
        <v>91</v>
      </c>
    </row>
    <row r="646" spans="1:13" x14ac:dyDescent="0.25">
      <c r="A646" s="6">
        <v>633</v>
      </c>
      <c r="B646" s="7">
        <v>45277</v>
      </c>
      <c r="C646" s="8" t="s">
        <v>82</v>
      </c>
      <c r="D646" s="8" t="s">
        <v>109</v>
      </c>
      <c r="E646" s="8" t="s">
        <v>84</v>
      </c>
      <c r="F646" s="8" t="s">
        <v>150</v>
      </c>
      <c r="G646" s="6">
        <v>46</v>
      </c>
      <c r="H646" s="6">
        <v>6000</v>
      </c>
      <c r="I646" s="6">
        <v>0</v>
      </c>
      <c r="J646" s="6">
        <f t="shared" si="20"/>
        <v>276000</v>
      </c>
      <c r="K646" s="6">
        <f t="shared" si="21"/>
        <v>276000</v>
      </c>
      <c r="L646" s="8" t="s">
        <v>76</v>
      </c>
      <c r="M646" s="8" t="s">
        <v>91</v>
      </c>
    </row>
    <row r="647" spans="1:13" x14ac:dyDescent="0.25">
      <c r="A647" s="9">
        <v>634</v>
      </c>
      <c r="B647" s="10">
        <v>45533</v>
      </c>
      <c r="C647" s="11" t="s">
        <v>124</v>
      </c>
      <c r="D647" s="11" t="s">
        <v>83</v>
      </c>
      <c r="E647" s="11" t="s">
        <v>74</v>
      </c>
      <c r="F647" s="11" t="s">
        <v>118</v>
      </c>
      <c r="G647" s="9">
        <v>12</v>
      </c>
      <c r="H647" s="9">
        <v>31000</v>
      </c>
      <c r="I647" s="9"/>
      <c r="J647" s="9">
        <f t="shared" si="20"/>
        <v>372000</v>
      </c>
      <c r="K647" s="9">
        <f t="shared" si="21"/>
        <v>372000</v>
      </c>
      <c r="L647" s="11" t="s">
        <v>76</v>
      </c>
      <c r="M647" s="11" t="s">
        <v>91</v>
      </c>
    </row>
    <row r="648" spans="1:13" x14ac:dyDescent="0.25">
      <c r="A648" s="6">
        <v>635</v>
      </c>
      <c r="B648" s="8" t="s">
        <v>376</v>
      </c>
      <c r="C648" s="8" t="s">
        <v>97</v>
      </c>
      <c r="D648" s="8" t="s">
        <v>93</v>
      </c>
      <c r="E648" s="8" t="s">
        <v>111</v>
      </c>
      <c r="F648" s="8" t="s">
        <v>132</v>
      </c>
      <c r="G648" s="6">
        <v>43</v>
      </c>
      <c r="H648" s="6" t="s">
        <v>377</v>
      </c>
      <c r="I648" s="6"/>
      <c r="J648" s="6">
        <f t="shared" si="20"/>
        <v>331100</v>
      </c>
      <c r="K648" s="6">
        <f t="shared" si="21"/>
        <v>331100</v>
      </c>
      <c r="L648" s="8" t="s">
        <v>76</v>
      </c>
      <c r="M648" s="8" t="s">
        <v>81</v>
      </c>
    </row>
    <row r="649" spans="1:13" x14ac:dyDescent="0.25">
      <c r="A649" s="9">
        <v>636</v>
      </c>
      <c r="B649" s="10">
        <v>45069</v>
      </c>
      <c r="C649" s="11" t="s">
        <v>124</v>
      </c>
      <c r="D649" s="11" t="s">
        <v>73</v>
      </c>
      <c r="E649" s="11" t="s">
        <v>84</v>
      </c>
      <c r="F649" s="11" t="s">
        <v>128</v>
      </c>
      <c r="G649" s="9">
        <v>19</v>
      </c>
      <c r="H649" s="9">
        <v>4300</v>
      </c>
      <c r="I649" s="9">
        <v>0</v>
      </c>
      <c r="J649" s="9">
        <f t="shared" si="20"/>
        <v>81700</v>
      </c>
      <c r="K649" s="9">
        <f t="shared" si="21"/>
        <v>81700</v>
      </c>
      <c r="L649" s="11" t="s">
        <v>76</v>
      </c>
      <c r="M649" s="11" t="s">
        <v>91</v>
      </c>
    </row>
    <row r="650" spans="1:13" x14ac:dyDescent="0.25">
      <c r="A650" s="6">
        <v>637</v>
      </c>
      <c r="B650" s="7">
        <v>45137</v>
      </c>
      <c r="C650" s="8" t="s">
        <v>88</v>
      </c>
      <c r="D650" s="8" t="s">
        <v>117</v>
      </c>
      <c r="E650" s="8" t="s">
        <v>102</v>
      </c>
      <c r="F650" s="8" t="s">
        <v>110</v>
      </c>
      <c r="G650" s="6">
        <v>28</v>
      </c>
      <c r="H650" s="6">
        <v>24900</v>
      </c>
      <c r="I650" s="6">
        <v>0</v>
      </c>
      <c r="J650" s="6">
        <f t="shared" si="20"/>
        <v>697200</v>
      </c>
      <c r="K650" s="6">
        <f t="shared" si="21"/>
        <v>697200</v>
      </c>
      <c r="L650" s="8" t="s">
        <v>86</v>
      </c>
      <c r="M650" s="8" t="s">
        <v>96</v>
      </c>
    </row>
    <row r="651" spans="1:13" x14ac:dyDescent="0.25">
      <c r="A651" s="9">
        <v>638</v>
      </c>
      <c r="B651" s="10">
        <v>45523</v>
      </c>
      <c r="C651" s="11" t="s">
        <v>78</v>
      </c>
      <c r="D651" s="11" t="s">
        <v>93</v>
      </c>
      <c r="E651" s="11" t="s">
        <v>102</v>
      </c>
      <c r="F651" s="11" t="s">
        <v>151</v>
      </c>
      <c r="G651" s="9">
        <v>19</v>
      </c>
      <c r="H651" s="9">
        <v>8300</v>
      </c>
      <c r="I651" s="9">
        <v>0</v>
      </c>
      <c r="J651" s="9">
        <f t="shared" si="20"/>
        <v>157700</v>
      </c>
      <c r="K651" s="9">
        <f t="shared" si="21"/>
        <v>157700</v>
      </c>
      <c r="L651" s="11" t="s">
        <v>164</v>
      </c>
      <c r="M651" s="11" t="s">
        <v>77</v>
      </c>
    </row>
    <row r="652" spans="1:13" x14ac:dyDescent="0.25">
      <c r="A652" s="6">
        <v>639</v>
      </c>
      <c r="B652" s="7">
        <v>45647</v>
      </c>
      <c r="C652" s="8" t="s">
        <v>82</v>
      </c>
      <c r="D652" s="8" t="s">
        <v>117</v>
      </c>
      <c r="E652" s="8" t="s">
        <v>79</v>
      </c>
      <c r="F652" s="8" t="s">
        <v>179</v>
      </c>
      <c r="G652" s="6">
        <v>16</v>
      </c>
      <c r="H652" s="6">
        <v>2800</v>
      </c>
      <c r="I652" s="6">
        <v>15</v>
      </c>
      <c r="J652" s="6">
        <f t="shared" si="20"/>
        <v>44800</v>
      </c>
      <c r="K652" s="6">
        <f t="shared" si="21"/>
        <v>38080</v>
      </c>
      <c r="L652" s="8" t="s">
        <v>76</v>
      </c>
      <c r="M652" s="8" t="s">
        <v>91</v>
      </c>
    </row>
    <row r="653" spans="1:13" x14ac:dyDescent="0.25">
      <c r="A653" s="9">
        <v>640</v>
      </c>
      <c r="B653" s="10">
        <v>45252</v>
      </c>
      <c r="C653" s="11" t="s">
        <v>114</v>
      </c>
      <c r="D653" s="11" t="s">
        <v>83</v>
      </c>
      <c r="E653" s="11" t="s">
        <v>111</v>
      </c>
      <c r="F653" s="11" t="s">
        <v>165</v>
      </c>
      <c r="G653" s="9">
        <v>43</v>
      </c>
      <c r="H653" s="9">
        <v>18700</v>
      </c>
      <c r="I653" s="9">
        <v>0</v>
      </c>
      <c r="J653" s="9">
        <f t="shared" si="20"/>
        <v>804100</v>
      </c>
      <c r="K653" s="9">
        <f t="shared" si="21"/>
        <v>804100</v>
      </c>
      <c r="L653" s="11" t="s">
        <v>76</v>
      </c>
      <c r="M653" s="11" t="s">
        <v>81</v>
      </c>
    </row>
    <row r="654" spans="1:13" x14ac:dyDescent="0.25">
      <c r="A654" s="6">
        <v>641</v>
      </c>
      <c r="B654" s="8" t="s">
        <v>378</v>
      </c>
      <c r="C654" s="8" t="s">
        <v>114</v>
      </c>
      <c r="D654" s="8" t="s">
        <v>117</v>
      </c>
      <c r="E654" s="8" t="s">
        <v>111</v>
      </c>
      <c r="F654" s="8" t="s">
        <v>166</v>
      </c>
      <c r="G654" s="6">
        <v>43</v>
      </c>
      <c r="H654" s="6">
        <v>27200</v>
      </c>
      <c r="I654" s="6">
        <v>0</v>
      </c>
      <c r="J654" s="6">
        <f t="shared" si="20"/>
        <v>1169600</v>
      </c>
      <c r="K654" s="6">
        <f t="shared" si="21"/>
        <v>1169600</v>
      </c>
      <c r="L654" s="8" t="s">
        <v>76</v>
      </c>
      <c r="M654" s="8" t="s">
        <v>77</v>
      </c>
    </row>
    <row r="655" spans="1:13" x14ac:dyDescent="0.25">
      <c r="A655" s="9">
        <v>642</v>
      </c>
      <c r="B655" s="10">
        <v>45590</v>
      </c>
      <c r="C655" s="11" t="s">
        <v>78</v>
      </c>
      <c r="D655" s="11" t="s">
        <v>109</v>
      </c>
      <c r="E655" s="11" t="s">
        <v>111</v>
      </c>
      <c r="F655" s="11" t="s">
        <v>165</v>
      </c>
      <c r="G655" s="9">
        <v>9</v>
      </c>
      <c r="H655" s="9">
        <v>20600</v>
      </c>
      <c r="I655" s="9">
        <v>20</v>
      </c>
      <c r="J655" s="9">
        <f t="shared" si="20"/>
        <v>185400</v>
      </c>
      <c r="K655" s="9">
        <f t="shared" si="21"/>
        <v>148320</v>
      </c>
      <c r="L655" s="11" t="s">
        <v>76</v>
      </c>
      <c r="M655" s="11" t="s">
        <v>91</v>
      </c>
    </row>
    <row r="656" spans="1:13" x14ac:dyDescent="0.25">
      <c r="A656" s="6">
        <v>643</v>
      </c>
      <c r="B656" s="8" t="s">
        <v>379</v>
      </c>
      <c r="C656" s="8" t="s">
        <v>124</v>
      </c>
      <c r="D656" s="8" t="s">
        <v>83</v>
      </c>
      <c r="E656" s="8" t="s">
        <v>102</v>
      </c>
      <c r="F656" s="8" t="s">
        <v>103</v>
      </c>
      <c r="G656" s="6">
        <v>28</v>
      </c>
      <c r="H656" s="6">
        <v>9900</v>
      </c>
      <c r="I656" s="6">
        <v>5</v>
      </c>
      <c r="J656" s="6">
        <f t="shared" si="20"/>
        <v>277200</v>
      </c>
      <c r="K656" s="6">
        <f t="shared" si="21"/>
        <v>263340</v>
      </c>
      <c r="L656" s="8" t="s">
        <v>76</v>
      </c>
      <c r="M656" s="8" t="s">
        <v>91</v>
      </c>
    </row>
    <row r="657" spans="1:13" x14ac:dyDescent="0.25">
      <c r="A657" s="9">
        <v>644</v>
      </c>
      <c r="B657" s="11" t="s">
        <v>380</v>
      </c>
      <c r="C657" s="11" t="s">
        <v>381</v>
      </c>
      <c r="D657" s="11" t="s">
        <v>109</v>
      </c>
      <c r="E657" s="11" t="s">
        <v>111</v>
      </c>
      <c r="F657" s="11" t="s">
        <v>192</v>
      </c>
      <c r="G657" s="9">
        <v>47</v>
      </c>
      <c r="H657" s="9" t="s">
        <v>382</v>
      </c>
      <c r="I657" s="9">
        <v>5</v>
      </c>
      <c r="J657" s="9">
        <f t="shared" si="20"/>
        <v>4662400</v>
      </c>
      <c r="K657" s="9">
        <f t="shared" si="21"/>
        <v>4429280</v>
      </c>
      <c r="L657" s="11" t="s">
        <v>164</v>
      </c>
      <c r="M657" s="11" t="s">
        <v>96</v>
      </c>
    </row>
    <row r="658" spans="1:13" x14ac:dyDescent="0.25">
      <c r="A658" s="6">
        <v>645</v>
      </c>
      <c r="B658" s="7">
        <v>45486</v>
      </c>
      <c r="C658" s="8" t="s">
        <v>124</v>
      </c>
      <c r="D658" s="8" t="s">
        <v>117</v>
      </c>
      <c r="E658" s="8" t="s">
        <v>79</v>
      </c>
      <c r="F658" s="8" t="s">
        <v>136</v>
      </c>
      <c r="G658" s="6">
        <v>46</v>
      </c>
      <c r="H658" s="6">
        <v>88600</v>
      </c>
      <c r="I658" s="6">
        <v>15</v>
      </c>
      <c r="J658" s="6">
        <f t="shared" si="20"/>
        <v>4075600</v>
      </c>
      <c r="K658" s="6">
        <f t="shared" si="21"/>
        <v>3464260</v>
      </c>
      <c r="L658" s="8" t="s">
        <v>76</v>
      </c>
      <c r="M658" s="8" t="s">
        <v>91</v>
      </c>
    </row>
    <row r="659" spans="1:13" x14ac:dyDescent="0.25">
      <c r="A659" s="9">
        <v>646</v>
      </c>
      <c r="B659" s="11" t="s">
        <v>383</v>
      </c>
      <c r="C659" s="11" t="s">
        <v>108</v>
      </c>
      <c r="D659" s="11" t="s">
        <v>93</v>
      </c>
      <c r="E659" s="11" t="s">
        <v>74</v>
      </c>
      <c r="F659" s="11" t="s">
        <v>99</v>
      </c>
      <c r="G659" s="9">
        <v>34</v>
      </c>
      <c r="H659" s="9">
        <v>3600</v>
      </c>
      <c r="I659" s="9">
        <v>0</v>
      </c>
      <c r="J659" s="9">
        <f t="shared" si="20"/>
        <v>122400</v>
      </c>
      <c r="K659" s="9">
        <f t="shared" si="21"/>
        <v>122400</v>
      </c>
      <c r="L659" s="11" t="s">
        <v>107</v>
      </c>
      <c r="M659" s="11" t="s">
        <v>77</v>
      </c>
    </row>
    <row r="660" spans="1:13" x14ac:dyDescent="0.25">
      <c r="A660" s="6">
        <v>647</v>
      </c>
      <c r="B660" s="7">
        <v>45410</v>
      </c>
      <c r="C660" s="8" t="s">
        <v>97</v>
      </c>
      <c r="D660" s="8" t="s">
        <v>93</v>
      </c>
      <c r="E660" s="8" t="s">
        <v>102</v>
      </c>
      <c r="F660" s="8" t="s">
        <v>110</v>
      </c>
      <c r="G660" s="6">
        <v>22</v>
      </c>
      <c r="H660" s="6">
        <v>23200</v>
      </c>
      <c r="I660" s="6">
        <v>5</v>
      </c>
      <c r="J660" s="6">
        <f t="shared" si="20"/>
        <v>510400</v>
      </c>
      <c r="K660" s="6">
        <f t="shared" si="21"/>
        <v>484880</v>
      </c>
      <c r="L660" s="8" t="s">
        <v>76</v>
      </c>
      <c r="M660" s="8" t="s">
        <v>77</v>
      </c>
    </row>
    <row r="661" spans="1:13" x14ac:dyDescent="0.25">
      <c r="A661" s="9">
        <v>648</v>
      </c>
      <c r="B661" s="11" t="s">
        <v>384</v>
      </c>
      <c r="C661" s="11" t="s">
        <v>82</v>
      </c>
      <c r="D661" s="11" t="s">
        <v>83</v>
      </c>
      <c r="E661" s="11" t="s">
        <v>102</v>
      </c>
      <c r="F661" s="11" t="s">
        <v>157</v>
      </c>
      <c r="G661" s="9">
        <v>19</v>
      </c>
      <c r="H661" s="9">
        <v>12100</v>
      </c>
      <c r="I661" s="9">
        <v>15</v>
      </c>
      <c r="J661" s="9">
        <f t="shared" si="20"/>
        <v>229900</v>
      </c>
      <c r="K661" s="9">
        <f t="shared" si="21"/>
        <v>195415</v>
      </c>
      <c r="L661" s="11" t="s">
        <v>76</v>
      </c>
      <c r="M661" s="11" t="s">
        <v>77</v>
      </c>
    </row>
    <row r="662" spans="1:13" x14ac:dyDescent="0.25">
      <c r="A662" s="6">
        <v>649</v>
      </c>
      <c r="B662" s="7">
        <v>45538</v>
      </c>
      <c r="C662" s="8" t="s">
        <v>101</v>
      </c>
      <c r="D662" s="8" t="s">
        <v>93</v>
      </c>
      <c r="E662" s="8" t="s">
        <v>74</v>
      </c>
      <c r="F662" s="8" t="s">
        <v>94</v>
      </c>
      <c r="G662" s="6">
        <v>38</v>
      </c>
      <c r="H662" s="6">
        <v>37000</v>
      </c>
      <c r="I662" s="6">
        <v>15</v>
      </c>
      <c r="J662" s="6">
        <f t="shared" si="20"/>
        <v>1406000</v>
      </c>
      <c r="K662" s="6">
        <f t="shared" si="21"/>
        <v>1195100</v>
      </c>
      <c r="L662" s="8" t="s">
        <v>76</v>
      </c>
      <c r="M662" s="8" t="s">
        <v>77</v>
      </c>
    </row>
    <row r="663" spans="1:13" x14ac:dyDescent="0.25">
      <c r="A663" s="9">
        <v>650</v>
      </c>
      <c r="B663" s="10">
        <v>45225</v>
      </c>
      <c r="C663" s="11" t="s">
        <v>124</v>
      </c>
      <c r="D663" s="11" t="s">
        <v>73</v>
      </c>
      <c r="E663" s="11" t="s">
        <v>270</v>
      </c>
      <c r="F663" s="11" t="s">
        <v>99</v>
      </c>
      <c r="G663" s="9">
        <v>33</v>
      </c>
      <c r="H663" s="9">
        <v>3200</v>
      </c>
      <c r="I663" s="9">
        <v>0</v>
      </c>
      <c r="J663" s="9">
        <f t="shared" si="20"/>
        <v>105600</v>
      </c>
      <c r="K663" s="9">
        <f t="shared" si="21"/>
        <v>105600</v>
      </c>
      <c r="L663" s="11" t="s">
        <v>76</v>
      </c>
      <c r="M663" s="11" t="s">
        <v>96</v>
      </c>
    </row>
    <row r="664" spans="1:13" x14ac:dyDescent="0.25">
      <c r="A664" s="6">
        <v>651</v>
      </c>
      <c r="B664" s="7">
        <v>45062</v>
      </c>
      <c r="C664" s="8" t="s">
        <v>124</v>
      </c>
      <c r="D664" s="8" t="s">
        <v>117</v>
      </c>
      <c r="E664" s="8" t="s">
        <v>74</v>
      </c>
      <c r="F664" s="8" t="s">
        <v>190</v>
      </c>
      <c r="G664" s="6">
        <v>8</v>
      </c>
      <c r="H664" s="6">
        <v>28900</v>
      </c>
      <c r="I664" s="6">
        <v>15</v>
      </c>
      <c r="J664" s="6">
        <f t="shared" si="20"/>
        <v>231200</v>
      </c>
      <c r="K664" s="6">
        <f t="shared" si="21"/>
        <v>196520</v>
      </c>
      <c r="L664" s="8" t="s">
        <v>129</v>
      </c>
      <c r="M664" s="8" t="s">
        <v>81</v>
      </c>
    </row>
    <row r="665" spans="1:13" x14ac:dyDescent="0.25">
      <c r="A665" s="9">
        <v>652</v>
      </c>
      <c r="B665" s="10">
        <v>45384</v>
      </c>
      <c r="C665" s="11" t="s">
        <v>88</v>
      </c>
      <c r="D665" s="11" t="s">
        <v>109</v>
      </c>
      <c r="E665" s="11" t="s">
        <v>74</v>
      </c>
      <c r="F665" s="11" t="s">
        <v>75</v>
      </c>
      <c r="G665" s="9">
        <v>34</v>
      </c>
      <c r="H665" s="9">
        <v>22500</v>
      </c>
      <c r="I665" s="9">
        <v>0</v>
      </c>
      <c r="J665" s="9">
        <f t="shared" si="20"/>
        <v>765000</v>
      </c>
      <c r="K665" s="9">
        <f t="shared" si="21"/>
        <v>765000</v>
      </c>
      <c r="L665" s="11" t="s">
        <v>107</v>
      </c>
      <c r="M665" s="11" t="s">
        <v>96</v>
      </c>
    </row>
    <row r="666" spans="1:13" x14ac:dyDescent="0.25">
      <c r="A666" s="6">
        <v>653</v>
      </c>
      <c r="B666" s="7">
        <v>45075</v>
      </c>
      <c r="C666" s="8" t="s">
        <v>124</v>
      </c>
      <c r="D666" s="8" t="s">
        <v>109</v>
      </c>
      <c r="E666" s="8" t="s">
        <v>111</v>
      </c>
      <c r="F666" s="8" t="s">
        <v>165</v>
      </c>
      <c r="G666" s="6">
        <v>16</v>
      </c>
      <c r="H666" s="6">
        <v>19700</v>
      </c>
      <c r="I666" s="6">
        <v>0</v>
      </c>
      <c r="J666" s="6">
        <f t="shared" si="20"/>
        <v>315200</v>
      </c>
      <c r="K666" s="6">
        <f t="shared" si="21"/>
        <v>315200</v>
      </c>
      <c r="L666" s="8" t="s">
        <v>86</v>
      </c>
      <c r="M666" s="8" t="s">
        <v>81</v>
      </c>
    </row>
    <row r="667" spans="1:13" x14ac:dyDescent="0.25">
      <c r="A667" s="9">
        <v>654</v>
      </c>
      <c r="B667" s="11" t="s">
        <v>385</v>
      </c>
      <c r="C667" s="11" t="s">
        <v>88</v>
      </c>
      <c r="D667" s="11" t="s">
        <v>73</v>
      </c>
      <c r="E667" s="11" t="s">
        <v>74</v>
      </c>
      <c r="F667" s="11" t="s">
        <v>118</v>
      </c>
      <c r="G667" s="9">
        <v>30</v>
      </c>
      <c r="H667" s="9">
        <v>25600</v>
      </c>
      <c r="I667" s="9">
        <v>5</v>
      </c>
      <c r="J667" s="9">
        <f t="shared" si="20"/>
        <v>768000</v>
      </c>
      <c r="K667" s="9">
        <f t="shared" si="21"/>
        <v>729600</v>
      </c>
      <c r="L667" s="11" t="s">
        <v>76</v>
      </c>
      <c r="M667" s="11" t="s">
        <v>96</v>
      </c>
    </row>
    <row r="668" spans="1:13" x14ac:dyDescent="0.25">
      <c r="A668" s="6">
        <v>655</v>
      </c>
      <c r="B668" s="7">
        <v>45472</v>
      </c>
      <c r="C668" s="8" t="s">
        <v>106</v>
      </c>
      <c r="D668" s="8" t="s">
        <v>83</v>
      </c>
      <c r="E668" s="8" t="s">
        <v>111</v>
      </c>
      <c r="F668" s="8" t="s">
        <v>159</v>
      </c>
      <c r="G668" s="6">
        <v>34</v>
      </c>
      <c r="H668" s="6">
        <v>11600</v>
      </c>
      <c r="I668" s="6">
        <v>0</v>
      </c>
      <c r="J668" s="6">
        <f t="shared" si="20"/>
        <v>394400</v>
      </c>
      <c r="K668" s="6">
        <f t="shared" si="21"/>
        <v>394400</v>
      </c>
      <c r="L668" s="8" t="s">
        <v>107</v>
      </c>
      <c r="M668" s="8" t="s">
        <v>77</v>
      </c>
    </row>
    <row r="669" spans="1:13" x14ac:dyDescent="0.25">
      <c r="A669" s="9">
        <v>656</v>
      </c>
      <c r="B669" s="10">
        <v>45386</v>
      </c>
      <c r="C669" s="11" t="s">
        <v>114</v>
      </c>
      <c r="D669" s="11" t="s">
        <v>117</v>
      </c>
      <c r="E669" s="11" t="s">
        <v>102</v>
      </c>
      <c r="F669" s="11" t="s">
        <v>138</v>
      </c>
      <c r="G669" s="9">
        <v>35</v>
      </c>
      <c r="H669" s="9">
        <v>6000</v>
      </c>
      <c r="I669" s="9">
        <v>10</v>
      </c>
      <c r="J669" s="9">
        <f t="shared" si="20"/>
        <v>210000</v>
      </c>
      <c r="K669" s="9">
        <f t="shared" si="21"/>
        <v>189000</v>
      </c>
      <c r="L669" s="11" t="s">
        <v>76</v>
      </c>
      <c r="M669" s="11" t="s">
        <v>91</v>
      </c>
    </row>
    <row r="670" spans="1:13" x14ac:dyDescent="0.25">
      <c r="A670" s="6">
        <v>657</v>
      </c>
      <c r="B670" s="8" t="s">
        <v>386</v>
      </c>
      <c r="C670" s="8" t="s">
        <v>101</v>
      </c>
      <c r="D670" s="8" t="s">
        <v>117</v>
      </c>
      <c r="E670" s="8" t="s">
        <v>74</v>
      </c>
      <c r="F670" s="8" t="s">
        <v>190</v>
      </c>
      <c r="G670" s="6">
        <v>17</v>
      </c>
      <c r="H670" s="6">
        <v>35200</v>
      </c>
      <c r="I670" s="6">
        <v>5</v>
      </c>
      <c r="J670" s="6">
        <f t="shared" si="20"/>
        <v>598400</v>
      </c>
      <c r="K670" s="6">
        <f t="shared" si="21"/>
        <v>568480</v>
      </c>
      <c r="L670" s="8" t="s">
        <v>86</v>
      </c>
      <c r="M670" s="8" t="s">
        <v>91</v>
      </c>
    </row>
    <row r="671" spans="1:13" x14ac:dyDescent="0.25">
      <c r="A671" s="9">
        <v>658</v>
      </c>
      <c r="B671" s="10">
        <v>45618</v>
      </c>
      <c r="C671" s="11" t="s">
        <v>106</v>
      </c>
      <c r="D671" s="11" t="s">
        <v>93</v>
      </c>
      <c r="E671" s="11" t="s">
        <v>84</v>
      </c>
      <c r="F671" s="11" t="s">
        <v>200</v>
      </c>
      <c r="G671" s="9">
        <v>12</v>
      </c>
      <c r="H671" s="9">
        <v>3400</v>
      </c>
      <c r="I671" s="9">
        <v>15</v>
      </c>
      <c r="J671" s="9">
        <f t="shared" si="20"/>
        <v>40800</v>
      </c>
      <c r="K671" s="9">
        <f t="shared" si="21"/>
        <v>34680</v>
      </c>
      <c r="L671" s="11" t="s">
        <v>76</v>
      </c>
      <c r="M671" s="11" t="s">
        <v>77</v>
      </c>
    </row>
    <row r="672" spans="1:13" x14ac:dyDescent="0.25">
      <c r="A672" s="6">
        <v>659</v>
      </c>
      <c r="B672" s="7">
        <v>44935</v>
      </c>
      <c r="C672" s="8" t="s">
        <v>72</v>
      </c>
      <c r="D672" s="8" t="s">
        <v>73</v>
      </c>
      <c r="E672" s="8" t="s">
        <v>111</v>
      </c>
      <c r="F672" s="8" t="s">
        <v>112</v>
      </c>
      <c r="G672" s="6">
        <v>44</v>
      </c>
      <c r="H672" s="6">
        <v>67000</v>
      </c>
      <c r="I672" s="6">
        <v>15</v>
      </c>
      <c r="J672" s="6">
        <f t="shared" si="20"/>
        <v>2948000</v>
      </c>
      <c r="K672" s="6">
        <f t="shared" si="21"/>
        <v>2505800</v>
      </c>
      <c r="L672" s="8" t="s">
        <v>174</v>
      </c>
      <c r="M672" s="8" t="s">
        <v>81</v>
      </c>
    </row>
    <row r="673" spans="1:13" x14ac:dyDescent="0.25">
      <c r="A673" s="9">
        <v>660</v>
      </c>
      <c r="B673" s="10">
        <v>45217</v>
      </c>
      <c r="C673" s="11" t="s">
        <v>101</v>
      </c>
      <c r="D673" s="11"/>
      <c r="E673" s="11" t="s">
        <v>79</v>
      </c>
      <c r="F673" s="11" t="s">
        <v>136</v>
      </c>
      <c r="G673" s="9">
        <v>4</v>
      </c>
      <c r="H673" s="9">
        <v>89700</v>
      </c>
      <c r="I673" s="9">
        <v>10</v>
      </c>
      <c r="J673" s="9">
        <f t="shared" si="20"/>
        <v>358800</v>
      </c>
      <c r="K673" s="9">
        <f t="shared" si="21"/>
        <v>322920</v>
      </c>
      <c r="L673" s="11" t="s">
        <v>125</v>
      </c>
      <c r="M673" s="11" t="s">
        <v>81</v>
      </c>
    </row>
    <row r="674" spans="1:13" x14ac:dyDescent="0.25">
      <c r="A674" s="6">
        <v>661</v>
      </c>
      <c r="B674" s="7">
        <v>45580</v>
      </c>
      <c r="C674" s="8" t="s">
        <v>121</v>
      </c>
      <c r="D674" s="8" t="s">
        <v>73</v>
      </c>
      <c r="E674" s="8" t="s">
        <v>79</v>
      </c>
      <c r="F674" s="8" t="s">
        <v>122</v>
      </c>
      <c r="G674" s="6">
        <v>49</v>
      </c>
      <c r="H674" s="6">
        <v>17900</v>
      </c>
      <c r="I674" s="6">
        <v>0</v>
      </c>
      <c r="J674" s="6">
        <f t="shared" si="20"/>
        <v>877100</v>
      </c>
      <c r="K674" s="6">
        <f t="shared" si="21"/>
        <v>877100</v>
      </c>
      <c r="L674" s="8" t="s">
        <v>107</v>
      </c>
      <c r="M674" s="8" t="s">
        <v>81</v>
      </c>
    </row>
    <row r="675" spans="1:13" x14ac:dyDescent="0.25">
      <c r="A675" s="9">
        <v>662</v>
      </c>
      <c r="B675" s="10">
        <v>45639</v>
      </c>
      <c r="C675" s="11" t="s">
        <v>160</v>
      </c>
      <c r="D675" s="11" t="s">
        <v>117</v>
      </c>
      <c r="E675" s="11" t="s">
        <v>74</v>
      </c>
      <c r="F675" s="11" t="s">
        <v>99</v>
      </c>
      <c r="G675" s="9">
        <v>5</v>
      </c>
      <c r="H675" s="9">
        <v>3700</v>
      </c>
      <c r="I675" s="9">
        <v>20</v>
      </c>
      <c r="J675" s="9">
        <f t="shared" si="20"/>
        <v>18500</v>
      </c>
      <c r="K675" s="9">
        <f t="shared" si="21"/>
        <v>14800</v>
      </c>
      <c r="L675" s="11" t="s">
        <v>164</v>
      </c>
      <c r="M675" s="11" t="s">
        <v>96</v>
      </c>
    </row>
    <row r="676" spans="1:13" x14ac:dyDescent="0.25">
      <c r="A676" s="6">
        <v>208</v>
      </c>
      <c r="B676" s="7">
        <v>44968</v>
      </c>
      <c r="C676" s="8" t="s">
        <v>78</v>
      </c>
      <c r="D676" s="8" t="s">
        <v>73</v>
      </c>
      <c r="E676" s="8" t="s">
        <v>84</v>
      </c>
      <c r="F676" s="8" t="s">
        <v>200</v>
      </c>
      <c r="G676" s="6">
        <v>34</v>
      </c>
      <c r="H676" s="6">
        <v>3500</v>
      </c>
      <c r="I676" s="6">
        <v>0</v>
      </c>
      <c r="J676" s="6">
        <f t="shared" si="20"/>
        <v>119000</v>
      </c>
      <c r="K676" s="6">
        <f t="shared" si="21"/>
        <v>119000</v>
      </c>
      <c r="L676" s="8" t="s">
        <v>76</v>
      </c>
      <c r="M676" s="8" t="s">
        <v>81</v>
      </c>
    </row>
    <row r="677" spans="1:13" x14ac:dyDescent="0.25">
      <c r="A677" s="9">
        <v>663</v>
      </c>
      <c r="B677" s="11" t="s">
        <v>387</v>
      </c>
      <c r="C677" s="11" t="s">
        <v>88</v>
      </c>
      <c r="D677" s="11"/>
      <c r="E677" s="11" t="s">
        <v>84</v>
      </c>
      <c r="F677" s="11" t="s">
        <v>150</v>
      </c>
      <c r="G677" s="9">
        <v>4</v>
      </c>
      <c r="H677" s="9">
        <v>5300</v>
      </c>
      <c r="I677" s="9">
        <v>0</v>
      </c>
      <c r="J677" s="9">
        <f t="shared" si="20"/>
        <v>21200</v>
      </c>
      <c r="K677" s="9">
        <f t="shared" si="21"/>
        <v>21200</v>
      </c>
      <c r="L677" s="11" t="s">
        <v>76</v>
      </c>
      <c r="M677" s="11" t="s">
        <v>96</v>
      </c>
    </row>
    <row r="678" spans="1:13" x14ac:dyDescent="0.25">
      <c r="A678" s="6">
        <v>664</v>
      </c>
      <c r="B678" s="7">
        <v>45191</v>
      </c>
      <c r="C678" s="8" t="s">
        <v>101</v>
      </c>
      <c r="D678" s="8" t="s">
        <v>109</v>
      </c>
      <c r="E678" s="8" t="s">
        <v>111</v>
      </c>
      <c r="F678" s="8" t="s">
        <v>112</v>
      </c>
      <c r="G678" s="6">
        <v>13</v>
      </c>
      <c r="H678" s="6">
        <v>66500</v>
      </c>
      <c r="I678" s="6">
        <v>15</v>
      </c>
      <c r="J678" s="6">
        <f t="shared" si="20"/>
        <v>864500</v>
      </c>
      <c r="K678" s="6">
        <f t="shared" si="21"/>
        <v>734825</v>
      </c>
      <c r="L678" s="8" t="s">
        <v>76</v>
      </c>
      <c r="M678" s="8" t="s">
        <v>81</v>
      </c>
    </row>
    <row r="679" spans="1:13" x14ac:dyDescent="0.25">
      <c r="A679" s="9">
        <v>665</v>
      </c>
      <c r="B679" s="10">
        <v>45430</v>
      </c>
      <c r="C679" s="11" t="s">
        <v>97</v>
      </c>
      <c r="D679" s="11" t="s">
        <v>109</v>
      </c>
      <c r="E679" s="11" t="s">
        <v>102</v>
      </c>
      <c r="F679" s="11" t="s">
        <v>151</v>
      </c>
      <c r="G679" s="9">
        <v>42</v>
      </c>
      <c r="H679" s="9">
        <v>7200</v>
      </c>
      <c r="I679" s="9">
        <v>15</v>
      </c>
      <c r="J679" s="9">
        <f t="shared" si="20"/>
        <v>302400</v>
      </c>
      <c r="K679" s="9">
        <f t="shared" si="21"/>
        <v>257040</v>
      </c>
      <c r="L679" s="11" t="s">
        <v>174</v>
      </c>
      <c r="M679" s="11" t="s">
        <v>91</v>
      </c>
    </row>
    <row r="680" spans="1:13" x14ac:dyDescent="0.25">
      <c r="A680" s="6">
        <v>666</v>
      </c>
      <c r="B680" s="7">
        <v>45192</v>
      </c>
      <c r="C680" s="8" t="s">
        <v>97</v>
      </c>
      <c r="D680" s="8" t="s">
        <v>73</v>
      </c>
      <c r="E680" s="8" t="s">
        <v>79</v>
      </c>
      <c r="F680" s="8" t="s">
        <v>131</v>
      </c>
      <c r="G680" s="12">
        <v>-17</v>
      </c>
      <c r="H680" s="6">
        <v>125100</v>
      </c>
      <c r="I680" s="6">
        <v>5</v>
      </c>
      <c r="J680" s="6">
        <f t="shared" si="20"/>
        <v>-2126700</v>
      </c>
      <c r="K680" s="6">
        <f t="shared" si="21"/>
        <v>-2020365</v>
      </c>
      <c r="L680" s="8" t="s">
        <v>86</v>
      </c>
      <c r="M680" s="8" t="s">
        <v>77</v>
      </c>
    </row>
    <row r="681" spans="1:13" x14ac:dyDescent="0.25">
      <c r="A681" s="9">
        <v>667</v>
      </c>
      <c r="B681" s="11" t="s">
        <v>388</v>
      </c>
      <c r="C681" s="11" t="s">
        <v>78</v>
      </c>
      <c r="D681" s="11" t="s">
        <v>73</v>
      </c>
      <c r="E681" s="11" t="s">
        <v>111</v>
      </c>
      <c r="F681" s="11" t="s">
        <v>135</v>
      </c>
      <c r="G681" s="9">
        <v>22</v>
      </c>
      <c r="H681" s="9">
        <v>107900</v>
      </c>
      <c r="I681" s="9">
        <v>10</v>
      </c>
      <c r="J681" s="9">
        <f t="shared" si="20"/>
        <v>2373800</v>
      </c>
      <c r="K681" s="9">
        <f t="shared" si="21"/>
        <v>2136420</v>
      </c>
      <c r="L681" s="11" t="s">
        <v>107</v>
      </c>
      <c r="M681" s="11" t="s">
        <v>77</v>
      </c>
    </row>
    <row r="682" spans="1:13" x14ac:dyDescent="0.25">
      <c r="A682" s="6">
        <v>668</v>
      </c>
      <c r="B682" s="8" t="s">
        <v>389</v>
      </c>
      <c r="C682" s="8" t="s">
        <v>119</v>
      </c>
      <c r="D682" s="8" t="s">
        <v>83</v>
      </c>
      <c r="E682" s="8" t="s">
        <v>111</v>
      </c>
      <c r="F682" s="8" t="s">
        <v>165</v>
      </c>
      <c r="G682" s="6">
        <v>50</v>
      </c>
      <c r="H682" s="6">
        <v>20000</v>
      </c>
      <c r="I682" s="6">
        <v>10</v>
      </c>
      <c r="J682" s="6">
        <f t="shared" si="20"/>
        <v>1000000</v>
      </c>
      <c r="K682" s="6">
        <f t="shared" si="21"/>
        <v>900000</v>
      </c>
      <c r="L682" s="8" t="s">
        <v>86</v>
      </c>
      <c r="M682" s="8" t="s">
        <v>77</v>
      </c>
    </row>
    <row r="683" spans="1:13" x14ac:dyDescent="0.25">
      <c r="A683" s="9">
        <v>669</v>
      </c>
      <c r="B683" s="10">
        <v>45158</v>
      </c>
      <c r="C683" s="11" t="s">
        <v>256</v>
      </c>
      <c r="D683" s="11" t="s">
        <v>83</v>
      </c>
      <c r="E683" s="11" t="s">
        <v>111</v>
      </c>
      <c r="F683" s="11" t="s">
        <v>112</v>
      </c>
      <c r="G683" s="9">
        <v>23</v>
      </c>
      <c r="H683" s="9">
        <v>67700</v>
      </c>
      <c r="I683" s="9">
        <v>5</v>
      </c>
      <c r="J683" s="9">
        <f t="shared" si="20"/>
        <v>1557100</v>
      </c>
      <c r="K683" s="9">
        <f t="shared" si="21"/>
        <v>1479245</v>
      </c>
      <c r="L683" s="11" t="s">
        <v>76</v>
      </c>
      <c r="M683" s="11" t="s">
        <v>96</v>
      </c>
    </row>
    <row r="684" spans="1:13" x14ac:dyDescent="0.25">
      <c r="A684" s="6">
        <v>670</v>
      </c>
      <c r="B684" s="7">
        <v>44983</v>
      </c>
      <c r="C684" s="8" t="s">
        <v>97</v>
      </c>
      <c r="D684" s="8" t="s">
        <v>117</v>
      </c>
      <c r="E684" s="8" t="s">
        <v>102</v>
      </c>
      <c r="F684" s="8" t="s">
        <v>157</v>
      </c>
      <c r="G684" s="6">
        <v>30</v>
      </c>
      <c r="H684" s="6">
        <v>11000</v>
      </c>
      <c r="I684" s="6">
        <v>15</v>
      </c>
      <c r="J684" s="6">
        <f t="shared" si="20"/>
        <v>330000</v>
      </c>
      <c r="K684" s="6">
        <f t="shared" si="21"/>
        <v>280500</v>
      </c>
      <c r="L684" s="8" t="s">
        <v>86</v>
      </c>
      <c r="M684" s="8" t="s">
        <v>96</v>
      </c>
    </row>
    <row r="685" spans="1:13" x14ac:dyDescent="0.25">
      <c r="A685" s="9">
        <v>671</v>
      </c>
      <c r="B685" s="10">
        <v>45134</v>
      </c>
      <c r="C685" s="11" t="s">
        <v>108</v>
      </c>
      <c r="D685" s="11" t="s">
        <v>93</v>
      </c>
      <c r="E685" s="11" t="s">
        <v>324</v>
      </c>
      <c r="F685" s="11" t="s">
        <v>115</v>
      </c>
      <c r="G685" s="9">
        <v>20</v>
      </c>
      <c r="H685" s="9">
        <v>9600</v>
      </c>
      <c r="I685" s="9">
        <v>15</v>
      </c>
      <c r="J685" s="9">
        <f t="shared" si="20"/>
        <v>192000</v>
      </c>
      <c r="K685" s="9">
        <f t="shared" si="21"/>
        <v>163200</v>
      </c>
      <c r="L685" s="11" t="s">
        <v>86</v>
      </c>
      <c r="M685" s="11" t="s">
        <v>77</v>
      </c>
    </row>
    <row r="686" spans="1:13" x14ac:dyDescent="0.25">
      <c r="A686" s="6">
        <v>672</v>
      </c>
      <c r="B686" s="7">
        <v>45632</v>
      </c>
      <c r="C686" s="8" t="s">
        <v>88</v>
      </c>
      <c r="D686" s="8" t="s">
        <v>83</v>
      </c>
      <c r="E686" s="8" t="s">
        <v>79</v>
      </c>
      <c r="F686" s="8" t="s">
        <v>172</v>
      </c>
      <c r="G686" s="6">
        <v>9</v>
      </c>
      <c r="H686" s="6">
        <v>27100</v>
      </c>
      <c r="I686" s="6">
        <v>15</v>
      </c>
      <c r="J686" s="6">
        <f t="shared" si="20"/>
        <v>243900</v>
      </c>
      <c r="K686" s="6">
        <f t="shared" si="21"/>
        <v>207315</v>
      </c>
      <c r="L686" s="8" t="s">
        <v>76</v>
      </c>
      <c r="M686" s="8" t="s">
        <v>77</v>
      </c>
    </row>
    <row r="687" spans="1:13" x14ac:dyDescent="0.25">
      <c r="A687" s="9">
        <v>673</v>
      </c>
      <c r="B687" s="10">
        <v>45534</v>
      </c>
      <c r="C687" s="11" t="s">
        <v>106</v>
      </c>
      <c r="D687" s="11" t="s">
        <v>83</v>
      </c>
      <c r="E687" s="11" t="s">
        <v>191</v>
      </c>
      <c r="F687" s="11" t="s">
        <v>112</v>
      </c>
      <c r="G687" s="9">
        <v>42</v>
      </c>
      <c r="H687" s="9">
        <v>71400</v>
      </c>
      <c r="I687" s="9">
        <v>0</v>
      </c>
      <c r="J687" s="9">
        <f t="shared" si="20"/>
        <v>2998800</v>
      </c>
      <c r="K687" s="9">
        <f t="shared" si="21"/>
        <v>2998800</v>
      </c>
      <c r="L687" s="11" t="s">
        <v>76</v>
      </c>
      <c r="M687" s="11" t="s">
        <v>91</v>
      </c>
    </row>
    <row r="688" spans="1:13" x14ac:dyDescent="0.25">
      <c r="A688" s="6">
        <v>674</v>
      </c>
      <c r="B688" s="7">
        <v>44964</v>
      </c>
      <c r="C688" s="8" t="s">
        <v>88</v>
      </c>
      <c r="D688" s="8"/>
      <c r="E688" s="8" t="s">
        <v>74</v>
      </c>
      <c r="F688" s="8" t="s">
        <v>94</v>
      </c>
      <c r="G688" s="6">
        <v>14</v>
      </c>
      <c r="H688" s="6">
        <v>35000</v>
      </c>
      <c r="I688" s="6">
        <v>15</v>
      </c>
      <c r="J688" s="6">
        <f t="shared" si="20"/>
        <v>490000</v>
      </c>
      <c r="K688" s="6">
        <f t="shared" si="21"/>
        <v>416500</v>
      </c>
      <c r="L688" s="8" t="s">
        <v>86</v>
      </c>
      <c r="M688" s="8" t="s">
        <v>91</v>
      </c>
    </row>
    <row r="689" spans="1:13" x14ac:dyDescent="0.25">
      <c r="A689" s="9">
        <v>675</v>
      </c>
      <c r="B689" s="11" t="s">
        <v>390</v>
      </c>
      <c r="C689" s="11" t="s">
        <v>108</v>
      </c>
      <c r="D689" s="11" t="s">
        <v>93</v>
      </c>
      <c r="E689" s="11" t="s">
        <v>84</v>
      </c>
      <c r="F689" s="11" t="s">
        <v>150</v>
      </c>
      <c r="G689" s="9">
        <v>10</v>
      </c>
      <c r="H689" s="9">
        <v>5000</v>
      </c>
      <c r="I689" s="9">
        <v>5</v>
      </c>
      <c r="J689" s="9">
        <f t="shared" si="20"/>
        <v>50000</v>
      </c>
      <c r="K689" s="9">
        <f t="shared" si="21"/>
        <v>47500</v>
      </c>
      <c r="L689" s="11" t="s">
        <v>76</v>
      </c>
      <c r="M689" s="11" t="s">
        <v>77</v>
      </c>
    </row>
    <row r="690" spans="1:13" x14ac:dyDescent="0.25">
      <c r="A690" s="6">
        <v>676</v>
      </c>
      <c r="B690" s="7">
        <v>45560</v>
      </c>
      <c r="C690" s="8" t="s">
        <v>78</v>
      </c>
      <c r="D690" s="8" t="s">
        <v>109</v>
      </c>
      <c r="E690" s="8" t="s">
        <v>84</v>
      </c>
      <c r="F690" s="8" t="s">
        <v>206</v>
      </c>
      <c r="G690" s="6">
        <v>4</v>
      </c>
      <c r="H690" s="6">
        <v>13200</v>
      </c>
      <c r="I690" s="6">
        <v>5</v>
      </c>
      <c r="J690" s="6">
        <f t="shared" si="20"/>
        <v>52800</v>
      </c>
      <c r="K690" s="6">
        <f t="shared" si="21"/>
        <v>50160</v>
      </c>
      <c r="L690" s="8" t="s">
        <v>107</v>
      </c>
      <c r="M690" s="8" t="s">
        <v>77</v>
      </c>
    </row>
    <row r="691" spans="1:13" x14ac:dyDescent="0.25">
      <c r="A691" s="9">
        <v>677</v>
      </c>
      <c r="B691" s="10">
        <v>45552</v>
      </c>
      <c r="C691" s="11" t="s">
        <v>108</v>
      </c>
      <c r="D691" s="11" t="s">
        <v>93</v>
      </c>
      <c r="E691" s="11" t="s">
        <v>79</v>
      </c>
      <c r="F691" s="11" t="s">
        <v>131</v>
      </c>
      <c r="G691" s="9">
        <v>39</v>
      </c>
      <c r="H691" s="9">
        <v>111400</v>
      </c>
      <c r="I691" s="9">
        <v>0</v>
      </c>
      <c r="J691" s="9">
        <f t="shared" si="20"/>
        <v>4344600</v>
      </c>
      <c r="K691" s="9">
        <f t="shared" si="21"/>
        <v>4344600</v>
      </c>
      <c r="L691" s="11" t="s">
        <v>86</v>
      </c>
      <c r="M691" s="11" t="s">
        <v>81</v>
      </c>
    </row>
    <row r="692" spans="1:13" x14ac:dyDescent="0.25">
      <c r="A692" s="6">
        <v>678</v>
      </c>
      <c r="B692" s="7">
        <v>45134</v>
      </c>
      <c r="C692" s="8" t="s">
        <v>114</v>
      </c>
      <c r="D692" s="8"/>
      <c r="E692" s="8" t="s">
        <v>111</v>
      </c>
      <c r="F692" s="8" t="s">
        <v>132</v>
      </c>
      <c r="G692" s="6">
        <v>44</v>
      </c>
      <c r="H692" s="6">
        <v>7000</v>
      </c>
      <c r="I692" s="6">
        <v>0</v>
      </c>
      <c r="J692" s="6">
        <f t="shared" si="20"/>
        <v>308000</v>
      </c>
      <c r="K692" s="6">
        <f t="shared" si="21"/>
        <v>308000</v>
      </c>
      <c r="L692" s="8" t="s">
        <v>76</v>
      </c>
      <c r="M692" s="8" t="s">
        <v>81</v>
      </c>
    </row>
    <row r="693" spans="1:13" x14ac:dyDescent="0.25">
      <c r="A693" s="9">
        <v>679</v>
      </c>
      <c r="B693" s="10">
        <v>45145</v>
      </c>
      <c r="C693" s="11" t="s">
        <v>256</v>
      </c>
      <c r="D693" s="11" t="s">
        <v>93</v>
      </c>
      <c r="E693" s="11" t="s">
        <v>84</v>
      </c>
      <c r="F693" s="11" t="s">
        <v>200</v>
      </c>
      <c r="G693" s="9">
        <v>18</v>
      </c>
      <c r="H693" s="9">
        <v>2900</v>
      </c>
      <c r="I693" s="9">
        <v>0</v>
      </c>
      <c r="J693" s="9">
        <f t="shared" si="20"/>
        <v>52200</v>
      </c>
      <c r="K693" s="9">
        <f t="shared" si="21"/>
        <v>52200</v>
      </c>
      <c r="L693" s="11" t="s">
        <v>76</v>
      </c>
      <c r="M693" s="11" t="s">
        <v>91</v>
      </c>
    </row>
    <row r="694" spans="1:13" x14ac:dyDescent="0.25">
      <c r="A694" s="6">
        <v>680</v>
      </c>
      <c r="B694" s="7">
        <v>45640</v>
      </c>
      <c r="C694" s="8" t="s">
        <v>88</v>
      </c>
      <c r="D694" s="8" t="s">
        <v>93</v>
      </c>
      <c r="E694" s="8" t="s">
        <v>84</v>
      </c>
      <c r="F694" s="8" t="s">
        <v>85</v>
      </c>
      <c r="G694" s="6">
        <v>38</v>
      </c>
      <c r="H694" s="6">
        <v>5200</v>
      </c>
      <c r="I694" s="6">
        <v>20</v>
      </c>
      <c r="J694" s="6">
        <f t="shared" si="20"/>
        <v>197600</v>
      </c>
      <c r="K694" s="6">
        <f t="shared" si="21"/>
        <v>158080</v>
      </c>
      <c r="L694" s="8" t="s">
        <v>76</v>
      </c>
      <c r="M694" s="8" t="s">
        <v>77</v>
      </c>
    </row>
    <row r="695" spans="1:13" x14ac:dyDescent="0.25">
      <c r="A695" s="9">
        <v>681</v>
      </c>
      <c r="B695" s="10">
        <v>45574</v>
      </c>
      <c r="C695" s="11" t="s">
        <v>124</v>
      </c>
      <c r="D695" s="11" t="s">
        <v>83</v>
      </c>
      <c r="E695" s="11" t="s">
        <v>162</v>
      </c>
      <c r="F695" s="11" t="s">
        <v>206</v>
      </c>
      <c r="G695" s="9">
        <v>6</v>
      </c>
      <c r="H695" s="9">
        <v>15700</v>
      </c>
      <c r="I695" s="9">
        <v>0</v>
      </c>
      <c r="J695" s="9">
        <f t="shared" si="20"/>
        <v>94200</v>
      </c>
      <c r="K695" s="9">
        <f t="shared" si="21"/>
        <v>94200</v>
      </c>
      <c r="L695" s="11" t="s">
        <v>76</v>
      </c>
      <c r="M695" s="11" t="s">
        <v>81</v>
      </c>
    </row>
    <row r="696" spans="1:13" x14ac:dyDescent="0.25">
      <c r="A696" s="6">
        <v>682</v>
      </c>
      <c r="B696" s="8" t="s">
        <v>391</v>
      </c>
      <c r="C696" s="8" t="s">
        <v>124</v>
      </c>
      <c r="D696" s="8" t="s">
        <v>117</v>
      </c>
      <c r="E696" s="8" t="s">
        <v>111</v>
      </c>
      <c r="F696" s="8" t="s">
        <v>159</v>
      </c>
      <c r="G696" s="6">
        <v>14</v>
      </c>
      <c r="H696" s="6">
        <v>12900</v>
      </c>
      <c r="I696" s="6">
        <v>10</v>
      </c>
      <c r="J696" s="6">
        <f t="shared" si="20"/>
        <v>180600</v>
      </c>
      <c r="K696" s="6">
        <f t="shared" si="21"/>
        <v>162540</v>
      </c>
      <c r="L696" s="8" t="s">
        <v>76</v>
      </c>
      <c r="M696" s="8" t="s">
        <v>96</v>
      </c>
    </row>
    <row r="697" spans="1:13" x14ac:dyDescent="0.25">
      <c r="A697" s="9">
        <v>683</v>
      </c>
      <c r="B697" s="11" t="s">
        <v>392</v>
      </c>
      <c r="C697" s="11" t="s">
        <v>114</v>
      </c>
      <c r="D697" s="11" t="s">
        <v>279</v>
      </c>
      <c r="E697" s="11" t="s">
        <v>84</v>
      </c>
      <c r="F697" s="11" t="s">
        <v>206</v>
      </c>
      <c r="G697" s="9">
        <v>46</v>
      </c>
      <c r="H697" s="9">
        <v>14700</v>
      </c>
      <c r="I697" s="9">
        <v>15</v>
      </c>
      <c r="J697" s="9">
        <f t="shared" si="20"/>
        <v>676200</v>
      </c>
      <c r="K697" s="9">
        <f t="shared" si="21"/>
        <v>574770</v>
      </c>
      <c r="L697" s="11" t="s">
        <v>76</v>
      </c>
      <c r="M697" s="11" t="s">
        <v>77</v>
      </c>
    </row>
    <row r="698" spans="1:13" x14ac:dyDescent="0.25">
      <c r="A698" s="6">
        <v>684</v>
      </c>
      <c r="B698" s="8" t="s">
        <v>393</v>
      </c>
      <c r="C698" s="8" t="s">
        <v>88</v>
      </c>
      <c r="D698" s="8" t="s">
        <v>83</v>
      </c>
      <c r="E698" s="8" t="s">
        <v>368</v>
      </c>
      <c r="F698" s="8" t="s">
        <v>80</v>
      </c>
      <c r="G698" s="6">
        <v>34</v>
      </c>
      <c r="H698" s="6">
        <v>8100</v>
      </c>
      <c r="I698" s="6">
        <v>20</v>
      </c>
      <c r="J698" s="6">
        <f t="shared" si="20"/>
        <v>275400</v>
      </c>
      <c r="K698" s="6">
        <f t="shared" si="21"/>
        <v>220320</v>
      </c>
      <c r="L698" s="8" t="s">
        <v>125</v>
      </c>
      <c r="M698" s="8" t="s">
        <v>96</v>
      </c>
    </row>
    <row r="699" spans="1:13" x14ac:dyDescent="0.25">
      <c r="A699" s="9">
        <v>685</v>
      </c>
      <c r="B699" s="10">
        <v>45479</v>
      </c>
      <c r="C699" s="11" t="s">
        <v>82</v>
      </c>
      <c r="D699" s="11" t="s">
        <v>109</v>
      </c>
      <c r="E699" s="11" t="s">
        <v>111</v>
      </c>
      <c r="F699" s="11" t="s">
        <v>156</v>
      </c>
      <c r="G699" s="9">
        <v>13</v>
      </c>
      <c r="H699" s="9">
        <v>40700</v>
      </c>
      <c r="I699" s="9">
        <v>15</v>
      </c>
      <c r="J699" s="9">
        <f t="shared" si="20"/>
        <v>529100</v>
      </c>
      <c r="K699" s="9">
        <f t="shared" si="21"/>
        <v>449735</v>
      </c>
      <c r="L699" s="11" t="s">
        <v>76</v>
      </c>
      <c r="M699" s="11" t="s">
        <v>81</v>
      </c>
    </row>
    <row r="700" spans="1:13" x14ac:dyDescent="0.25">
      <c r="A700" s="6">
        <v>686</v>
      </c>
      <c r="B700" s="7">
        <v>45412</v>
      </c>
      <c r="C700" s="8" t="s">
        <v>119</v>
      </c>
      <c r="D700" s="8" t="s">
        <v>109</v>
      </c>
      <c r="E700" s="8" t="s">
        <v>84</v>
      </c>
      <c r="F700" s="8" t="s">
        <v>206</v>
      </c>
      <c r="G700" s="6">
        <v>24</v>
      </c>
      <c r="H700" s="6">
        <v>12800</v>
      </c>
      <c r="I700" s="6">
        <v>0</v>
      </c>
      <c r="J700" s="6">
        <f t="shared" si="20"/>
        <v>307200</v>
      </c>
      <c r="K700" s="6">
        <f t="shared" si="21"/>
        <v>307200</v>
      </c>
      <c r="L700" s="8" t="s">
        <v>76</v>
      </c>
      <c r="M700" s="8" t="s">
        <v>91</v>
      </c>
    </row>
    <row r="701" spans="1:13" x14ac:dyDescent="0.25">
      <c r="A701" s="9">
        <v>687</v>
      </c>
      <c r="B701" s="10">
        <v>45269</v>
      </c>
      <c r="C701" s="11" t="s">
        <v>124</v>
      </c>
      <c r="D701" s="11" t="s">
        <v>83</v>
      </c>
      <c r="E701" s="11" t="s">
        <v>79</v>
      </c>
      <c r="F701" s="11" t="s">
        <v>131</v>
      </c>
      <c r="G701" s="9">
        <v>35</v>
      </c>
      <c r="H701" s="9">
        <v>130200</v>
      </c>
      <c r="I701" s="9">
        <v>5</v>
      </c>
      <c r="J701" s="9">
        <f t="shared" si="20"/>
        <v>4557000</v>
      </c>
      <c r="K701" s="9">
        <f t="shared" si="21"/>
        <v>4329150</v>
      </c>
      <c r="L701" s="11" t="s">
        <v>76</v>
      </c>
      <c r="M701" s="11" t="s">
        <v>77</v>
      </c>
    </row>
    <row r="702" spans="1:13" x14ac:dyDescent="0.25">
      <c r="A702" s="6">
        <v>688</v>
      </c>
      <c r="B702" s="7">
        <v>45454</v>
      </c>
      <c r="C702" s="8" t="s">
        <v>97</v>
      </c>
      <c r="D702" s="8" t="s">
        <v>127</v>
      </c>
      <c r="E702" s="8" t="s">
        <v>84</v>
      </c>
      <c r="F702" s="8" t="s">
        <v>85</v>
      </c>
      <c r="G702" s="6">
        <v>21</v>
      </c>
      <c r="H702" s="6">
        <v>5700</v>
      </c>
      <c r="I702" s="6">
        <v>0</v>
      </c>
      <c r="J702" s="6">
        <f t="shared" si="20"/>
        <v>119700</v>
      </c>
      <c r="K702" s="6">
        <f t="shared" si="21"/>
        <v>119700</v>
      </c>
      <c r="L702" s="8" t="s">
        <v>76</v>
      </c>
      <c r="M702" s="8" t="s">
        <v>96</v>
      </c>
    </row>
    <row r="703" spans="1:13" x14ac:dyDescent="0.25">
      <c r="A703" s="9">
        <v>689</v>
      </c>
      <c r="B703" s="10">
        <v>45039</v>
      </c>
      <c r="C703" s="11" t="s">
        <v>88</v>
      </c>
      <c r="D703" s="11" t="s">
        <v>109</v>
      </c>
      <c r="E703" s="11" t="s">
        <v>79</v>
      </c>
      <c r="F703" s="11" t="s">
        <v>80</v>
      </c>
      <c r="G703" s="9">
        <v>13</v>
      </c>
      <c r="H703" s="9">
        <v>9200</v>
      </c>
      <c r="I703" s="9">
        <v>0</v>
      </c>
      <c r="J703" s="9">
        <f t="shared" si="20"/>
        <v>119600</v>
      </c>
      <c r="K703" s="9">
        <f t="shared" si="21"/>
        <v>119600</v>
      </c>
      <c r="L703" s="11" t="s">
        <v>76</v>
      </c>
      <c r="M703" s="11" t="s">
        <v>81</v>
      </c>
    </row>
    <row r="704" spans="1:13" x14ac:dyDescent="0.25">
      <c r="A704" s="6">
        <v>690</v>
      </c>
      <c r="B704" s="7">
        <v>45409</v>
      </c>
      <c r="C704" s="8" t="s">
        <v>124</v>
      </c>
      <c r="D704" s="8"/>
      <c r="E704" s="8" t="s">
        <v>292</v>
      </c>
      <c r="F704" s="8" t="s">
        <v>115</v>
      </c>
      <c r="G704" s="6">
        <v>40</v>
      </c>
      <c r="H704" s="6">
        <v>8400</v>
      </c>
      <c r="I704" s="6">
        <v>0</v>
      </c>
      <c r="J704" s="6">
        <f t="shared" si="20"/>
        <v>336000</v>
      </c>
      <c r="K704" s="6">
        <f t="shared" si="21"/>
        <v>336000</v>
      </c>
      <c r="L704" s="8" t="s">
        <v>76</v>
      </c>
      <c r="M704" s="8" t="s">
        <v>91</v>
      </c>
    </row>
    <row r="705" spans="1:13" x14ac:dyDescent="0.25">
      <c r="A705" s="9">
        <v>691</v>
      </c>
      <c r="B705" s="10">
        <v>45066</v>
      </c>
      <c r="C705" s="11" t="s">
        <v>194</v>
      </c>
      <c r="D705" s="11" t="s">
        <v>109</v>
      </c>
      <c r="E705" s="11" t="s">
        <v>74</v>
      </c>
      <c r="F705" s="11" t="s">
        <v>190</v>
      </c>
      <c r="G705" s="9">
        <v>9</v>
      </c>
      <c r="H705" s="9">
        <v>30400</v>
      </c>
      <c r="I705" s="9">
        <v>0</v>
      </c>
      <c r="J705" s="9">
        <f t="shared" si="20"/>
        <v>273600</v>
      </c>
      <c r="K705" s="9">
        <f t="shared" si="21"/>
        <v>273600</v>
      </c>
      <c r="L705" s="11" t="s">
        <v>76</v>
      </c>
      <c r="M705" s="11" t="s">
        <v>77</v>
      </c>
    </row>
    <row r="706" spans="1:13" x14ac:dyDescent="0.25">
      <c r="A706" s="6">
        <v>692</v>
      </c>
      <c r="B706" s="7">
        <v>45066</v>
      </c>
      <c r="C706" s="8" t="s">
        <v>97</v>
      </c>
      <c r="D706" s="8" t="s">
        <v>83</v>
      </c>
      <c r="E706" s="8" t="s">
        <v>111</v>
      </c>
      <c r="F706" s="8" t="s">
        <v>165</v>
      </c>
      <c r="G706" s="6">
        <v>22</v>
      </c>
      <c r="H706" s="6">
        <v>17000</v>
      </c>
      <c r="I706" s="6">
        <v>10</v>
      </c>
      <c r="J706" s="6">
        <f t="shared" ref="J706:J769" si="22">G706*H706</f>
        <v>374000</v>
      </c>
      <c r="K706" s="6">
        <f t="shared" ref="K706:K769" si="23">J706*(1-I706/100)</f>
        <v>336600</v>
      </c>
      <c r="L706" s="8" t="s">
        <v>76</v>
      </c>
      <c r="M706" s="8" t="s">
        <v>96</v>
      </c>
    </row>
    <row r="707" spans="1:13" x14ac:dyDescent="0.25">
      <c r="A707" s="9">
        <v>693</v>
      </c>
      <c r="B707" s="10">
        <v>45087</v>
      </c>
      <c r="C707" s="11" t="s">
        <v>124</v>
      </c>
      <c r="D707" s="11" t="s">
        <v>109</v>
      </c>
      <c r="E707" s="11" t="s">
        <v>102</v>
      </c>
      <c r="F707" s="11" t="s">
        <v>181</v>
      </c>
      <c r="G707" s="9">
        <v>34</v>
      </c>
      <c r="H707" s="9">
        <v>4100</v>
      </c>
      <c r="I707" s="9">
        <v>10</v>
      </c>
      <c r="J707" s="9">
        <f t="shared" si="22"/>
        <v>139400</v>
      </c>
      <c r="K707" s="9">
        <f t="shared" si="23"/>
        <v>125460</v>
      </c>
      <c r="L707" s="11" t="s">
        <v>76</v>
      </c>
      <c r="M707" s="11" t="s">
        <v>81</v>
      </c>
    </row>
    <row r="708" spans="1:13" x14ac:dyDescent="0.25">
      <c r="A708" s="6">
        <v>694</v>
      </c>
      <c r="B708" s="7">
        <v>45411</v>
      </c>
      <c r="C708" s="8" t="s">
        <v>119</v>
      </c>
      <c r="D708" s="8" t="s">
        <v>117</v>
      </c>
      <c r="E708" s="8" t="s">
        <v>79</v>
      </c>
      <c r="F708" s="8" t="s">
        <v>115</v>
      </c>
      <c r="G708" s="6">
        <v>16</v>
      </c>
      <c r="H708" s="6">
        <v>9800</v>
      </c>
      <c r="I708" s="6">
        <v>10</v>
      </c>
      <c r="J708" s="6">
        <f t="shared" si="22"/>
        <v>156800</v>
      </c>
      <c r="K708" s="6">
        <f t="shared" si="23"/>
        <v>141120</v>
      </c>
      <c r="L708" s="8" t="s">
        <v>76</v>
      </c>
      <c r="M708" s="8" t="s">
        <v>91</v>
      </c>
    </row>
    <row r="709" spans="1:13" x14ac:dyDescent="0.25">
      <c r="A709" s="9">
        <v>695</v>
      </c>
      <c r="B709" s="11" t="s">
        <v>394</v>
      </c>
      <c r="C709" s="11" t="s">
        <v>124</v>
      </c>
      <c r="D709" s="11" t="s">
        <v>109</v>
      </c>
      <c r="E709" s="11" t="s">
        <v>102</v>
      </c>
      <c r="F709" s="11" t="s">
        <v>138</v>
      </c>
      <c r="G709" s="9">
        <v>3</v>
      </c>
      <c r="H709" s="9">
        <v>6500</v>
      </c>
      <c r="I709" s="9">
        <v>15</v>
      </c>
      <c r="J709" s="9">
        <f t="shared" si="22"/>
        <v>19500</v>
      </c>
      <c r="K709" s="9">
        <f t="shared" si="23"/>
        <v>16575</v>
      </c>
      <c r="L709" s="11" t="s">
        <v>76</v>
      </c>
      <c r="M709" s="11" t="s">
        <v>91</v>
      </c>
    </row>
    <row r="710" spans="1:13" x14ac:dyDescent="0.25">
      <c r="A710" s="6">
        <v>696</v>
      </c>
      <c r="B710" s="7">
        <v>45443</v>
      </c>
      <c r="C710" s="8" t="s">
        <v>78</v>
      </c>
      <c r="D710" s="8" t="s">
        <v>83</v>
      </c>
      <c r="E710" s="8" t="s">
        <v>102</v>
      </c>
      <c r="F710" s="8" t="s">
        <v>151</v>
      </c>
      <c r="G710" s="6">
        <v>45</v>
      </c>
      <c r="H710" s="6">
        <v>7600</v>
      </c>
      <c r="I710" s="6">
        <v>5</v>
      </c>
      <c r="J710" s="6">
        <f t="shared" si="22"/>
        <v>342000</v>
      </c>
      <c r="K710" s="6">
        <f t="shared" si="23"/>
        <v>324900</v>
      </c>
      <c r="L710" s="8" t="s">
        <v>86</v>
      </c>
      <c r="M710" s="8" t="s">
        <v>91</v>
      </c>
    </row>
    <row r="711" spans="1:13" x14ac:dyDescent="0.25">
      <c r="A711" s="9">
        <v>189</v>
      </c>
      <c r="B711" s="10">
        <v>45297</v>
      </c>
      <c r="C711" s="11" t="s">
        <v>82</v>
      </c>
      <c r="D711" s="11" t="s">
        <v>109</v>
      </c>
      <c r="E711" s="11" t="s">
        <v>79</v>
      </c>
      <c r="F711" s="11" t="s">
        <v>80</v>
      </c>
      <c r="G711" s="9">
        <v>16</v>
      </c>
      <c r="H711" s="9">
        <v>9300</v>
      </c>
      <c r="I711" s="9">
        <v>0</v>
      </c>
      <c r="J711" s="9">
        <f t="shared" si="22"/>
        <v>148800</v>
      </c>
      <c r="K711" s="9">
        <f t="shared" si="23"/>
        <v>148800</v>
      </c>
      <c r="L711" s="11" t="s">
        <v>86</v>
      </c>
      <c r="M711" s="11" t="s">
        <v>77</v>
      </c>
    </row>
    <row r="712" spans="1:13" x14ac:dyDescent="0.25">
      <c r="A712" s="6">
        <v>697</v>
      </c>
      <c r="B712" s="7">
        <v>45173</v>
      </c>
      <c r="C712" s="8" t="s">
        <v>97</v>
      </c>
      <c r="D712" s="8" t="s">
        <v>93</v>
      </c>
      <c r="E712" s="8" t="s">
        <v>324</v>
      </c>
      <c r="F712" s="8" t="s">
        <v>115</v>
      </c>
      <c r="G712" s="6">
        <v>9</v>
      </c>
      <c r="H712" s="6">
        <v>10200</v>
      </c>
      <c r="I712" s="6">
        <v>15</v>
      </c>
      <c r="J712" s="6">
        <f t="shared" si="22"/>
        <v>91800</v>
      </c>
      <c r="K712" s="6">
        <f t="shared" si="23"/>
        <v>78030</v>
      </c>
      <c r="L712" s="8" t="s">
        <v>76</v>
      </c>
      <c r="M712" s="8" t="s">
        <v>81</v>
      </c>
    </row>
    <row r="713" spans="1:13" x14ac:dyDescent="0.25">
      <c r="A713" s="9">
        <v>698</v>
      </c>
      <c r="B713" s="10">
        <v>45019</v>
      </c>
      <c r="C713" s="11" t="s">
        <v>78</v>
      </c>
      <c r="D713" s="11" t="s">
        <v>83</v>
      </c>
      <c r="E713" s="11" t="s">
        <v>74</v>
      </c>
      <c r="F713" s="11" t="s">
        <v>142</v>
      </c>
      <c r="G713" s="9">
        <v>37</v>
      </c>
      <c r="H713" s="9">
        <v>12900</v>
      </c>
      <c r="I713" s="9">
        <v>5</v>
      </c>
      <c r="J713" s="9">
        <f t="shared" si="22"/>
        <v>477300</v>
      </c>
      <c r="K713" s="9">
        <f t="shared" si="23"/>
        <v>453435</v>
      </c>
      <c r="L713" s="11" t="s">
        <v>86</v>
      </c>
      <c r="M713" s="11" t="s">
        <v>77</v>
      </c>
    </row>
    <row r="714" spans="1:13" x14ac:dyDescent="0.25">
      <c r="A714" s="6">
        <v>699</v>
      </c>
      <c r="B714" s="7">
        <v>45401</v>
      </c>
      <c r="C714" s="8" t="s">
        <v>108</v>
      </c>
      <c r="D714" s="8" t="s">
        <v>83</v>
      </c>
      <c r="E714" s="8" t="s">
        <v>84</v>
      </c>
      <c r="F714" s="8" t="s">
        <v>200</v>
      </c>
      <c r="G714" s="6">
        <v>46</v>
      </c>
      <c r="H714" s="6">
        <v>3400</v>
      </c>
      <c r="I714" s="6">
        <v>5</v>
      </c>
      <c r="J714" s="6">
        <f t="shared" si="22"/>
        <v>156400</v>
      </c>
      <c r="K714" s="6">
        <f t="shared" si="23"/>
        <v>148580</v>
      </c>
      <c r="L714" s="8" t="s">
        <v>76</v>
      </c>
      <c r="M714" s="8" t="s">
        <v>77</v>
      </c>
    </row>
    <row r="715" spans="1:13" x14ac:dyDescent="0.25">
      <c r="A715" s="9">
        <v>700</v>
      </c>
      <c r="B715" s="10">
        <v>45634</v>
      </c>
      <c r="C715" s="11" t="s">
        <v>88</v>
      </c>
      <c r="D715" s="11" t="s">
        <v>93</v>
      </c>
      <c r="E715" s="11" t="s">
        <v>79</v>
      </c>
      <c r="F715" s="11" t="s">
        <v>179</v>
      </c>
      <c r="G715" s="9">
        <v>18</v>
      </c>
      <c r="H715" s="9" t="s">
        <v>372</v>
      </c>
      <c r="I715" s="9">
        <v>20</v>
      </c>
      <c r="J715" s="9" t="e">
        <f t="shared" si="22"/>
        <v>#VALUE!</v>
      </c>
      <c r="K715" s="9" t="e">
        <f t="shared" si="23"/>
        <v>#VALUE!</v>
      </c>
      <c r="L715" s="11" t="s">
        <v>86</v>
      </c>
      <c r="M715" s="11" t="s">
        <v>81</v>
      </c>
    </row>
    <row r="716" spans="1:13" x14ac:dyDescent="0.25">
      <c r="A716" s="6">
        <v>701</v>
      </c>
      <c r="B716" s="7">
        <v>45628</v>
      </c>
      <c r="C716" s="8" t="s">
        <v>97</v>
      </c>
      <c r="D716" s="8" t="s">
        <v>93</v>
      </c>
      <c r="E716" s="8" t="s">
        <v>74</v>
      </c>
      <c r="F716" s="8" t="s">
        <v>94</v>
      </c>
      <c r="G716" s="6">
        <v>44</v>
      </c>
      <c r="H716" s="6">
        <v>36000</v>
      </c>
      <c r="I716" s="6">
        <v>0</v>
      </c>
      <c r="J716" s="6">
        <f t="shared" si="22"/>
        <v>1584000</v>
      </c>
      <c r="K716" s="6">
        <f t="shared" si="23"/>
        <v>1584000</v>
      </c>
      <c r="L716" s="8" t="s">
        <v>76</v>
      </c>
      <c r="M716" s="8" t="s">
        <v>77</v>
      </c>
    </row>
    <row r="717" spans="1:13" x14ac:dyDescent="0.25">
      <c r="A717" s="9">
        <v>702</v>
      </c>
      <c r="B717" s="10">
        <v>45319</v>
      </c>
      <c r="C717" s="11" t="s">
        <v>88</v>
      </c>
      <c r="D717" s="11" t="s">
        <v>83</v>
      </c>
      <c r="E717" s="11" t="s">
        <v>102</v>
      </c>
      <c r="F717" s="11" t="s">
        <v>138</v>
      </c>
      <c r="G717" s="9">
        <v>12</v>
      </c>
      <c r="H717" s="9">
        <v>6400</v>
      </c>
      <c r="I717" s="9">
        <v>10</v>
      </c>
      <c r="J717" s="9">
        <f t="shared" si="22"/>
        <v>76800</v>
      </c>
      <c r="K717" s="9">
        <f t="shared" si="23"/>
        <v>69120</v>
      </c>
      <c r="L717" s="11" t="s">
        <v>76</v>
      </c>
      <c r="M717" s="11" t="s">
        <v>77</v>
      </c>
    </row>
    <row r="718" spans="1:13" x14ac:dyDescent="0.25">
      <c r="A718" s="6">
        <v>703</v>
      </c>
      <c r="B718" s="7">
        <v>45653</v>
      </c>
      <c r="C718" s="8" t="s">
        <v>106</v>
      </c>
      <c r="D718" s="8" t="s">
        <v>109</v>
      </c>
      <c r="E718" s="8" t="s">
        <v>74</v>
      </c>
      <c r="F718" s="8" t="s">
        <v>75</v>
      </c>
      <c r="G718" s="6">
        <v>42</v>
      </c>
      <c r="H718" s="6">
        <v>22800</v>
      </c>
      <c r="I718" s="6">
        <v>20</v>
      </c>
      <c r="J718" s="6">
        <f t="shared" si="22"/>
        <v>957600</v>
      </c>
      <c r="K718" s="6">
        <f t="shared" si="23"/>
        <v>766080</v>
      </c>
      <c r="L718" s="8" t="s">
        <v>76</v>
      </c>
      <c r="M718" s="8" t="s">
        <v>81</v>
      </c>
    </row>
    <row r="719" spans="1:13" x14ac:dyDescent="0.25">
      <c r="A719" s="9">
        <v>704</v>
      </c>
      <c r="B719" s="10">
        <v>45157</v>
      </c>
      <c r="C719" s="11" t="s">
        <v>88</v>
      </c>
      <c r="D719" s="11"/>
      <c r="E719" s="11" t="s">
        <v>74</v>
      </c>
      <c r="F719" s="11" t="s">
        <v>140</v>
      </c>
      <c r="G719" s="9">
        <v>5</v>
      </c>
      <c r="H719" s="9">
        <v>4400</v>
      </c>
      <c r="I719" s="9">
        <v>5</v>
      </c>
      <c r="J719" s="9">
        <f t="shared" si="22"/>
        <v>22000</v>
      </c>
      <c r="K719" s="9">
        <f t="shared" si="23"/>
        <v>20900</v>
      </c>
      <c r="L719" s="11" t="s">
        <v>76</v>
      </c>
      <c r="M719" s="11" t="s">
        <v>91</v>
      </c>
    </row>
    <row r="720" spans="1:13" x14ac:dyDescent="0.25">
      <c r="A720" s="6">
        <v>705</v>
      </c>
      <c r="B720" s="7">
        <v>45440</v>
      </c>
      <c r="C720" s="8" t="s">
        <v>82</v>
      </c>
      <c r="D720" s="8" t="s">
        <v>73</v>
      </c>
      <c r="E720" s="8" t="s">
        <v>111</v>
      </c>
      <c r="F720" s="8" t="s">
        <v>135</v>
      </c>
      <c r="G720" s="6">
        <v>24</v>
      </c>
      <c r="H720" s="6">
        <v>116500</v>
      </c>
      <c r="I720" s="6">
        <v>0</v>
      </c>
      <c r="J720" s="6">
        <f t="shared" si="22"/>
        <v>2796000</v>
      </c>
      <c r="K720" s="6">
        <f t="shared" si="23"/>
        <v>2796000</v>
      </c>
      <c r="L720" s="8" t="s">
        <v>250</v>
      </c>
      <c r="M720" s="8" t="s">
        <v>77</v>
      </c>
    </row>
    <row r="721" spans="1:13" x14ac:dyDescent="0.25">
      <c r="A721" s="9">
        <v>706</v>
      </c>
      <c r="B721" s="10">
        <v>45395</v>
      </c>
      <c r="C721" s="11" t="s">
        <v>97</v>
      </c>
      <c r="D721" s="11" t="s">
        <v>73</v>
      </c>
      <c r="E721" s="11" t="s">
        <v>111</v>
      </c>
      <c r="F721" s="11" t="s">
        <v>166</v>
      </c>
      <c r="G721" s="9">
        <v>5</v>
      </c>
      <c r="H721" s="9">
        <v>27200</v>
      </c>
      <c r="I721" s="9">
        <v>0</v>
      </c>
      <c r="J721" s="9">
        <f t="shared" si="22"/>
        <v>136000</v>
      </c>
      <c r="K721" s="9">
        <f t="shared" si="23"/>
        <v>136000</v>
      </c>
      <c r="L721" s="11" t="s">
        <v>76</v>
      </c>
      <c r="M721" s="11" t="s">
        <v>96</v>
      </c>
    </row>
    <row r="722" spans="1:13" x14ac:dyDescent="0.25">
      <c r="A722" s="6">
        <v>707</v>
      </c>
      <c r="B722" s="7">
        <v>45640</v>
      </c>
      <c r="C722" s="8" t="s">
        <v>108</v>
      </c>
      <c r="D722" s="8" t="s">
        <v>83</v>
      </c>
      <c r="E722" s="8" t="s">
        <v>133</v>
      </c>
      <c r="F722" s="8" t="s">
        <v>90</v>
      </c>
      <c r="G722" s="6">
        <v>41</v>
      </c>
      <c r="H722" s="6">
        <v>1900</v>
      </c>
      <c r="I722" s="6">
        <v>15</v>
      </c>
      <c r="J722" s="6">
        <f t="shared" si="22"/>
        <v>77900</v>
      </c>
      <c r="K722" s="6">
        <f t="shared" si="23"/>
        <v>66215</v>
      </c>
      <c r="L722" s="8" t="s">
        <v>76</v>
      </c>
      <c r="M722" s="8" t="s">
        <v>91</v>
      </c>
    </row>
    <row r="723" spans="1:13" x14ac:dyDescent="0.25">
      <c r="A723" s="9">
        <v>708</v>
      </c>
      <c r="B723" s="10">
        <v>45481</v>
      </c>
      <c r="C723" s="11" t="s">
        <v>153</v>
      </c>
      <c r="D723" s="11" t="s">
        <v>83</v>
      </c>
      <c r="E723" s="11" t="s">
        <v>74</v>
      </c>
      <c r="F723" s="11" t="s">
        <v>140</v>
      </c>
      <c r="G723" s="9">
        <v>42</v>
      </c>
      <c r="H723" s="9">
        <v>4500</v>
      </c>
      <c r="I723" s="9">
        <v>0</v>
      </c>
      <c r="J723" s="9">
        <f t="shared" si="22"/>
        <v>189000</v>
      </c>
      <c r="K723" s="9">
        <f t="shared" si="23"/>
        <v>189000</v>
      </c>
      <c r="L723" s="11" t="s">
        <v>76</v>
      </c>
      <c r="M723" s="11" t="s">
        <v>81</v>
      </c>
    </row>
    <row r="724" spans="1:13" x14ac:dyDescent="0.25">
      <c r="A724" s="6">
        <v>709</v>
      </c>
      <c r="B724" s="8" t="s">
        <v>395</v>
      </c>
      <c r="C724" s="8" t="s">
        <v>106</v>
      </c>
      <c r="D724" s="8" t="s">
        <v>261</v>
      </c>
      <c r="E724" s="8" t="s">
        <v>74</v>
      </c>
      <c r="F724" s="8" t="s">
        <v>140</v>
      </c>
      <c r="G724" s="6">
        <v>42</v>
      </c>
      <c r="H724" s="6">
        <v>4700</v>
      </c>
      <c r="I724" s="6">
        <v>5</v>
      </c>
      <c r="J724" s="6">
        <f t="shared" si="22"/>
        <v>197400</v>
      </c>
      <c r="K724" s="6">
        <f t="shared" si="23"/>
        <v>187530</v>
      </c>
      <c r="L724" s="8" t="s">
        <v>76</v>
      </c>
      <c r="M724" s="8" t="s">
        <v>96</v>
      </c>
    </row>
    <row r="725" spans="1:13" x14ac:dyDescent="0.25">
      <c r="A725" s="9">
        <v>710</v>
      </c>
      <c r="B725" s="10">
        <v>45534</v>
      </c>
      <c r="C725" s="11" t="s">
        <v>82</v>
      </c>
      <c r="D725" s="11" t="s">
        <v>93</v>
      </c>
      <c r="E725" s="11" t="s">
        <v>111</v>
      </c>
      <c r="F725" s="11" t="s">
        <v>159</v>
      </c>
      <c r="G725" s="9">
        <v>9</v>
      </c>
      <c r="H725" s="9">
        <v>11700</v>
      </c>
      <c r="I725" s="9">
        <v>0</v>
      </c>
      <c r="J725" s="9">
        <f t="shared" si="22"/>
        <v>105300</v>
      </c>
      <c r="K725" s="9">
        <f t="shared" si="23"/>
        <v>105300</v>
      </c>
      <c r="L725" s="11" t="s">
        <v>107</v>
      </c>
      <c r="M725" s="11" t="s">
        <v>96</v>
      </c>
    </row>
    <row r="726" spans="1:13" x14ac:dyDescent="0.25">
      <c r="A726" s="6">
        <v>711</v>
      </c>
      <c r="B726" s="7">
        <v>45193</v>
      </c>
      <c r="C726" s="8" t="s">
        <v>106</v>
      </c>
      <c r="D726" s="8" t="s">
        <v>83</v>
      </c>
      <c r="E726" s="8" t="s">
        <v>149</v>
      </c>
      <c r="F726" s="8" t="s">
        <v>190</v>
      </c>
      <c r="G726" s="6">
        <v>4</v>
      </c>
      <c r="H726" s="6">
        <v>35000</v>
      </c>
      <c r="I726" s="6">
        <v>5</v>
      </c>
      <c r="J726" s="6">
        <f t="shared" si="22"/>
        <v>140000</v>
      </c>
      <c r="K726" s="6">
        <f t="shared" si="23"/>
        <v>133000</v>
      </c>
      <c r="L726" s="8" t="s">
        <v>76</v>
      </c>
      <c r="M726" s="8" t="s">
        <v>96</v>
      </c>
    </row>
    <row r="727" spans="1:13" x14ac:dyDescent="0.25">
      <c r="A727" s="9">
        <v>712</v>
      </c>
      <c r="B727" s="10">
        <v>45097</v>
      </c>
      <c r="C727" s="11" t="s">
        <v>124</v>
      </c>
      <c r="D727" s="11" t="s">
        <v>109</v>
      </c>
      <c r="E727" s="11" t="s">
        <v>102</v>
      </c>
      <c r="F727" s="11" t="s">
        <v>110</v>
      </c>
      <c r="G727" s="9">
        <v>12</v>
      </c>
      <c r="H727" s="9">
        <v>20800</v>
      </c>
      <c r="I727" s="9">
        <v>0</v>
      </c>
      <c r="J727" s="9">
        <f t="shared" si="22"/>
        <v>249600</v>
      </c>
      <c r="K727" s="9">
        <f t="shared" si="23"/>
        <v>249600</v>
      </c>
      <c r="L727" s="11" t="s">
        <v>86</v>
      </c>
      <c r="M727" s="11" t="s">
        <v>81</v>
      </c>
    </row>
    <row r="728" spans="1:13" x14ac:dyDescent="0.25">
      <c r="A728" s="6">
        <v>713</v>
      </c>
      <c r="B728" s="8" t="s">
        <v>396</v>
      </c>
      <c r="C728" s="8" t="s">
        <v>97</v>
      </c>
      <c r="D728" s="8" t="s">
        <v>127</v>
      </c>
      <c r="E728" s="8" t="s">
        <v>74</v>
      </c>
      <c r="F728" s="8" t="s">
        <v>142</v>
      </c>
      <c r="G728" s="6">
        <v>24</v>
      </c>
      <c r="H728" s="6">
        <v>12100</v>
      </c>
      <c r="I728" s="6">
        <v>15</v>
      </c>
      <c r="J728" s="6">
        <f t="shared" si="22"/>
        <v>290400</v>
      </c>
      <c r="K728" s="6">
        <f t="shared" si="23"/>
        <v>246840</v>
      </c>
      <c r="L728" s="8" t="s">
        <v>76</v>
      </c>
      <c r="M728" s="8" t="s">
        <v>77</v>
      </c>
    </row>
    <row r="729" spans="1:13" x14ac:dyDescent="0.25">
      <c r="A729" s="9">
        <v>714</v>
      </c>
      <c r="B729" s="10">
        <v>45251</v>
      </c>
      <c r="C729" s="11" t="s">
        <v>88</v>
      </c>
      <c r="D729" s="11" t="s">
        <v>109</v>
      </c>
      <c r="E729" s="11" t="s">
        <v>74</v>
      </c>
      <c r="F729" s="11" t="s">
        <v>99</v>
      </c>
      <c r="G729" s="9">
        <v>11</v>
      </c>
      <c r="H729" s="9">
        <v>3600</v>
      </c>
      <c r="I729" s="9">
        <v>0</v>
      </c>
      <c r="J729" s="9">
        <f t="shared" si="22"/>
        <v>39600</v>
      </c>
      <c r="K729" s="9">
        <f t="shared" si="23"/>
        <v>39600</v>
      </c>
      <c r="L729" s="11" t="s">
        <v>76</v>
      </c>
      <c r="M729" s="11" t="s">
        <v>77</v>
      </c>
    </row>
    <row r="730" spans="1:13" x14ac:dyDescent="0.25">
      <c r="A730" s="6">
        <v>715</v>
      </c>
      <c r="B730" s="8" t="s">
        <v>397</v>
      </c>
      <c r="C730" s="8" t="s">
        <v>119</v>
      </c>
      <c r="D730" s="8" t="s">
        <v>109</v>
      </c>
      <c r="E730" s="8" t="s">
        <v>111</v>
      </c>
      <c r="F730" s="8" t="s">
        <v>132</v>
      </c>
      <c r="G730" s="6">
        <v>48</v>
      </c>
      <c r="H730" s="6">
        <v>7000</v>
      </c>
      <c r="I730" s="6">
        <v>15</v>
      </c>
      <c r="J730" s="6">
        <f t="shared" si="22"/>
        <v>336000</v>
      </c>
      <c r="K730" s="6">
        <f t="shared" si="23"/>
        <v>285600</v>
      </c>
      <c r="L730" s="8" t="s">
        <v>76</v>
      </c>
      <c r="M730" s="8" t="s">
        <v>96</v>
      </c>
    </row>
    <row r="731" spans="1:13" x14ac:dyDescent="0.25">
      <c r="A731" s="9">
        <v>716</v>
      </c>
      <c r="B731" s="10">
        <v>45649</v>
      </c>
      <c r="C731" s="11" t="s">
        <v>101</v>
      </c>
      <c r="D731" s="11" t="s">
        <v>83</v>
      </c>
      <c r="E731" s="11" t="s">
        <v>74</v>
      </c>
      <c r="F731" s="11" t="s">
        <v>142</v>
      </c>
      <c r="G731" s="9">
        <v>47</v>
      </c>
      <c r="H731" s="9">
        <v>13200</v>
      </c>
      <c r="I731" s="9">
        <v>0</v>
      </c>
      <c r="J731" s="9">
        <f t="shared" si="22"/>
        <v>620400</v>
      </c>
      <c r="K731" s="9">
        <f t="shared" si="23"/>
        <v>620400</v>
      </c>
      <c r="L731" s="11" t="s">
        <v>107</v>
      </c>
      <c r="M731" s="11" t="s">
        <v>91</v>
      </c>
    </row>
    <row r="732" spans="1:13" x14ac:dyDescent="0.25">
      <c r="A732" s="6">
        <v>717</v>
      </c>
      <c r="B732" s="7">
        <v>45632</v>
      </c>
      <c r="C732" s="8" t="s">
        <v>274</v>
      </c>
      <c r="D732" s="8" t="s">
        <v>83</v>
      </c>
      <c r="E732" s="8" t="s">
        <v>79</v>
      </c>
      <c r="F732" s="8" t="s">
        <v>122</v>
      </c>
      <c r="G732" s="6">
        <v>8</v>
      </c>
      <c r="H732" s="6">
        <v>19300</v>
      </c>
      <c r="I732" s="6">
        <v>10</v>
      </c>
      <c r="J732" s="6">
        <f t="shared" si="22"/>
        <v>154400</v>
      </c>
      <c r="K732" s="6">
        <f t="shared" si="23"/>
        <v>138960</v>
      </c>
      <c r="L732" s="8" t="s">
        <v>76</v>
      </c>
      <c r="M732" s="8" t="s">
        <v>91</v>
      </c>
    </row>
    <row r="733" spans="1:13" x14ac:dyDescent="0.25">
      <c r="A733" s="9">
        <v>718</v>
      </c>
      <c r="B733" s="10">
        <v>45152</v>
      </c>
      <c r="C733" s="11" t="s">
        <v>119</v>
      </c>
      <c r="D733" s="11" t="s">
        <v>117</v>
      </c>
      <c r="E733" s="11" t="s">
        <v>79</v>
      </c>
      <c r="F733" s="11" t="s">
        <v>120</v>
      </c>
      <c r="G733" s="9">
        <v>42</v>
      </c>
      <c r="H733" s="9">
        <v>5500</v>
      </c>
      <c r="I733" s="9">
        <v>20</v>
      </c>
      <c r="J733" s="9">
        <f t="shared" si="22"/>
        <v>231000</v>
      </c>
      <c r="K733" s="9">
        <f t="shared" si="23"/>
        <v>184800</v>
      </c>
      <c r="L733" s="11" t="s">
        <v>76</v>
      </c>
      <c r="M733" s="11" t="s">
        <v>81</v>
      </c>
    </row>
    <row r="734" spans="1:13" x14ac:dyDescent="0.25">
      <c r="A734" s="6">
        <v>719</v>
      </c>
      <c r="B734" s="8" t="s">
        <v>398</v>
      </c>
      <c r="C734" s="8" t="s">
        <v>106</v>
      </c>
      <c r="D734" s="8" t="s">
        <v>73</v>
      </c>
      <c r="E734" s="8" t="s">
        <v>79</v>
      </c>
      <c r="F734" s="8" t="s">
        <v>172</v>
      </c>
      <c r="G734" s="6">
        <v>6</v>
      </c>
      <c r="H734" s="6">
        <v>26700</v>
      </c>
      <c r="I734" s="6">
        <v>0</v>
      </c>
      <c r="J734" s="6">
        <f t="shared" si="22"/>
        <v>160200</v>
      </c>
      <c r="K734" s="6">
        <f t="shared" si="23"/>
        <v>160200</v>
      </c>
      <c r="L734" s="8" t="s">
        <v>125</v>
      </c>
      <c r="M734" s="8" t="s">
        <v>91</v>
      </c>
    </row>
    <row r="735" spans="1:13" x14ac:dyDescent="0.25">
      <c r="A735" s="9">
        <v>720</v>
      </c>
      <c r="B735" s="11" t="s">
        <v>233</v>
      </c>
      <c r="C735" s="11" t="s">
        <v>88</v>
      </c>
      <c r="D735" s="11" t="s">
        <v>93</v>
      </c>
      <c r="E735" s="11" t="s">
        <v>102</v>
      </c>
      <c r="F735" s="11" t="s">
        <v>138</v>
      </c>
      <c r="G735" s="9">
        <v>24</v>
      </c>
      <c r="H735" s="9" t="s">
        <v>399</v>
      </c>
      <c r="I735" s="9">
        <v>0</v>
      </c>
      <c r="J735" s="9">
        <f t="shared" si="22"/>
        <v>175200</v>
      </c>
      <c r="K735" s="9">
        <f t="shared" si="23"/>
        <v>175200</v>
      </c>
      <c r="L735" s="11" t="s">
        <v>76</v>
      </c>
      <c r="M735" s="11" t="s">
        <v>91</v>
      </c>
    </row>
    <row r="736" spans="1:13" x14ac:dyDescent="0.25">
      <c r="A736" s="6">
        <v>721</v>
      </c>
      <c r="B736" s="7">
        <v>45322</v>
      </c>
      <c r="C736" s="8" t="s">
        <v>282</v>
      </c>
      <c r="D736" s="8" t="s">
        <v>73</v>
      </c>
      <c r="E736" s="8" t="s">
        <v>74</v>
      </c>
      <c r="F736" s="8" t="s">
        <v>212</v>
      </c>
      <c r="G736" s="6">
        <v>29</v>
      </c>
      <c r="H736" s="6">
        <v>7900</v>
      </c>
      <c r="I736" s="6">
        <v>0</v>
      </c>
      <c r="J736" s="6">
        <f t="shared" si="22"/>
        <v>229100</v>
      </c>
      <c r="K736" s="6">
        <f t="shared" si="23"/>
        <v>229100</v>
      </c>
      <c r="L736" s="8" t="s">
        <v>107</v>
      </c>
      <c r="M736" s="8" t="s">
        <v>77</v>
      </c>
    </row>
    <row r="737" spans="1:13" x14ac:dyDescent="0.25">
      <c r="A737" s="9">
        <v>365</v>
      </c>
      <c r="B737" s="10">
        <v>45389</v>
      </c>
      <c r="C737" s="11" t="s">
        <v>97</v>
      </c>
      <c r="D737" s="11" t="s">
        <v>73</v>
      </c>
      <c r="E737" s="11" t="s">
        <v>74</v>
      </c>
      <c r="F737" s="11" t="s">
        <v>94</v>
      </c>
      <c r="G737" s="9">
        <v>7</v>
      </c>
      <c r="H737" s="9">
        <v>34300</v>
      </c>
      <c r="I737" s="9">
        <v>5</v>
      </c>
      <c r="J737" s="9">
        <f t="shared" si="22"/>
        <v>240100</v>
      </c>
      <c r="K737" s="9">
        <f t="shared" si="23"/>
        <v>228095</v>
      </c>
      <c r="L737" s="11" t="s">
        <v>76</v>
      </c>
      <c r="M737" s="11" t="s">
        <v>81</v>
      </c>
    </row>
    <row r="738" spans="1:13" x14ac:dyDescent="0.25">
      <c r="A738" s="6">
        <v>722</v>
      </c>
      <c r="B738" s="7">
        <v>45381</v>
      </c>
      <c r="C738" s="8" t="s">
        <v>114</v>
      </c>
      <c r="D738" s="8" t="s">
        <v>83</v>
      </c>
      <c r="E738" s="8" t="s">
        <v>74</v>
      </c>
      <c r="F738" s="8" t="s">
        <v>142</v>
      </c>
      <c r="G738" s="6">
        <v>28</v>
      </c>
      <c r="H738" s="6">
        <v>13200</v>
      </c>
      <c r="I738" s="6">
        <v>0</v>
      </c>
      <c r="J738" s="6">
        <f t="shared" si="22"/>
        <v>369600</v>
      </c>
      <c r="K738" s="6">
        <f t="shared" si="23"/>
        <v>369600</v>
      </c>
      <c r="L738" s="8" t="s">
        <v>86</v>
      </c>
      <c r="M738" s="8" t="s">
        <v>91</v>
      </c>
    </row>
    <row r="739" spans="1:13" x14ac:dyDescent="0.25">
      <c r="A739" s="9">
        <v>723</v>
      </c>
      <c r="B739" s="10">
        <v>45528</v>
      </c>
      <c r="C739" s="11" t="s">
        <v>124</v>
      </c>
      <c r="D739" s="11" t="s">
        <v>73</v>
      </c>
      <c r="E739" s="11" t="s">
        <v>84</v>
      </c>
      <c r="F739" s="11" t="s">
        <v>90</v>
      </c>
      <c r="G739" s="9">
        <v>34</v>
      </c>
      <c r="H739" s="9">
        <v>1800</v>
      </c>
      <c r="I739" s="9">
        <v>10</v>
      </c>
      <c r="J739" s="9">
        <f t="shared" si="22"/>
        <v>61200</v>
      </c>
      <c r="K739" s="9">
        <f t="shared" si="23"/>
        <v>55080</v>
      </c>
      <c r="L739" s="11" t="s">
        <v>125</v>
      </c>
      <c r="M739" s="11" t="s">
        <v>77</v>
      </c>
    </row>
    <row r="740" spans="1:13" x14ac:dyDescent="0.25">
      <c r="A740" s="6">
        <v>724</v>
      </c>
      <c r="B740" s="7">
        <v>45311</v>
      </c>
      <c r="C740" s="8" t="s">
        <v>97</v>
      </c>
      <c r="D740" s="8" t="s">
        <v>73</v>
      </c>
      <c r="E740" s="8" t="s">
        <v>111</v>
      </c>
      <c r="F740" s="8" t="s">
        <v>135</v>
      </c>
      <c r="G740" s="6">
        <v>36</v>
      </c>
      <c r="H740" s="6">
        <v>115400</v>
      </c>
      <c r="I740" s="6">
        <v>0</v>
      </c>
      <c r="J740" s="6">
        <f t="shared" si="22"/>
        <v>4154400</v>
      </c>
      <c r="K740" s="6">
        <f t="shared" si="23"/>
        <v>4154400</v>
      </c>
      <c r="L740" s="8" t="s">
        <v>129</v>
      </c>
      <c r="M740" s="8" t="s">
        <v>81</v>
      </c>
    </row>
    <row r="741" spans="1:13" x14ac:dyDescent="0.25">
      <c r="A741" s="9">
        <v>725</v>
      </c>
      <c r="B741" s="10">
        <v>45117</v>
      </c>
      <c r="C741" s="11" t="s">
        <v>114</v>
      </c>
      <c r="D741" s="11" t="s">
        <v>117</v>
      </c>
      <c r="E741" s="11" t="s">
        <v>102</v>
      </c>
      <c r="F741" s="11" t="s">
        <v>197</v>
      </c>
      <c r="G741" s="9">
        <v>20</v>
      </c>
      <c r="H741" s="9">
        <v>3500</v>
      </c>
      <c r="I741" s="9">
        <v>5</v>
      </c>
      <c r="J741" s="9">
        <f t="shared" si="22"/>
        <v>70000</v>
      </c>
      <c r="K741" s="9">
        <f t="shared" si="23"/>
        <v>66500</v>
      </c>
      <c r="L741" s="11" t="s">
        <v>86</v>
      </c>
      <c r="M741" s="11" t="s">
        <v>96</v>
      </c>
    </row>
    <row r="742" spans="1:13" x14ac:dyDescent="0.25">
      <c r="A742" s="6">
        <v>726</v>
      </c>
      <c r="B742" s="7">
        <v>45499</v>
      </c>
      <c r="C742" s="8" t="s">
        <v>119</v>
      </c>
      <c r="D742" s="8" t="s">
        <v>109</v>
      </c>
      <c r="E742" s="8" t="s">
        <v>79</v>
      </c>
      <c r="F742" s="8" t="s">
        <v>136</v>
      </c>
      <c r="G742" s="6">
        <v>20</v>
      </c>
      <c r="H742" s="6">
        <v>79800</v>
      </c>
      <c r="I742" s="6">
        <v>0</v>
      </c>
      <c r="J742" s="6">
        <f t="shared" si="22"/>
        <v>1596000</v>
      </c>
      <c r="K742" s="6">
        <f t="shared" si="23"/>
        <v>1596000</v>
      </c>
      <c r="L742" s="8" t="s">
        <v>125</v>
      </c>
      <c r="M742" s="8" t="s">
        <v>91</v>
      </c>
    </row>
    <row r="743" spans="1:13" x14ac:dyDescent="0.25">
      <c r="A743" s="9">
        <v>727</v>
      </c>
      <c r="B743" s="10">
        <v>45596</v>
      </c>
      <c r="C743" s="11" t="s">
        <v>302</v>
      </c>
      <c r="D743" s="11" t="s">
        <v>83</v>
      </c>
      <c r="E743" s="11" t="s">
        <v>84</v>
      </c>
      <c r="F743" s="11" t="s">
        <v>85</v>
      </c>
      <c r="G743" s="9">
        <v>42</v>
      </c>
      <c r="H743" s="9">
        <v>6100</v>
      </c>
      <c r="I743" s="9">
        <v>20</v>
      </c>
      <c r="J743" s="9">
        <f t="shared" si="22"/>
        <v>256200</v>
      </c>
      <c r="K743" s="9">
        <f t="shared" si="23"/>
        <v>204960</v>
      </c>
      <c r="L743" s="11" t="s">
        <v>76</v>
      </c>
      <c r="M743" s="11" t="s">
        <v>77</v>
      </c>
    </row>
    <row r="744" spans="1:13" x14ac:dyDescent="0.25">
      <c r="A744" s="6">
        <v>728</v>
      </c>
      <c r="B744" s="7">
        <v>45210</v>
      </c>
      <c r="C744" s="8" t="s">
        <v>119</v>
      </c>
      <c r="D744" s="8" t="s">
        <v>73</v>
      </c>
      <c r="E744" s="8" t="s">
        <v>102</v>
      </c>
      <c r="F744" s="8" t="s">
        <v>157</v>
      </c>
      <c r="G744" s="6">
        <v>37</v>
      </c>
      <c r="H744" s="6">
        <v>12500</v>
      </c>
      <c r="I744" s="6">
        <v>15</v>
      </c>
      <c r="J744" s="6">
        <f t="shared" si="22"/>
        <v>462500</v>
      </c>
      <c r="K744" s="6">
        <f t="shared" si="23"/>
        <v>393125</v>
      </c>
      <c r="L744" s="8" t="s">
        <v>76</v>
      </c>
      <c r="M744" s="8" t="s">
        <v>96</v>
      </c>
    </row>
    <row r="745" spans="1:13" x14ac:dyDescent="0.25">
      <c r="A745" s="9">
        <v>729</v>
      </c>
      <c r="B745" s="10">
        <v>45629</v>
      </c>
      <c r="C745" s="11" t="s">
        <v>119</v>
      </c>
      <c r="D745" s="11" t="s">
        <v>73</v>
      </c>
      <c r="E745" s="11" t="s">
        <v>74</v>
      </c>
      <c r="F745" s="11" t="s">
        <v>94</v>
      </c>
      <c r="G745" s="9">
        <v>11</v>
      </c>
      <c r="H745" s="9">
        <v>38900</v>
      </c>
      <c r="I745" s="9">
        <v>0</v>
      </c>
      <c r="J745" s="9">
        <f t="shared" si="22"/>
        <v>427900</v>
      </c>
      <c r="K745" s="9">
        <f t="shared" si="23"/>
        <v>427900</v>
      </c>
      <c r="L745" s="11" t="s">
        <v>76</v>
      </c>
      <c r="M745" s="11" t="s">
        <v>81</v>
      </c>
    </row>
    <row r="746" spans="1:13" x14ac:dyDescent="0.25">
      <c r="A746" s="6">
        <v>730</v>
      </c>
      <c r="B746" s="8" t="s">
        <v>400</v>
      </c>
      <c r="C746" s="8" t="s">
        <v>108</v>
      </c>
      <c r="D746" s="8" t="s">
        <v>117</v>
      </c>
      <c r="E746" s="8" t="s">
        <v>84</v>
      </c>
      <c r="F746" s="8" t="s">
        <v>206</v>
      </c>
      <c r="G746" s="6">
        <v>27</v>
      </c>
      <c r="H746" s="6">
        <v>13600</v>
      </c>
      <c r="I746" s="6">
        <v>0</v>
      </c>
      <c r="J746" s="6">
        <f t="shared" si="22"/>
        <v>367200</v>
      </c>
      <c r="K746" s="6">
        <f t="shared" si="23"/>
        <v>367200</v>
      </c>
      <c r="L746" s="8" t="s">
        <v>76</v>
      </c>
      <c r="M746" s="8" t="s">
        <v>96</v>
      </c>
    </row>
    <row r="747" spans="1:13" x14ac:dyDescent="0.25">
      <c r="A747" s="9">
        <v>731</v>
      </c>
      <c r="B747" s="10">
        <v>45223</v>
      </c>
      <c r="C747" s="11" t="s">
        <v>101</v>
      </c>
      <c r="D747" s="11" t="s">
        <v>93</v>
      </c>
      <c r="E747" s="11" t="s">
        <v>292</v>
      </c>
      <c r="F747" s="11" t="s">
        <v>80</v>
      </c>
      <c r="G747" s="9">
        <v>12</v>
      </c>
      <c r="H747" s="9">
        <v>9300</v>
      </c>
      <c r="I747" s="9">
        <v>10</v>
      </c>
      <c r="J747" s="9">
        <f t="shared" si="22"/>
        <v>111600</v>
      </c>
      <c r="K747" s="9">
        <f t="shared" si="23"/>
        <v>100440</v>
      </c>
      <c r="L747" s="11" t="s">
        <v>86</v>
      </c>
      <c r="M747" s="11" t="s">
        <v>81</v>
      </c>
    </row>
    <row r="748" spans="1:13" x14ac:dyDescent="0.25">
      <c r="A748" s="6">
        <v>732</v>
      </c>
      <c r="B748" s="7">
        <v>45257</v>
      </c>
      <c r="C748" s="8" t="s">
        <v>88</v>
      </c>
      <c r="D748" s="8" t="s">
        <v>117</v>
      </c>
      <c r="E748" s="8" t="s">
        <v>74</v>
      </c>
      <c r="F748" s="8" t="s">
        <v>212</v>
      </c>
      <c r="G748" s="6">
        <v>38</v>
      </c>
      <c r="H748" s="6">
        <v>7400</v>
      </c>
      <c r="I748" s="6">
        <v>0</v>
      </c>
      <c r="J748" s="6">
        <f t="shared" si="22"/>
        <v>281200</v>
      </c>
      <c r="K748" s="6">
        <f t="shared" si="23"/>
        <v>281200</v>
      </c>
      <c r="L748" s="8" t="s">
        <v>76</v>
      </c>
      <c r="M748" s="8" t="s">
        <v>81</v>
      </c>
    </row>
    <row r="749" spans="1:13" x14ac:dyDescent="0.25">
      <c r="A749" s="9">
        <v>733</v>
      </c>
      <c r="B749" s="11" t="s">
        <v>401</v>
      </c>
      <c r="C749" s="11" t="s">
        <v>82</v>
      </c>
      <c r="D749" s="11" t="s">
        <v>117</v>
      </c>
      <c r="E749" s="11" t="s">
        <v>74</v>
      </c>
      <c r="F749" s="11" t="s">
        <v>99</v>
      </c>
      <c r="G749" s="9">
        <v>11</v>
      </c>
      <c r="H749" s="9">
        <v>3500</v>
      </c>
      <c r="I749" s="9">
        <v>10</v>
      </c>
      <c r="J749" s="9">
        <f t="shared" si="22"/>
        <v>38500</v>
      </c>
      <c r="K749" s="9">
        <f t="shared" si="23"/>
        <v>34650</v>
      </c>
      <c r="L749" s="11" t="s">
        <v>76</v>
      </c>
      <c r="M749" s="11" t="s">
        <v>81</v>
      </c>
    </row>
    <row r="750" spans="1:13" x14ac:dyDescent="0.25">
      <c r="A750" s="6">
        <v>734</v>
      </c>
      <c r="B750" s="7">
        <v>45153</v>
      </c>
      <c r="C750" s="8" t="s">
        <v>106</v>
      </c>
      <c r="D750" s="8" t="s">
        <v>93</v>
      </c>
      <c r="E750" s="8" t="s">
        <v>102</v>
      </c>
      <c r="F750" s="8" t="s">
        <v>137</v>
      </c>
      <c r="G750" s="6">
        <v>5</v>
      </c>
      <c r="H750" s="6">
        <v>2200</v>
      </c>
      <c r="I750" s="6">
        <v>0</v>
      </c>
      <c r="J750" s="6">
        <f t="shared" si="22"/>
        <v>11000</v>
      </c>
      <c r="K750" s="6">
        <f t="shared" si="23"/>
        <v>11000</v>
      </c>
      <c r="L750" s="8" t="s">
        <v>76</v>
      </c>
      <c r="M750" s="8" t="s">
        <v>81</v>
      </c>
    </row>
    <row r="751" spans="1:13" x14ac:dyDescent="0.25">
      <c r="A751" s="9">
        <v>735</v>
      </c>
      <c r="B751" s="11" t="s">
        <v>402</v>
      </c>
      <c r="C751" s="11" t="s">
        <v>88</v>
      </c>
      <c r="D751" s="11" t="s">
        <v>117</v>
      </c>
      <c r="E751" s="11" t="s">
        <v>74</v>
      </c>
      <c r="F751" s="11" t="s">
        <v>142</v>
      </c>
      <c r="G751" s="9">
        <v>39</v>
      </c>
      <c r="H751" s="9">
        <v>13300</v>
      </c>
      <c r="I751" s="9">
        <v>0</v>
      </c>
      <c r="J751" s="9">
        <f t="shared" si="22"/>
        <v>518700</v>
      </c>
      <c r="K751" s="9">
        <f t="shared" si="23"/>
        <v>518700</v>
      </c>
      <c r="L751" s="11" t="s">
        <v>76</v>
      </c>
      <c r="M751" s="11" t="s">
        <v>96</v>
      </c>
    </row>
    <row r="752" spans="1:13" x14ac:dyDescent="0.25">
      <c r="A752" s="6">
        <v>736</v>
      </c>
      <c r="B752" s="8" t="s">
        <v>403</v>
      </c>
      <c r="C752" s="8" t="s">
        <v>101</v>
      </c>
      <c r="D752" s="8" t="s">
        <v>73</v>
      </c>
      <c r="E752" s="8" t="s">
        <v>79</v>
      </c>
      <c r="F752" s="8" t="s">
        <v>80</v>
      </c>
      <c r="G752" s="6">
        <v>45</v>
      </c>
      <c r="H752" s="6">
        <v>7900</v>
      </c>
      <c r="I752" s="6">
        <v>0</v>
      </c>
      <c r="J752" s="6">
        <f t="shared" si="22"/>
        <v>355500</v>
      </c>
      <c r="K752" s="6">
        <f t="shared" si="23"/>
        <v>355500</v>
      </c>
      <c r="L752" s="8" t="s">
        <v>76</v>
      </c>
      <c r="M752" s="8" t="s">
        <v>81</v>
      </c>
    </row>
    <row r="753" spans="1:13" x14ac:dyDescent="0.25">
      <c r="A753" s="9">
        <v>737</v>
      </c>
      <c r="B753" s="10">
        <v>45055</v>
      </c>
      <c r="C753" s="11" t="s">
        <v>106</v>
      </c>
      <c r="D753" s="11" t="s">
        <v>178</v>
      </c>
      <c r="E753" s="11" t="s">
        <v>79</v>
      </c>
      <c r="F753" s="11" t="s">
        <v>115</v>
      </c>
      <c r="G753" s="9">
        <v>8</v>
      </c>
      <c r="H753" s="9">
        <v>9700</v>
      </c>
      <c r="I753" s="9">
        <v>20</v>
      </c>
      <c r="J753" s="9">
        <f t="shared" si="22"/>
        <v>77600</v>
      </c>
      <c r="K753" s="9">
        <f t="shared" si="23"/>
        <v>62080</v>
      </c>
      <c r="L753" s="11" t="s">
        <v>76</v>
      </c>
      <c r="M753" s="11" t="s">
        <v>91</v>
      </c>
    </row>
    <row r="754" spans="1:13" x14ac:dyDescent="0.25">
      <c r="A754" s="6">
        <v>738</v>
      </c>
      <c r="B754" s="7">
        <v>45368</v>
      </c>
      <c r="C754" s="8" t="s">
        <v>78</v>
      </c>
      <c r="D754" s="8" t="s">
        <v>109</v>
      </c>
      <c r="E754" s="8" t="s">
        <v>79</v>
      </c>
      <c r="F754" s="8" t="s">
        <v>136</v>
      </c>
      <c r="G754" s="6">
        <v>33</v>
      </c>
      <c r="H754" s="6">
        <v>93400</v>
      </c>
      <c r="I754" s="6">
        <v>0</v>
      </c>
      <c r="J754" s="6">
        <f t="shared" si="22"/>
        <v>3082200</v>
      </c>
      <c r="K754" s="6">
        <f t="shared" si="23"/>
        <v>3082200</v>
      </c>
      <c r="L754" s="8" t="s">
        <v>129</v>
      </c>
      <c r="M754" s="8" t="s">
        <v>91</v>
      </c>
    </row>
    <row r="755" spans="1:13" x14ac:dyDescent="0.25">
      <c r="A755" s="9">
        <v>739</v>
      </c>
      <c r="B755" s="10">
        <v>45186</v>
      </c>
      <c r="C755" s="11" t="s">
        <v>78</v>
      </c>
      <c r="D755" s="11" t="s">
        <v>127</v>
      </c>
      <c r="E755" s="11" t="s">
        <v>74</v>
      </c>
      <c r="F755" s="11" t="s">
        <v>94</v>
      </c>
      <c r="G755" s="9">
        <v>8</v>
      </c>
      <c r="H755" s="9" t="s">
        <v>404</v>
      </c>
      <c r="I755" s="9">
        <v>10</v>
      </c>
      <c r="J755" s="9">
        <f t="shared" si="22"/>
        <v>304800</v>
      </c>
      <c r="K755" s="9">
        <f t="shared" si="23"/>
        <v>274320</v>
      </c>
      <c r="L755" s="11" t="s">
        <v>107</v>
      </c>
      <c r="M755" s="11" t="s">
        <v>81</v>
      </c>
    </row>
    <row r="756" spans="1:13" x14ac:dyDescent="0.25">
      <c r="A756" s="6">
        <v>740</v>
      </c>
      <c r="B756" s="8" t="s">
        <v>405</v>
      </c>
      <c r="C756" s="8" t="s">
        <v>108</v>
      </c>
      <c r="D756" s="8" t="s">
        <v>117</v>
      </c>
      <c r="E756" s="8" t="s">
        <v>79</v>
      </c>
      <c r="F756" s="8" t="s">
        <v>131</v>
      </c>
      <c r="G756" s="6">
        <v>48</v>
      </c>
      <c r="H756" s="6">
        <v>112400</v>
      </c>
      <c r="I756" s="6">
        <v>0</v>
      </c>
      <c r="J756" s="6">
        <f t="shared" si="22"/>
        <v>5395200</v>
      </c>
      <c r="K756" s="6">
        <f t="shared" si="23"/>
        <v>5395200</v>
      </c>
      <c r="L756" s="8" t="s">
        <v>125</v>
      </c>
      <c r="M756" s="8" t="s">
        <v>96</v>
      </c>
    </row>
    <row r="757" spans="1:13" x14ac:dyDescent="0.25">
      <c r="A757" s="9">
        <v>741</v>
      </c>
      <c r="B757" s="10">
        <v>45091</v>
      </c>
      <c r="C757" s="11" t="s">
        <v>82</v>
      </c>
      <c r="D757" s="11" t="s">
        <v>93</v>
      </c>
      <c r="E757" s="11" t="s">
        <v>84</v>
      </c>
      <c r="F757" s="11" t="s">
        <v>150</v>
      </c>
      <c r="G757" s="9">
        <v>38</v>
      </c>
      <c r="H757" s="9">
        <v>5100</v>
      </c>
      <c r="I757" s="9">
        <v>15</v>
      </c>
      <c r="J757" s="9">
        <f t="shared" si="22"/>
        <v>193800</v>
      </c>
      <c r="K757" s="9">
        <f t="shared" si="23"/>
        <v>164730</v>
      </c>
      <c r="L757" s="11" t="s">
        <v>86</v>
      </c>
      <c r="M757" s="11" t="s">
        <v>81</v>
      </c>
    </row>
    <row r="758" spans="1:13" x14ac:dyDescent="0.25">
      <c r="A758" s="6">
        <v>742</v>
      </c>
      <c r="B758" s="7">
        <v>45123</v>
      </c>
      <c r="C758" s="8" t="s">
        <v>101</v>
      </c>
      <c r="D758" s="8" t="s">
        <v>109</v>
      </c>
      <c r="E758" s="8" t="s">
        <v>102</v>
      </c>
      <c r="F758" s="8" t="s">
        <v>138</v>
      </c>
      <c r="G758" s="6">
        <v>7</v>
      </c>
      <c r="H758" s="6">
        <v>7400</v>
      </c>
      <c r="I758" s="6">
        <v>0</v>
      </c>
      <c r="J758" s="6">
        <f t="shared" si="22"/>
        <v>51800</v>
      </c>
      <c r="K758" s="6">
        <f t="shared" si="23"/>
        <v>51800</v>
      </c>
      <c r="L758" s="8" t="s">
        <v>107</v>
      </c>
      <c r="M758" s="8" t="s">
        <v>91</v>
      </c>
    </row>
    <row r="759" spans="1:13" x14ac:dyDescent="0.25">
      <c r="A759" s="9">
        <v>743</v>
      </c>
      <c r="B759" s="10">
        <v>45641</v>
      </c>
      <c r="C759" s="11" t="s">
        <v>124</v>
      </c>
      <c r="D759" s="11" t="s">
        <v>109</v>
      </c>
      <c r="E759" s="11" t="s">
        <v>111</v>
      </c>
      <c r="F759" s="11" t="s">
        <v>112</v>
      </c>
      <c r="G759" s="9">
        <v>23</v>
      </c>
      <c r="H759" s="9">
        <v>61400</v>
      </c>
      <c r="I759" s="9">
        <v>0</v>
      </c>
      <c r="J759" s="9">
        <f t="shared" si="22"/>
        <v>1412200</v>
      </c>
      <c r="K759" s="9">
        <f t="shared" si="23"/>
        <v>1412200</v>
      </c>
      <c r="L759" s="11" t="s">
        <v>125</v>
      </c>
      <c r="M759" s="11" t="s">
        <v>91</v>
      </c>
    </row>
    <row r="760" spans="1:13" x14ac:dyDescent="0.25">
      <c r="A760" s="6">
        <v>744</v>
      </c>
      <c r="B760" s="7">
        <v>45453</v>
      </c>
      <c r="C760" s="8" t="s">
        <v>106</v>
      </c>
      <c r="D760" s="8" t="s">
        <v>83</v>
      </c>
      <c r="E760" s="8" t="s">
        <v>79</v>
      </c>
      <c r="F760" s="8" t="s">
        <v>120</v>
      </c>
      <c r="G760" s="6">
        <v>8</v>
      </c>
      <c r="H760" s="6">
        <v>5600</v>
      </c>
      <c r="I760" s="6">
        <v>20</v>
      </c>
      <c r="J760" s="6">
        <f t="shared" si="22"/>
        <v>44800</v>
      </c>
      <c r="K760" s="6">
        <f t="shared" si="23"/>
        <v>35840</v>
      </c>
      <c r="L760" s="8" t="s">
        <v>76</v>
      </c>
      <c r="M760" s="8" t="s">
        <v>91</v>
      </c>
    </row>
    <row r="761" spans="1:13" x14ac:dyDescent="0.25">
      <c r="A761" s="9">
        <v>745</v>
      </c>
      <c r="B761" s="10">
        <v>45296</v>
      </c>
      <c r="C761" s="11" t="s">
        <v>101</v>
      </c>
      <c r="D761" s="11" t="s">
        <v>93</v>
      </c>
      <c r="E761" s="11" t="s">
        <v>79</v>
      </c>
      <c r="F761" s="11" t="s">
        <v>131</v>
      </c>
      <c r="G761" s="9">
        <v>8</v>
      </c>
      <c r="H761" s="9">
        <v>117800</v>
      </c>
      <c r="I761" s="9">
        <v>10</v>
      </c>
      <c r="J761" s="9">
        <f t="shared" si="22"/>
        <v>942400</v>
      </c>
      <c r="K761" s="9">
        <f t="shared" si="23"/>
        <v>848160</v>
      </c>
      <c r="L761" s="11" t="s">
        <v>76</v>
      </c>
      <c r="M761" s="11" t="s">
        <v>91</v>
      </c>
    </row>
    <row r="762" spans="1:13" x14ac:dyDescent="0.25">
      <c r="A762" s="6">
        <v>746</v>
      </c>
      <c r="B762" s="7">
        <v>45246</v>
      </c>
      <c r="C762" s="8" t="s">
        <v>119</v>
      </c>
      <c r="D762" s="8" t="s">
        <v>109</v>
      </c>
      <c r="E762" s="8" t="s">
        <v>102</v>
      </c>
      <c r="F762" s="8" t="s">
        <v>151</v>
      </c>
      <c r="G762" s="6">
        <v>28</v>
      </c>
      <c r="H762" s="6" t="s">
        <v>406</v>
      </c>
      <c r="I762" s="6">
        <v>20</v>
      </c>
      <c r="J762" s="6" t="e">
        <f t="shared" si="22"/>
        <v>#VALUE!</v>
      </c>
      <c r="K762" s="6" t="e">
        <f t="shared" si="23"/>
        <v>#VALUE!</v>
      </c>
      <c r="L762" s="8" t="s">
        <v>76</v>
      </c>
      <c r="M762" s="8" t="s">
        <v>77</v>
      </c>
    </row>
    <row r="763" spans="1:13" x14ac:dyDescent="0.25">
      <c r="A763" s="9">
        <v>747</v>
      </c>
      <c r="B763" s="10">
        <v>45414</v>
      </c>
      <c r="C763" s="11" t="s">
        <v>88</v>
      </c>
      <c r="D763" s="11" t="s">
        <v>249</v>
      </c>
      <c r="E763" s="11" t="s">
        <v>79</v>
      </c>
      <c r="F763" s="11" t="s">
        <v>172</v>
      </c>
      <c r="G763" s="9">
        <v>26</v>
      </c>
      <c r="H763" s="9">
        <v>26700</v>
      </c>
      <c r="I763" s="9">
        <v>0</v>
      </c>
      <c r="J763" s="9">
        <f t="shared" si="22"/>
        <v>694200</v>
      </c>
      <c r="K763" s="9">
        <f t="shared" si="23"/>
        <v>694200</v>
      </c>
      <c r="L763" s="11" t="s">
        <v>76</v>
      </c>
      <c r="M763" s="11" t="s">
        <v>77</v>
      </c>
    </row>
    <row r="764" spans="1:13" x14ac:dyDescent="0.25">
      <c r="A764" s="6">
        <v>748</v>
      </c>
      <c r="B764" s="7">
        <v>45073</v>
      </c>
      <c r="C764" s="8" t="s">
        <v>114</v>
      </c>
      <c r="D764" s="8" t="s">
        <v>83</v>
      </c>
      <c r="E764" s="8" t="s">
        <v>145</v>
      </c>
      <c r="F764" s="8" t="s">
        <v>137</v>
      </c>
      <c r="G764" s="6">
        <v>11</v>
      </c>
      <c r="H764" s="6">
        <v>2400</v>
      </c>
      <c r="I764" s="6">
        <v>0</v>
      </c>
      <c r="J764" s="6">
        <f t="shared" si="22"/>
        <v>26400</v>
      </c>
      <c r="K764" s="6">
        <f t="shared" si="23"/>
        <v>26400</v>
      </c>
      <c r="L764" s="8" t="s">
        <v>76</v>
      </c>
      <c r="M764" s="8" t="s">
        <v>81</v>
      </c>
    </row>
    <row r="765" spans="1:13" x14ac:dyDescent="0.25">
      <c r="A765" s="9">
        <v>749</v>
      </c>
      <c r="B765" s="10">
        <v>45132</v>
      </c>
      <c r="C765" s="11" t="s">
        <v>124</v>
      </c>
      <c r="D765" s="11" t="s">
        <v>83</v>
      </c>
      <c r="E765" s="11" t="s">
        <v>79</v>
      </c>
      <c r="F765" s="11" t="s">
        <v>80</v>
      </c>
      <c r="G765" s="9">
        <v>47</v>
      </c>
      <c r="H765" s="9">
        <v>9400</v>
      </c>
      <c r="I765" s="9">
        <v>20</v>
      </c>
      <c r="J765" s="9">
        <f t="shared" si="22"/>
        <v>441800</v>
      </c>
      <c r="K765" s="9">
        <f t="shared" si="23"/>
        <v>353440</v>
      </c>
      <c r="L765" s="11" t="s">
        <v>76</v>
      </c>
      <c r="M765" s="11" t="s">
        <v>96</v>
      </c>
    </row>
    <row r="766" spans="1:13" x14ac:dyDescent="0.25">
      <c r="A766" s="6">
        <v>750</v>
      </c>
      <c r="B766" s="8" t="s">
        <v>407</v>
      </c>
      <c r="C766" s="8" t="s">
        <v>114</v>
      </c>
      <c r="D766" s="8" t="s">
        <v>117</v>
      </c>
      <c r="E766" s="8" t="s">
        <v>111</v>
      </c>
      <c r="F766" s="8" t="s">
        <v>165</v>
      </c>
      <c r="G766" s="6">
        <v>33</v>
      </c>
      <c r="H766" s="6">
        <v>20600</v>
      </c>
      <c r="I766" s="6">
        <v>0</v>
      </c>
      <c r="J766" s="6">
        <f t="shared" si="22"/>
        <v>679800</v>
      </c>
      <c r="K766" s="6">
        <f t="shared" si="23"/>
        <v>679800</v>
      </c>
      <c r="L766" s="8" t="s">
        <v>76</v>
      </c>
      <c r="M766" s="8" t="s">
        <v>91</v>
      </c>
    </row>
    <row r="767" spans="1:13" x14ac:dyDescent="0.25">
      <c r="A767" s="9">
        <v>751</v>
      </c>
      <c r="B767" s="10">
        <v>45052</v>
      </c>
      <c r="C767" s="11" t="s">
        <v>101</v>
      </c>
      <c r="D767" s="11" t="s">
        <v>83</v>
      </c>
      <c r="E767" s="11" t="s">
        <v>111</v>
      </c>
      <c r="F767" s="11" t="s">
        <v>156</v>
      </c>
      <c r="G767" s="9">
        <v>9</v>
      </c>
      <c r="H767" s="9" t="s">
        <v>408</v>
      </c>
      <c r="I767" s="9">
        <v>20</v>
      </c>
      <c r="J767" s="9">
        <f t="shared" si="22"/>
        <v>399600</v>
      </c>
      <c r="K767" s="9">
        <f t="shared" si="23"/>
        <v>319680</v>
      </c>
      <c r="L767" s="11" t="s">
        <v>76</v>
      </c>
      <c r="M767" s="11"/>
    </row>
    <row r="768" spans="1:13" x14ac:dyDescent="0.25">
      <c r="A768" s="6">
        <v>752</v>
      </c>
      <c r="B768" s="7">
        <v>44996</v>
      </c>
      <c r="C768" s="8" t="s">
        <v>119</v>
      </c>
      <c r="D768" s="8" t="s">
        <v>73</v>
      </c>
      <c r="E768" s="8" t="s">
        <v>84</v>
      </c>
      <c r="F768" s="8" t="s">
        <v>148</v>
      </c>
      <c r="G768" s="6">
        <v>21</v>
      </c>
      <c r="H768" s="6">
        <v>5000</v>
      </c>
      <c r="I768" s="6">
        <v>20</v>
      </c>
      <c r="J768" s="6">
        <f t="shared" si="22"/>
        <v>105000</v>
      </c>
      <c r="K768" s="6">
        <f t="shared" si="23"/>
        <v>84000</v>
      </c>
      <c r="L768" s="8" t="s">
        <v>76</v>
      </c>
      <c r="M768" s="8" t="s">
        <v>77</v>
      </c>
    </row>
    <row r="769" spans="1:13" x14ac:dyDescent="0.25">
      <c r="A769" s="9">
        <v>753</v>
      </c>
      <c r="B769" s="10">
        <v>45005</v>
      </c>
      <c r="C769" s="11" t="s">
        <v>82</v>
      </c>
      <c r="D769" s="11" t="s">
        <v>83</v>
      </c>
      <c r="E769" s="11" t="s">
        <v>111</v>
      </c>
      <c r="F769" s="11" t="s">
        <v>156</v>
      </c>
      <c r="G769" s="9">
        <v>32</v>
      </c>
      <c r="H769" s="9">
        <v>40900</v>
      </c>
      <c r="I769" s="9">
        <v>10</v>
      </c>
      <c r="J769" s="9">
        <f t="shared" si="22"/>
        <v>1308800</v>
      </c>
      <c r="K769" s="9">
        <f t="shared" si="23"/>
        <v>1177920</v>
      </c>
      <c r="L769" s="11" t="s">
        <v>76</v>
      </c>
      <c r="M769" s="11"/>
    </row>
    <row r="770" spans="1:13" x14ac:dyDescent="0.25">
      <c r="A770" s="6">
        <v>754</v>
      </c>
      <c r="B770" s="7">
        <v>45278</v>
      </c>
      <c r="C770" s="8" t="s">
        <v>82</v>
      </c>
      <c r="D770" s="8" t="s">
        <v>93</v>
      </c>
      <c r="E770" s="8" t="s">
        <v>79</v>
      </c>
      <c r="F770" s="8" t="s">
        <v>136</v>
      </c>
      <c r="G770" s="6">
        <v>8</v>
      </c>
      <c r="H770" s="6">
        <v>97600</v>
      </c>
      <c r="I770" s="6">
        <v>20</v>
      </c>
      <c r="J770" s="6">
        <f t="shared" ref="J770:J833" si="24">G770*H770</f>
        <v>780800</v>
      </c>
      <c r="K770" s="6">
        <f t="shared" ref="K770:K833" si="25">J770*(1-I770/100)</f>
        <v>624640</v>
      </c>
      <c r="L770" s="8" t="s">
        <v>76</v>
      </c>
      <c r="M770" s="8" t="s">
        <v>96</v>
      </c>
    </row>
    <row r="771" spans="1:13" x14ac:dyDescent="0.25">
      <c r="A771" s="9">
        <v>755</v>
      </c>
      <c r="B771" s="11" t="s">
        <v>409</v>
      </c>
      <c r="C771" s="11" t="s">
        <v>119</v>
      </c>
      <c r="D771" s="11" t="s">
        <v>83</v>
      </c>
      <c r="E771" s="11" t="s">
        <v>79</v>
      </c>
      <c r="F771" s="11" t="s">
        <v>136</v>
      </c>
      <c r="G771" s="9">
        <v>43</v>
      </c>
      <c r="H771" s="9">
        <v>80300</v>
      </c>
      <c r="I771" s="9">
        <v>15</v>
      </c>
      <c r="J771" s="9">
        <f t="shared" si="24"/>
        <v>3452900</v>
      </c>
      <c r="K771" s="9">
        <f t="shared" si="25"/>
        <v>2934965</v>
      </c>
      <c r="L771" s="11" t="s">
        <v>107</v>
      </c>
      <c r="M771" s="11" t="s">
        <v>96</v>
      </c>
    </row>
    <row r="772" spans="1:13" x14ac:dyDescent="0.25">
      <c r="A772" s="6">
        <v>756</v>
      </c>
      <c r="B772" s="8" t="s">
        <v>410</v>
      </c>
      <c r="C772" s="8" t="s">
        <v>119</v>
      </c>
      <c r="D772" s="8" t="s">
        <v>266</v>
      </c>
      <c r="E772" s="8" t="s">
        <v>84</v>
      </c>
      <c r="F772" s="8" t="s">
        <v>134</v>
      </c>
      <c r="G772" s="6">
        <v>32</v>
      </c>
      <c r="H772" s="6">
        <v>10400</v>
      </c>
      <c r="I772" s="6">
        <v>15</v>
      </c>
      <c r="J772" s="6">
        <f t="shared" si="24"/>
        <v>332800</v>
      </c>
      <c r="K772" s="6">
        <f t="shared" si="25"/>
        <v>282880</v>
      </c>
      <c r="L772" s="8" t="s">
        <v>86</v>
      </c>
      <c r="M772" s="8" t="s">
        <v>91</v>
      </c>
    </row>
    <row r="773" spans="1:13" x14ac:dyDescent="0.25">
      <c r="A773" s="9">
        <v>757</v>
      </c>
      <c r="B773" s="10">
        <v>45494</v>
      </c>
      <c r="C773" s="11" t="s">
        <v>82</v>
      </c>
      <c r="D773" s="11" t="s">
        <v>93</v>
      </c>
      <c r="E773" s="11" t="s">
        <v>111</v>
      </c>
      <c r="F773" s="11" t="s">
        <v>159</v>
      </c>
      <c r="G773" s="9">
        <v>11</v>
      </c>
      <c r="H773" s="9">
        <v>12500</v>
      </c>
      <c r="I773" s="9">
        <v>0</v>
      </c>
      <c r="J773" s="9">
        <f t="shared" si="24"/>
        <v>137500</v>
      </c>
      <c r="K773" s="9">
        <f t="shared" si="25"/>
        <v>137500</v>
      </c>
      <c r="L773" s="11" t="s">
        <v>76</v>
      </c>
      <c r="M773" s="11" t="s">
        <v>91</v>
      </c>
    </row>
    <row r="774" spans="1:13" x14ac:dyDescent="0.25">
      <c r="A774" s="6">
        <v>758</v>
      </c>
      <c r="B774" s="7">
        <v>45433</v>
      </c>
      <c r="C774" s="8" t="s">
        <v>124</v>
      </c>
      <c r="D774" s="8" t="s">
        <v>98</v>
      </c>
      <c r="E774" s="8" t="s">
        <v>102</v>
      </c>
      <c r="F774" s="8" t="s">
        <v>157</v>
      </c>
      <c r="G774" s="6">
        <v>19</v>
      </c>
      <c r="H774" s="6">
        <v>13100</v>
      </c>
      <c r="I774" s="6">
        <v>10</v>
      </c>
      <c r="J774" s="6">
        <f t="shared" si="24"/>
        <v>248900</v>
      </c>
      <c r="K774" s="6">
        <f t="shared" si="25"/>
        <v>224010</v>
      </c>
      <c r="L774" s="8" t="s">
        <v>76</v>
      </c>
      <c r="M774" s="8" t="s">
        <v>77</v>
      </c>
    </row>
    <row r="775" spans="1:13" x14ac:dyDescent="0.25">
      <c r="A775" s="9">
        <v>759</v>
      </c>
      <c r="B775" s="10">
        <v>44973</v>
      </c>
      <c r="C775" s="11" t="s">
        <v>108</v>
      </c>
      <c r="D775" s="11" t="s">
        <v>117</v>
      </c>
      <c r="E775" s="11" t="s">
        <v>74</v>
      </c>
      <c r="F775" s="11" t="s">
        <v>94</v>
      </c>
      <c r="G775" s="9">
        <v>41</v>
      </c>
      <c r="H775" s="9">
        <v>38200</v>
      </c>
      <c r="I775" s="9">
        <v>5</v>
      </c>
      <c r="J775" s="9">
        <f t="shared" si="24"/>
        <v>1566200</v>
      </c>
      <c r="K775" s="9">
        <f t="shared" si="25"/>
        <v>1487890</v>
      </c>
      <c r="L775" s="11" t="s">
        <v>76</v>
      </c>
      <c r="M775" s="11" t="s">
        <v>77</v>
      </c>
    </row>
    <row r="776" spans="1:13" x14ac:dyDescent="0.25">
      <c r="A776" s="6">
        <v>760</v>
      </c>
      <c r="B776" s="7">
        <v>45280</v>
      </c>
      <c r="C776" s="8" t="s">
        <v>88</v>
      </c>
      <c r="D776" s="8" t="s">
        <v>83</v>
      </c>
      <c r="E776" s="8" t="s">
        <v>74</v>
      </c>
      <c r="F776" s="8" t="s">
        <v>94</v>
      </c>
      <c r="G776" s="6">
        <v>16</v>
      </c>
      <c r="H776" s="6">
        <v>37300</v>
      </c>
      <c r="I776" s="6"/>
      <c r="J776" s="6">
        <f t="shared" si="24"/>
        <v>596800</v>
      </c>
      <c r="K776" s="6">
        <f t="shared" si="25"/>
        <v>596800</v>
      </c>
      <c r="L776" s="8" t="s">
        <v>76</v>
      </c>
      <c r="M776" s="8" t="s">
        <v>96</v>
      </c>
    </row>
    <row r="777" spans="1:13" x14ac:dyDescent="0.25">
      <c r="A777" s="9">
        <v>761</v>
      </c>
      <c r="B777" s="10">
        <v>45013</v>
      </c>
      <c r="C777" s="11" t="s">
        <v>97</v>
      </c>
      <c r="D777" s="11" t="s">
        <v>117</v>
      </c>
      <c r="E777" s="11" t="s">
        <v>79</v>
      </c>
      <c r="F777" s="11" t="s">
        <v>120</v>
      </c>
      <c r="G777" s="9">
        <v>35</v>
      </c>
      <c r="H777" s="9">
        <v>5700</v>
      </c>
      <c r="I777" s="9">
        <v>15</v>
      </c>
      <c r="J777" s="9">
        <f t="shared" si="24"/>
        <v>199500</v>
      </c>
      <c r="K777" s="9">
        <f t="shared" si="25"/>
        <v>169575</v>
      </c>
      <c r="L777" s="11" t="s">
        <v>76</v>
      </c>
      <c r="M777" s="11" t="s">
        <v>91</v>
      </c>
    </row>
    <row r="778" spans="1:13" x14ac:dyDescent="0.25">
      <c r="A778" s="6">
        <v>762</v>
      </c>
      <c r="B778" s="7">
        <v>45359</v>
      </c>
      <c r="C778" s="8" t="s">
        <v>124</v>
      </c>
      <c r="D778" s="8" t="s">
        <v>93</v>
      </c>
      <c r="E778" s="8" t="s">
        <v>111</v>
      </c>
      <c r="F778" s="8" t="s">
        <v>135</v>
      </c>
      <c r="G778" s="6">
        <v>31</v>
      </c>
      <c r="H778" s="6">
        <v>104100</v>
      </c>
      <c r="I778" s="6">
        <v>5</v>
      </c>
      <c r="J778" s="6">
        <f t="shared" si="24"/>
        <v>3227100</v>
      </c>
      <c r="K778" s="6">
        <f t="shared" si="25"/>
        <v>3065745</v>
      </c>
      <c r="L778" s="8" t="s">
        <v>76</v>
      </c>
      <c r="M778" s="8" t="s">
        <v>96</v>
      </c>
    </row>
    <row r="779" spans="1:13" x14ac:dyDescent="0.25">
      <c r="A779" s="9">
        <v>763</v>
      </c>
      <c r="B779" s="10">
        <v>45511</v>
      </c>
      <c r="C779" s="11" t="s">
        <v>223</v>
      </c>
      <c r="D779" s="11" t="s">
        <v>117</v>
      </c>
      <c r="E779" s="11" t="s">
        <v>102</v>
      </c>
      <c r="F779" s="11" t="s">
        <v>137</v>
      </c>
      <c r="G779" s="9">
        <v>7</v>
      </c>
      <c r="H779" s="9">
        <v>2400</v>
      </c>
      <c r="I779" s="9">
        <v>0</v>
      </c>
      <c r="J779" s="9">
        <f t="shared" si="24"/>
        <v>16800</v>
      </c>
      <c r="K779" s="9">
        <f t="shared" si="25"/>
        <v>16800</v>
      </c>
      <c r="L779" s="11" t="s">
        <v>86</v>
      </c>
      <c r="M779" s="11" t="s">
        <v>81</v>
      </c>
    </row>
    <row r="780" spans="1:13" x14ac:dyDescent="0.25">
      <c r="A780" s="6">
        <v>764</v>
      </c>
      <c r="B780" s="8" t="s">
        <v>411</v>
      </c>
      <c r="C780" s="8" t="s">
        <v>82</v>
      </c>
      <c r="D780" s="8" t="s">
        <v>117</v>
      </c>
      <c r="E780" s="8" t="s">
        <v>84</v>
      </c>
      <c r="F780" s="8" t="s">
        <v>134</v>
      </c>
      <c r="G780" s="6">
        <v>28</v>
      </c>
      <c r="H780" s="6">
        <v>9500</v>
      </c>
      <c r="I780" s="6">
        <v>20</v>
      </c>
      <c r="J780" s="6">
        <f t="shared" si="24"/>
        <v>266000</v>
      </c>
      <c r="K780" s="6">
        <f t="shared" si="25"/>
        <v>212800</v>
      </c>
      <c r="L780" s="8" t="s">
        <v>76</v>
      </c>
      <c r="M780" s="8" t="s">
        <v>77</v>
      </c>
    </row>
    <row r="781" spans="1:13" x14ac:dyDescent="0.25">
      <c r="A781" s="9">
        <v>765</v>
      </c>
      <c r="B781" s="10">
        <v>45475</v>
      </c>
      <c r="C781" s="11" t="s">
        <v>106</v>
      </c>
      <c r="D781" s="11" t="s">
        <v>117</v>
      </c>
      <c r="E781" s="11" t="s">
        <v>74</v>
      </c>
      <c r="F781" s="11" t="s">
        <v>94</v>
      </c>
      <c r="G781" s="9">
        <v>37</v>
      </c>
      <c r="H781" s="9">
        <v>34100</v>
      </c>
      <c r="I781" s="9">
        <v>10</v>
      </c>
      <c r="J781" s="9">
        <f t="shared" si="24"/>
        <v>1261700</v>
      </c>
      <c r="K781" s="9">
        <f t="shared" si="25"/>
        <v>1135530</v>
      </c>
      <c r="L781" s="11" t="s">
        <v>76</v>
      </c>
      <c r="M781" s="11" t="s">
        <v>81</v>
      </c>
    </row>
    <row r="782" spans="1:13" x14ac:dyDescent="0.25">
      <c r="A782" s="6">
        <v>766</v>
      </c>
      <c r="B782" s="7">
        <v>45021</v>
      </c>
      <c r="C782" s="8" t="s">
        <v>124</v>
      </c>
      <c r="D782" s="8" t="s">
        <v>73</v>
      </c>
      <c r="E782" s="8" t="s">
        <v>102</v>
      </c>
      <c r="F782" s="8" t="s">
        <v>157</v>
      </c>
      <c r="G782" s="6">
        <v>37</v>
      </c>
      <c r="H782" s="6">
        <v>11600</v>
      </c>
      <c r="I782" s="6">
        <v>5</v>
      </c>
      <c r="J782" s="6">
        <f t="shared" si="24"/>
        <v>429200</v>
      </c>
      <c r="K782" s="6">
        <f t="shared" si="25"/>
        <v>407740</v>
      </c>
      <c r="L782" s="8" t="s">
        <v>86</v>
      </c>
      <c r="M782" s="8" t="s">
        <v>91</v>
      </c>
    </row>
    <row r="783" spans="1:13" x14ac:dyDescent="0.25">
      <c r="A783" s="9">
        <v>767</v>
      </c>
      <c r="B783" s="10">
        <v>45141</v>
      </c>
      <c r="C783" s="11" t="s">
        <v>88</v>
      </c>
      <c r="D783" s="11" t="s">
        <v>73</v>
      </c>
      <c r="E783" s="11" t="s">
        <v>74</v>
      </c>
      <c r="F783" s="11" t="s">
        <v>190</v>
      </c>
      <c r="G783" s="9">
        <v>35</v>
      </c>
      <c r="H783" s="9">
        <v>32300</v>
      </c>
      <c r="I783" s="9">
        <v>5</v>
      </c>
      <c r="J783" s="9">
        <f t="shared" si="24"/>
        <v>1130500</v>
      </c>
      <c r="K783" s="9">
        <f t="shared" si="25"/>
        <v>1073975</v>
      </c>
      <c r="L783" s="11" t="s">
        <v>76</v>
      </c>
      <c r="M783" s="11" t="s">
        <v>91</v>
      </c>
    </row>
    <row r="784" spans="1:13" x14ac:dyDescent="0.25">
      <c r="A784" s="6">
        <v>768</v>
      </c>
      <c r="B784" s="7">
        <v>45184</v>
      </c>
      <c r="C784" s="8" t="s">
        <v>124</v>
      </c>
      <c r="D784" s="8" t="s">
        <v>93</v>
      </c>
      <c r="E784" s="8" t="s">
        <v>111</v>
      </c>
      <c r="F784" s="8" t="s">
        <v>166</v>
      </c>
      <c r="G784" s="6">
        <v>41</v>
      </c>
      <c r="H784" s="6">
        <v>31400</v>
      </c>
      <c r="I784" s="6">
        <v>10</v>
      </c>
      <c r="J784" s="6">
        <f t="shared" si="24"/>
        <v>1287400</v>
      </c>
      <c r="K784" s="6">
        <f t="shared" si="25"/>
        <v>1158660</v>
      </c>
      <c r="L784" s="8" t="s">
        <v>86</v>
      </c>
      <c r="M784" s="8" t="s">
        <v>81</v>
      </c>
    </row>
    <row r="785" spans="1:13" x14ac:dyDescent="0.25">
      <c r="A785" s="9">
        <v>769</v>
      </c>
      <c r="B785" s="10">
        <v>45438</v>
      </c>
      <c r="C785" s="11" t="s">
        <v>106</v>
      </c>
      <c r="D785" s="11" t="s">
        <v>98</v>
      </c>
      <c r="E785" s="11" t="s">
        <v>74</v>
      </c>
      <c r="F785" s="11" t="s">
        <v>140</v>
      </c>
      <c r="G785" s="9">
        <v>47</v>
      </c>
      <c r="H785" s="9">
        <v>5100</v>
      </c>
      <c r="I785" s="9">
        <v>0</v>
      </c>
      <c r="J785" s="9">
        <f t="shared" si="24"/>
        <v>239700</v>
      </c>
      <c r="K785" s="9">
        <f t="shared" si="25"/>
        <v>239700</v>
      </c>
      <c r="L785" s="11" t="s">
        <v>76</v>
      </c>
      <c r="M785" s="11" t="s">
        <v>81</v>
      </c>
    </row>
    <row r="786" spans="1:13" x14ac:dyDescent="0.25">
      <c r="A786" s="6">
        <v>770</v>
      </c>
      <c r="B786" s="7">
        <v>45400</v>
      </c>
      <c r="C786" s="8" t="s">
        <v>108</v>
      </c>
      <c r="D786" s="8" t="s">
        <v>109</v>
      </c>
      <c r="E786" s="8" t="s">
        <v>176</v>
      </c>
      <c r="F786" s="8" t="s">
        <v>134</v>
      </c>
      <c r="G786" s="6">
        <v>27</v>
      </c>
      <c r="H786" s="6">
        <v>10700</v>
      </c>
      <c r="I786" s="6">
        <v>15</v>
      </c>
      <c r="J786" s="6">
        <f t="shared" si="24"/>
        <v>288900</v>
      </c>
      <c r="K786" s="6">
        <f t="shared" si="25"/>
        <v>245565</v>
      </c>
      <c r="L786" s="8" t="s">
        <v>76</v>
      </c>
      <c r="M786" s="8" t="s">
        <v>77</v>
      </c>
    </row>
    <row r="787" spans="1:13" x14ac:dyDescent="0.25">
      <c r="A787" s="9">
        <v>771</v>
      </c>
      <c r="B787" s="11" t="s">
        <v>412</v>
      </c>
      <c r="C787" s="11" t="s">
        <v>114</v>
      </c>
      <c r="D787" s="11" t="s">
        <v>117</v>
      </c>
      <c r="E787" s="11" t="s">
        <v>74</v>
      </c>
      <c r="F787" s="11" t="s">
        <v>142</v>
      </c>
      <c r="G787" s="9">
        <v>39</v>
      </c>
      <c r="H787" s="9">
        <v>11600</v>
      </c>
      <c r="I787" s="9">
        <v>0</v>
      </c>
      <c r="J787" s="9">
        <f t="shared" si="24"/>
        <v>452400</v>
      </c>
      <c r="K787" s="9">
        <f t="shared" si="25"/>
        <v>452400</v>
      </c>
      <c r="L787" s="11" t="s">
        <v>76</v>
      </c>
      <c r="M787" s="11" t="s">
        <v>81</v>
      </c>
    </row>
    <row r="788" spans="1:13" x14ac:dyDescent="0.25">
      <c r="A788" s="6">
        <v>772</v>
      </c>
      <c r="B788" s="7">
        <v>45080</v>
      </c>
      <c r="C788" s="8" t="s">
        <v>106</v>
      </c>
      <c r="D788" s="8" t="s">
        <v>73</v>
      </c>
      <c r="E788" s="8" t="s">
        <v>84</v>
      </c>
      <c r="F788" s="8" t="s">
        <v>134</v>
      </c>
      <c r="G788" s="6">
        <v>36</v>
      </c>
      <c r="H788" s="6">
        <v>9800</v>
      </c>
      <c r="I788" s="6">
        <v>15</v>
      </c>
      <c r="J788" s="6">
        <f t="shared" si="24"/>
        <v>352800</v>
      </c>
      <c r="K788" s="6">
        <f t="shared" si="25"/>
        <v>299880</v>
      </c>
      <c r="L788" s="8" t="s">
        <v>125</v>
      </c>
      <c r="M788" s="8" t="s">
        <v>91</v>
      </c>
    </row>
    <row r="789" spans="1:13" x14ac:dyDescent="0.25">
      <c r="A789" s="9">
        <v>773</v>
      </c>
      <c r="B789" s="11" t="s">
        <v>413</v>
      </c>
      <c r="C789" s="11" t="s">
        <v>106</v>
      </c>
      <c r="D789" s="11" t="s">
        <v>109</v>
      </c>
      <c r="E789" s="11" t="s">
        <v>74</v>
      </c>
      <c r="F789" s="11" t="s">
        <v>142</v>
      </c>
      <c r="G789" s="9">
        <v>18</v>
      </c>
      <c r="H789" s="9">
        <v>10900</v>
      </c>
      <c r="I789" s="9">
        <v>15</v>
      </c>
      <c r="J789" s="9">
        <f t="shared" si="24"/>
        <v>196200</v>
      </c>
      <c r="K789" s="9">
        <f t="shared" si="25"/>
        <v>166770</v>
      </c>
      <c r="L789" s="11" t="s">
        <v>86</v>
      </c>
      <c r="M789" s="11" t="s">
        <v>81</v>
      </c>
    </row>
    <row r="790" spans="1:13" x14ac:dyDescent="0.25">
      <c r="A790" s="6">
        <v>774</v>
      </c>
      <c r="B790" s="7">
        <v>44970</v>
      </c>
      <c r="C790" s="8" t="s">
        <v>119</v>
      </c>
      <c r="D790" s="8" t="s">
        <v>73</v>
      </c>
      <c r="E790" s="8" t="s">
        <v>324</v>
      </c>
      <c r="F790" s="8" t="s">
        <v>131</v>
      </c>
      <c r="G790" s="6">
        <v>20</v>
      </c>
      <c r="H790" s="6">
        <v>117400</v>
      </c>
      <c r="I790" s="6">
        <v>0</v>
      </c>
      <c r="J790" s="6">
        <f t="shared" si="24"/>
        <v>2348000</v>
      </c>
      <c r="K790" s="6">
        <f t="shared" si="25"/>
        <v>2348000</v>
      </c>
      <c r="L790" s="8" t="s">
        <v>107</v>
      </c>
      <c r="M790" s="8" t="s">
        <v>91</v>
      </c>
    </row>
    <row r="791" spans="1:13" x14ac:dyDescent="0.25">
      <c r="A791" s="9">
        <v>775</v>
      </c>
      <c r="B791" s="10">
        <v>45614</v>
      </c>
      <c r="C791" s="11" t="s">
        <v>97</v>
      </c>
      <c r="D791" s="11" t="s">
        <v>83</v>
      </c>
      <c r="E791" s="11" t="s">
        <v>84</v>
      </c>
      <c r="F791" s="11" t="s">
        <v>90</v>
      </c>
      <c r="G791" s="9">
        <v>48</v>
      </c>
      <c r="H791" s="9">
        <v>1700</v>
      </c>
      <c r="I791" s="9">
        <v>10</v>
      </c>
      <c r="J791" s="9">
        <f t="shared" si="24"/>
        <v>81600</v>
      </c>
      <c r="K791" s="9">
        <f t="shared" si="25"/>
        <v>73440</v>
      </c>
      <c r="L791" s="11" t="s">
        <v>76</v>
      </c>
      <c r="M791" s="11" t="s">
        <v>77</v>
      </c>
    </row>
    <row r="792" spans="1:13" x14ac:dyDescent="0.25">
      <c r="A792" s="6">
        <v>776</v>
      </c>
      <c r="B792" s="7">
        <v>45607</v>
      </c>
      <c r="C792" s="8" t="s">
        <v>124</v>
      </c>
      <c r="D792" s="8" t="s">
        <v>93</v>
      </c>
      <c r="E792" s="8" t="s">
        <v>74</v>
      </c>
      <c r="F792" s="8" t="s">
        <v>99</v>
      </c>
      <c r="G792" s="6">
        <v>16</v>
      </c>
      <c r="H792" s="6">
        <v>3900</v>
      </c>
      <c r="I792" s="6">
        <v>0</v>
      </c>
      <c r="J792" s="6">
        <f t="shared" si="24"/>
        <v>62400</v>
      </c>
      <c r="K792" s="6">
        <f t="shared" si="25"/>
        <v>62400</v>
      </c>
      <c r="L792" s="8" t="s">
        <v>76</v>
      </c>
      <c r="M792" s="8" t="s">
        <v>96</v>
      </c>
    </row>
    <row r="793" spans="1:13" x14ac:dyDescent="0.25">
      <c r="A793" s="9">
        <v>777</v>
      </c>
      <c r="B793" s="10">
        <v>45525</v>
      </c>
      <c r="C793" s="11" t="s">
        <v>414</v>
      </c>
      <c r="D793" s="11" t="s">
        <v>109</v>
      </c>
      <c r="E793" s="11" t="s">
        <v>111</v>
      </c>
      <c r="F793" s="11" t="s">
        <v>156</v>
      </c>
      <c r="G793" s="9">
        <v>12</v>
      </c>
      <c r="H793" s="9">
        <v>39300</v>
      </c>
      <c r="I793" s="9">
        <v>5</v>
      </c>
      <c r="J793" s="9">
        <f t="shared" si="24"/>
        <v>471600</v>
      </c>
      <c r="K793" s="9">
        <f t="shared" si="25"/>
        <v>448020</v>
      </c>
      <c r="L793" s="11" t="s">
        <v>76</v>
      </c>
      <c r="M793" s="11" t="s">
        <v>96</v>
      </c>
    </row>
    <row r="794" spans="1:13" x14ac:dyDescent="0.25">
      <c r="A794" s="6">
        <v>778</v>
      </c>
      <c r="B794" s="8" t="s">
        <v>415</v>
      </c>
      <c r="C794" s="8" t="s">
        <v>101</v>
      </c>
      <c r="D794" s="8" t="s">
        <v>93</v>
      </c>
      <c r="E794" s="8" t="s">
        <v>324</v>
      </c>
      <c r="F794" s="8" t="s">
        <v>172</v>
      </c>
      <c r="G794" s="6">
        <v>45</v>
      </c>
      <c r="H794" s="6">
        <v>25800</v>
      </c>
      <c r="I794" s="6"/>
      <c r="J794" s="6">
        <f t="shared" si="24"/>
        <v>1161000</v>
      </c>
      <c r="K794" s="6">
        <f t="shared" si="25"/>
        <v>1161000</v>
      </c>
      <c r="L794" s="8" t="s">
        <v>125</v>
      </c>
      <c r="M794" s="8" t="s">
        <v>96</v>
      </c>
    </row>
    <row r="795" spans="1:13" x14ac:dyDescent="0.25">
      <c r="A795" s="9">
        <v>779</v>
      </c>
      <c r="B795" s="10">
        <v>45360</v>
      </c>
      <c r="C795" s="11" t="s">
        <v>119</v>
      </c>
      <c r="D795" s="11" t="s">
        <v>109</v>
      </c>
      <c r="E795" s="11" t="s">
        <v>74</v>
      </c>
      <c r="F795" s="11" t="s">
        <v>142</v>
      </c>
      <c r="G795" s="9">
        <v>46</v>
      </c>
      <c r="H795" s="9">
        <v>11900</v>
      </c>
      <c r="I795" s="9">
        <v>0</v>
      </c>
      <c r="J795" s="9">
        <f t="shared" si="24"/>
        <v>547400</v>
      </c>
      <c r="K795" s="9">
        <f t="shared" si="25"/>
        <v>547400</v>
      </c>
      <c r="L795" s="11" t="s">
        <v>76</v>
      </c>
      <c r="M795" s="11" t="s">
        <v>96</v>
      </c>
    </row>
    <row r="796" spans="1:13" x14ac:dyDescent="0.25">
      <c r="A796" s="6">
        <v>780</v>
      </c>
      <c r="B796" s="7">
        <v>45587</v>
      </c>
      <c r="C796" s="8" t="s">
        <v>124</v>
      </c>
      <c r="D796" s="8" t="s">
        <v>73</v>
      </c>
      <c r="E796" s="8" t="s">
        <v>79</v>
      </c>
      <c r="F796" s="8" t="s">
        <v>80</v>
      </c>
      <c r="G796" s="6">
        <v>25</v>
      </c>
      <c r="H796" s="6" t="s">
        <v>416</v>
      </c>
      <c r="I796" s="6">
        <v>20</v>
      </c>
      <c r="J796" s="6" t="e">
        <f t="shared" si="24"/>
        <v>#VALUE!</v>
      </c>
      <c r="K796" s="6" t="e">
        <f t="shared" si="25"/>
        <v>#VALUE!</v>
      </c>
      <c r="L796" s="8" t="s">
        <v>76</v>
      </c>
      <c r="M796" s="8" t="s">
        <v>96</v>
      </c>
    </row>
    <row r="797" spans="1:13" x14ac:dyDescent="0.25">
      <c r="A797" s="9">
        <v>781</v>
      </c>
      <c r="B797" s="10">
        <v>45628</v>
      </c>
      <c r="C797" s="11" t="s">
        <v>274</v>
      </c>
      <c r="D797" s="11" t="s">
        <v>93</v>
      </c>
      <c r="E797" s="11" t="s">
        <v>84</v>
      </c>
      <c r="F797" s="11" t="s">
        <v>85</v>
      </c>
      <c r="G797" s="9">
        <v>26</v>
      </c>
      <c r="H797" s="9">
        <v>5400</v>
      </c>
      <c r="I797" s="9">
        <v>0</v>
      </c>
      <c r="J797" s="9">
        <f t="shared" si="24"/>
        <v>140400</v>
      </c>
      <c r="K797" s="9">
        <f t="shared" si="25"/>
        <v>140400</v>
      </c>
      <c r="L797" s="11" t="s">
        <v>107</v>
      </c>
      <c r="M797" s="11" t="s">
        <v>96</v>
      </c>
    </row>
    <row r="798" spans="1:13" x14ac:dyDescent="0.25">
      <c r="A798" s="6">
        <v>782</v>
      </c>
      <c r="B798" s="7">
        <v>45019</v>
      </c>
      <c r="C798" s="8" t="s">
        <v>106</v>
      </c>
      <c r="D798" s="8" t="s">
        <v>117</v>
      </c>
      <c r="E798" s="8" t="s">
        <v>84</v>
      </c>
      <c r="F798" s="8" t="s">
        <v>128</v>
      </c>
      <c r="G798" s="6">
        <v>41</v>
      </c>
      <c r="H798" s="6">
        <v>4700</v>
      </c>
      <c r="I798" s="6">
        <v>20</v>
      </c>
      <c r="J798" s="6">
        <f t="shared" si="24"/>
        <v>192700</v>
      </c>
      <c r="K798" s="6">
        <f t="shared" si="25"/>
        <v>154160</v>
      </c>
      <c r="L798" s="8" t="s">
        <v>76</v>
      </c>
      <c r="M798" s="8" t="s">
        <v>91</v>
      </c>
    </row>
    <row r="799" spans="1:13" x14ac:dyDescent="0.25">
      <c r="A799" s="9">
        <v>783</v>
      </c>
      <c r="B799" s="10">
        <v>44961</v>
      </c>
      <c r="C799" s="11" t="s">
        <v>101</v>
      </c>
      <c r="D799" s="11"/>
      <c r="E799" s="11" t="s">
        <v>111</v>
      </c>
      <c r="F799" s="11" t="s">
        <v>159</v>
      </c>
      <c r="G799" s="9">
        <v>22</v>
      </c>
      <c r="H799" s="9">
        <v>13000</v>
      </c>
      <c r="I799" s="9">
        <v>20</v>
      </c>
      <c r="J799" s="9">
        <f t="shared" si="24"/>
        <v>286000</v>
      </c>
      <c r="K799" s="9">
        <f t="shared" si="25"/>
        <v>228800</v>
      </c>
      <c r="L799" s="11" t="s">
        <v>86</v>
      </c>
      <c r="M799" s="11" t="s">
        <v>77</v>
      </c>
    </row>
    <row r="800" spans="1:13" x14ac:dyDescent="0.25">
      <c r="A800" s="6">
        <v>784</v>
      </c>
      <c r="B800" s="7">
        <v>45091</v>
      </c>
      <c r="C800" s="8" t="s">
        <v>101</v>
      </c>
      <c r="D800" s="8" t="s">
        <v>93</v>
      </c>
      <c r="E800" s="8" t="s">
        <v>79</v>
      </c>
      <c r="F800" s="8" t="s">
        <v>120</v>
      </c>
      <c r="G800" s="6">
        <v>47</v>
      </c>
      <c r="H800" s="6">
        <v>6000</v>
      </c>
      <c r="I800" s="6">
        <v>5</v>
      </c>
      <c r="J800" s="6">
        <f t="shared" si="24"/>
        <v>282000</v>
      </c>
      <c r="K800" s="6">
        <f t="shared" si="25"/>
        <v>267900</v>
      </c>
      <c r="L800" s="8" t="s">
        <v>86</v>
      </c>
      <c r="M800" s="8" t="s">
        <v>96</v>
      </c>
    </row>
    <row r="801" spans="1:13" x14ac:dyDescent="0.25">
      <c r="A801" s="9">
        <v>785</v>
      </c>
      <c r="B801" s="10">
        <v>45638</v>
      </c>
      <c r="C801" s="11" t="s">
        <v>78</v>
      </c>
      <c r="D801" s="11" t="s">
        <v>73</v>
      </c>
      <c r="E801" s="11" t="s">
        <v>84</v>
      </c>
      <c r="F801" s="11" t="s">
        <v>85</v>
      </c>
      <c r="G801" s="9">
        <v>9</v>
      </c>
      <c r="H801" s="9">
        <v>5900</v>
      </c>
      <c r="I801" s="9">
        <v>15</v>
      </c>
      <c r="J801" s="9">
        <f t="shared" si="24"/>
        <v>53100</v>
      </c>
      <c r="K801" s="9">
        <f t="shared" si="25"/>
        <v>45135</v>
      </c>
      <c r="L801" s="11" t="s">
        <v>76</v>
      </c>
      <c r="M801" s="11" t="s">
        <v>81</v>
      </c>
    </row>
    <row r="802" spans="1:13" x14ac:dyDescent="0.25">
      <c r="A802" s="6">
        <v>786</v>
      </c>
      <c r="B802" s="7">
        <v>45239</v>
      </c>
      <c r="C802" s="8" t="s">
        <v>88</v>
      </c>
      <c r="D802" s="8" t="s">
        <v>93</v>
      </c>
      <c r="E802" s="8" t="s">
        <v>79</v>
      </c>
      <c r="F802" s="8" t="s">
        <v>131</v>
      </c>
      <c r="G802" s="6">
        <v>34</v>
      </c>
      <c r="H802" s="6">
        <v>112700</v>
      </c>
      <c r="I802" s="6">
        <v>20</v>
      </c>
      <c r="J802" s="6">
        <f t="shared" si="24"/>
        <v>3831800</v>
      </c>
      <c r="K802" s="6">
        <f t="shared" si="25"/>
        <v>3065440</v>
      </c>
      <c r="L802" s="8" t="s">
        <v>86</v>
      </c>
      <c r="M802" s="8" t="s">
        <v>81</v>
      </c>
    </row>
    <row r="803" spans="1:13" x14ac:dyDescent="0.25">
      <c r="A803" s="9">
        <v>787</v>
      </c>
      <c r="B803" s="10">
        <v>45535</v>
      </c>
      <c r="C803" s="11" t="s">
        <v>114</v>
      </c>
      <c r="D803" s="11" t="s">
        <v>117</v>
      </c>
      <c r="E803" s="11" t="s">
        <v>111</v>
      </c>
      <c r="F803" s="11" t="s">
        <v>159</v>
      </c>
      <c r="G803" s="9">
        <v>9</v>
      </c>
      <c r="H803" s="9">
        <v>13400</v>
      </c>
      <c r="I803" s="9">
        <v>20</v>
      </c>
      <c r="J803" s="9">
        <f t="shared" si="24"/>
        <v>120600</v>
      </c>
      <c r="K803" s="9">
        <f t="shared" si="25"/>
        <v>96480</v>
      </c>
      <c r="L803" s="11" t="s">
        <v>76</v>
      </c>
      <c r="M803" s="11" t="s">
        <v>96</v>
      </c>
    </row>
    <row r="804" spans="1:13" x14ac:dyDescent="0.25">
      <c r="A804" s="6">
        <v>788</v>
      </c>
      <c r="B804" s="8" t="s">
        <v>417</v>
      </c>
      <c r="C804" s="8" t="s">
        <v>106</v>
      </c>
      <c r="D804" s="8" t="s">
        <v>143</v>
      </c>
      <c r="E804" s="8" t="s">
        <v>111</v>
      </c>
      <c r="F804" s="8" t="s">
        <v>132</v>
      </c>
      <c r="G804" s="6">
        <v>25</v>
      </c>
      <c r="H804" s="6">
        <v>7100</v>
      </c>
      <c r="I804" s="6">
        <v>0</v>
      </c>
      <c r="J804" s="6">
        <f t="shared" si="24"/>
        <v>177500</v>
      </c>
      <c r="K804" s="6">
        <f t="shared" si="25"/>
        <v>177500</v>
      </c>
      <c r="L804" s="8" t="s">
        <v>125</v>
      </c>
      <c r="M804" s="8"/>
    </row>
    <row r="805" spans="1:13" x14ac:dyDescent="0.25">
      <c r="A805" s="9">
        <v>789</v>
      </c>
      <c r="B805" s="11" t="s">
        <v>418</v>
      </c>
      <c r="C805" s="11" t="s">
        <v>82</v>
      </c>
      <c r="D805" s="11" t="s">
        <v>93</v>
      </c>
      <c r="E805" s="11" t="s">
        <v>84</v>
      </c>
      <c r="F805" s="11" t="s">
        <v>150</v>
      </c>
      <c r="G805" s="9">
        <v>13</v>
      </c>
      <c r="H805" s="9">
        <v>6300</v>
      </c>
      <c r="I805" s="9">
        <v>0</v>
      </c>
      <c r="J805" s="9">
        <f t="shared" si="24"/>
        <v>81900</v>
      </c>
      <c r="K805" s="9">
        <f t="shared" si="25"/>
        <v>81900</v>
      </c>
      <c r="L805" s="11" t="s">
        <v>76</v>
      </c>
      <c r="M805" s="11" t="s">
        <v>81</v>
      </c>
    </row>
    <row r="806" spans="1:13" x14ac:dyDescent="0.25">
      <c r="A806" s="6">
        <v>790</v>
      </c>
      <c r="B806" s="7">
        <v>45337</v>
      </c>
      <c r="C806" s="8" t="s">
        <v>124</v>
      </c>
      <c r="D806" s="8" t="s">
        <v>83</v>
      </c>
      <c r="E806" s="8" t="s">
        <v>102</v>
      </c>
      <c r="F806" s="8" t="s">
        <v>110</v>
      </c>
      <c r="G806" s="6">
        <v>24</v>
      </c>
      <c r="H806" s="6">
        <v>20600</v>
      </c>
      <c r="I806" s="6">
        <v>0</v>
      </c>
      <c r="J806" s="6">
        <f t="shared" si="24"/>
        <v>494400</v>
      </c>
      <c r="K806" s="6">
        <f t="shared" si="25"/>
        <v>494400</v>
      </c>
      <c r="L806" s="8" t="s">
        <v>76</v>
      </c>
      <c r="M806" s="8" t="s">
        <v>77</v>
      </c>
    </row>
    <row r="807" spans="1:13" x14ac:dyDescent="0.25">
      <c r="A807" s="9">
        <v>791</v>
      </c>
      <c r="B807" s="10">
        <v>45465</v>
      </c>
      <c r="C807" s="11" t="s">
        <v>114</v>
      </c>
      <c r="D807" s="11" t="s">
        <v>83</v>
      </c>
      <c r="E807" s="11" t="s">
        <v>111</v>
      </c>
      <c r="F807" s="11" t="s">
        <v>112</v>
      </c>
      <c r="G807" s="9">
        <v>14</v>
      </c>
      <c r="H807" s="9">
        <v>62100</v>
      </c>
      <c r="I807" s="9">
        <v>0</v>
      </c>
      <c r="J807" s="9">
        <f t="shared" si="24"/>
        <v>869400</v>
      </c>
      <c r="K807" s="9">
        <f t="shared" si="25"/>
        <v>869400</v>
      </c>
      <c r="L807" s="11" t="s">
        <v>76</v>
      </c>
      <c r="M807" s="11" t="s">
        <v>96</v>
      </c>
    </row>
    <row r="808" spans="1:13" x14ac:dyDescent="0.25">
      <c r="A808" s="6">
        <v>792</v>
      </c>
      <c r="B808" s="7">
        <v>45433</v>
      </c>
      <c r="C808" s="8" t="s">
        <v>114</v>
      </c>
      <c r="D808" s="8" t="s">
        <v>109</v>
      </c>
      <c r="E808" s="8" t="s">
        <v>111</v>
      </c>
      <c r="F808" s="8" t="s">
        <v>156</v>
      </c>
      <c r="G808" s="6">
        <v>19</v>
      </c>
      <c r="H808" s="6">
        <v>44100</v>
      </c>
      <c r="I808" s="6">
        <v>5</v>
      </c>
      <c r="J808" s="6">
        <f t="shared" si="24"/>
        <v>837900</v>
      </c>
      <c r="K808" s="6">
        <f t="shared" si="25"/>
        <v>796005</v>
      </c>
      <c r="L808" s="8" t="s">
        <v>86</v>
      </c>
      <c r="M808" s="8" t="s">
        <v>81</v>
      </c>
    </row>
    <row r="809" spans="1:13" x14ac:dyDescent="0.25">
      <c r="A809" s="9">
        <v>793</v>
      </c>
      <c r="B809" s="10">
        <v>45111</v>
      </c>
      <c r="C809" s="11" t="s">
        <v>114</v>
      </c>
      <c r="D809" s="11"/>
      <c r="E809" s="11" t="s">
        <v>79</v>
      </c>
      <c r="F809" s="11" t="s">
        <v>179</v>
      </c>
      <c r="G809" s="9">
        <v>16</v>
      </c>
      <c r="H809" s="9" t="s">
        <v>419</v>
      </c>
      <c r="I809" s="9">
        <v>0</v>
      </c>
      <c r="J809" s="9">
        <f t="shared" si="24"/>
        <v>46400</v>
      </c>
      <c r="K809" s="9">
        <f t="shared" si="25"/>
        <v>46400</v>
      </c>
      <c r="L809" s="11" t="s">
        <v>76</v>
      </c>
      <c r="M809" s="11" t="s">
        <v>81</v>
      </c>
    </row>
    <row r="810" spans="1:13" x14ac:dyDescent="0.25">
      <c r="A810" s="6">
        <v>794</v>
      </c>
      <c r="B810" s="7">
        <v>45523</v>
      </c>
      <c r="C810" s="8" t="s">
        <v>119</v>
      </c>
      <c r="D810" s="8" t="s">
        <v>73</v>
      </c>
      <c r="E810" s="8" t="s">
        <v>79</v>
      </c>
      <c r="F810" s="8" t="s">
        <v>172</v>
      </c>
      <c r="G810" s="6">
        <v>21</v>
      </c>
      <c r="H810" s="6">
        <v>23300</v>
      </c>
      <c r="I810" s="6">
        <v>15</v>
      </c>
      <c r="J810" s="6">
        <f t="shared" si="24"/>
        <v>489300</v>
      </c>
      <c r="K810" s="6">
        <f t="shared" si="25"/>
        <v>415905</v>
      </c>
      <c r="L810" s="8" t="s">
        <v>125</v>
      </c>
      <c r="M810" s="8" t="s">
        <v>91</v>
      </c>
    </row>
    <row r="811" spans="1:13" x14ac:dyDescent="0.25">
      <c r="A811" s="9">
        <v>795</v>
      </c>
      <c r="B811" s="10">
        <v>45144</v>
      </c>
      <c r="C811" s="11" t="s">
        <v>114</v>
      </c>
      <c r="D811" s="11"/>
      <c r="E811" s="11" t="s">
        <v>102</v>
      </c>
      <c r="F811" s="11" t="s">
        <v>110</v>
      </c>
      <c r="G811" s="9">
        <v>36</v>
      </c>
      <c r="H811" s="9">
        <v>20200</v>
      </c>
      <c r="I811" s="9">
        <v>0</v>
      </c>
      <c r="J811" s="9">
        <f t="shared" si="24"/>
        <v>727200</v>
      </c>
      <c r="K811" s="9">
        <f t="shared" si="25"/>
        <v>727200</v>
      </c>
      <c r="L811" s="11" t="s">
        <v>76</v>
      </c>
      <c r="M811" s="11" t="s">
        <v>96</v>
      </c>
    </row>
    <row r="812" spans="1:13" x14ac:dyDescent="0.25">
      <c r="A812" s="6">
        <v>796</v>
      </c>
      <c r="B812" s="8" t="s">
        <v>420</v>
      </c>
      <c r="C812" s="8" t="s">
        <v>88</v>
      </c>
      <c r="D812" s="8" t="s">
        <v>93</v>
      </c>
      <c r="E812" s="8" t="s">
        <v>102</v>
      </c>
      <c r="F812" s="8" t="s">
        <v>138</v>
      </c>
      <c r="G812" s="6">
        <v>33</v>
      </c>
      <c r="H812" s="6">
        <v>5900</v>
      </c>
      <c r="I812" s="6">
        <v>5</v>
      </c>
      <c r="J812" s="6">
        <f t="shared" si="24"/>
        <v>194700</v>
      </c>
      <c r="K812" s="6">
        <f t="shared" si="25"/>
        <v>184965</v>
      </c>
      <c r="L812" s="8" t="s">
        <v>76</v>
      </c>
      <c r="M812" s="8" t="s">
        <v>96</v>
      </c>
    </row>
    <row r="813" spans="1:13" x14ac:dyDescent="0.25">
      <c r="A813" s="9">
        <v>797</v>
      </c>
      <c r="B813" s="11" t="s">
        <v>421</v>
      </c>
      <c r="C813" s="11" t="s">
        <v>88</v>
      </c>
      <c r="D813" s="11" t="s">
        <v>109</v>
      </c>
      <c r="E813" s="11" t="s">
        <v>102</v>
      </c>
      <c r="F813" s="11" t="s">
        <v>138</v>
      </c>
      <c r="G813" s="9">
        <v>17</v>
      </c>
      <c r="H813" s="9">
        <v>6800</v>
      </c>
      <c r="I813" s="9">
        <v>0</v>
      </c>
      <c r="J813" s="9">
        <f t="shared" si="24"/>
        <v>115600</v>
      </c>
      <c r="K813" s="9">
        <f t="shared" si="25"/>
        <v>115600</v>
      </c>
      <c r="L813" s="11" t="s">
        <v>129</v>
      </c>
      <c r="M813" s="11" t="s">
        <v>91</v>
      </c>
    </row>
    <row r="814" spans="1:13" x14ac:dyDescent="0.25">
      <c r="A814" s="6">
        <v>798</v>
      </c>
      <c r="B814" s="7">
        <v>45406</v>
      </c>
      <c r="C814" s="8" t="s">
        <v>108</v>
      </c>
      <c r="D814" s="8" t="s">
        <v>73</v>
      </c>
      <c r="E814" s="8" t="s">
        <v>255</v>
      </c>
      <c r="F814" s="8" t="s">
        <v>140</v>
      </c>
      <c r="G814" s="6">
        <v>8</v>
      </c>
      <c r="H814" s="6">
        <v>4200</v>
      </c>
      <c r="I814" s="6">
        <v>5</v>
      </c>
      <c r="J814" s="6">
        <f t="shared" si="24"/>
        <v>33600</v>
      </c>
      <c r="K814" s="6">
        <f t="shared" si="25"/>
        <v>31920</v>
      </c>
      <c r="L814" s="8" t="s">
        <v>76</v>
      </c>
      <c r="M814" s="8" t="s">
        <v>81</v>
      </c>
    </row>
    <row r="815" spans="1:13" x14ac:dyDescent="0.25">
      <c r="A815" s="9">
        <v>799</v>
      </c>
      <c r="B815" s="10">
        <v>45214</v>
      </c>
      <c r="C815" s="11" t="s">
        <v>286</v>
      </c>
      <c r="D815" s="11" t="s">
        <v>83</v>
      </c>
      <c r="E815" s="11" t="s">
        <v>74</v>
      </c>
      <c r="F815" s="11" t="s">
        <v>190</v>
      </c>
      <c r="G815" s="9">
        <v>49</v>
      </c>
      <c r="H815" s="9">
        <v>33700</v>
      </c>
      <c r="I815" s="9">
        <v>5</v>
      </c>
      <c r="J815" s="9">
        <f t="shared" si="24"/>
        <v>1651300</v>
      </c>
      <c r="K815" s="9">
        <f t="shared" si="25"/>
        <v>1568735</v>
      </c>
      <c r="L815" s="11" t="s">
        <v>107</v>
      </c>
      <c r="M815" s="11" t="s">
        <v>96</v>
      </c>
    </row>
    <row r="816" spans="1:13" x14ac:dyDescent="0.25">
      <c r="A816" s="6">
        <v>800</v>
      </c>
      <c r="B816" s="8" t="s">
        <v>422</v>
      </c>
      <c r="C816" s="8" t="s">
        <v>88</v>
      </c>
      <c r="D816" s="8" t="s">
        <v>83</v>
      </c>
      <c r="E816" s="8" t="s">
        <v>84</v>
      </c>
      <c r="F816" s="8" t="s">
        <v>85</v>
      </c>
      <c r="G816" s="6">
        <v>10</v>
      </c>
      <c r="H816" s="6">
        <v>4900</v>
      </c>
      <c r="I816" s="6">
        <v>0</v>
      </c>
      <c r="J816" s="6">
        <f t="shared" si="24"/>
        <v>49000</v>
      </c>
      <c r="K816" s="6">
        <f t="shared" si="25"/>
        <v>49000</v>
      </c>
      <c r="L816" s="8" t="s">
        <v>164</v>
      </c>
      <c r="M816" s="8" t="s">
        <v>81</v>
      </c>
    </row>
    <row r="817" spans="1:13" x14ac:dyDescent="0.25">
      <c r="A817" s="9">
        <v>801</v>
      </c>
      <c r="B817" s="11" t="s">
        <v>423</v>
      </c>
      <c r="C817" s="11" t="s">
        <v>101</v>
      </c>
      <c r="D817" s="11" t="s">
        <v>109</v>
      </c>
      <c r="E817" s="11" t="s">
        <v>111</v>
      </c>
      <c r="F817" s="11" t="s">
        <v>165</v>
      </c>
      <c r="G817" s="9">
        <v>32</v>
      </c>
      <c r="H817" s="9">
        <v>16700</v>
      </c>
      <c r="I817" s="9">
        <v>15</v>
      </c>
      <c r="J817" s="9">
        <f t="shared" si="24"/>
        <v>534400</v>
      </c>
      <c r="K817" s="9">
        <f t="shared" si="25"/>
        <v>454240</v>
      </c>
      <c r="L817" s="11" t="s">
        <v>229</v>
      </c>
      <c r="M817" s="11" t="s">
        <v>96</v>
      </c>
    </row>
    <row r="818" spans="1:13" x14ac:dyDescent="0.25">
      <c r="A818" s="6">
        <v>802</v>
      </c>
      <c r="B818" s="8" t="s">
        <v>424</v>
      </c>
      <c r="C818" s="8" t="s">
        <v>119</v>
      </c>
      <c r="D818" s="8" t="s">
        <v>83</v>
      </c>
      <c r="E818" s="8" t="s">
        <v>111</v>
      </c>
      <c r="F818" s="8" t="s">
        <v>112</v>
      </c>
      <c r="G818" s="6">
        <v>10</v>
      </c>
      <c r="H818" s="6">
        <v>72200</v>
      </c>
      <c r="I818" s="6">
        <v>0</v>
      </c>
      <c r="J818" s="6">
        <f t="shared" si="24"/>
        <v>722000</v>
      </c>
      <c r="K818" s="6">
        <f t="shared" si="25"/>
        <v>722000</v>
      </c>
      <c r="L818" s="8" t="s">
        <v>76</v>
      </c>
      <c r="M818" s="8" t="s">
        <v>77</v>
      </c>
    </row>
    <row r="819" spans="1:13" x14ac:dyDescent="0.25">
      <c r="A819" s="9">
        <v>803</v>
      </c>
      <c r="B819" s="11" t="s">
        <v>425</v>
      </c>
      <c r="C819" s="11" t="s">
        <v>108</v>
      </c>
      <c r="D819" s="11" t="s">
        <v>109</v>
      </c>
      <c r="E819" s="11" t="s">
        <v>203</v>
      </c>
      <c r="F819" s="11" t="s">
        <v>110</v>
      </c>
      <c r="G819" s="9">
        <v>43</v>
      </c>
      <c r="H819" s="9">
        <v>22900</v>
      </c>
      <c r="I819" s="9">
        <v>10</v>
      </c>
      <c r="J819" s="9">
        <f t="shared" si="24"/>
        <v>984700</v>
      </c>
      <c r="K819" s="9">
        <f t="shared" si="25"/>
        <v>886230</v>
      </c>
      <c r="L819" s="11" t="s">
        <v>76</v>
      </c>
      <c r="M819" s="11" t="s">
        <v>77</v>
      </c>
    </row>
    <row r="820" spans="1:13" x14ac:dyDescent="0.25">
      <c r="A820" s="6">
        <v>804</v>
      </c>
      <c r="B820" s="8" t="s">
        <v>426</v>
      </c>
      <c r="C820" s="8" t="s">
        <v>108</v>
      </c>
      <c r="D820" s="8" t="s">
        <v>83</v>
      </c>
      <c r="E820" s="8" t="s">
        <v>79</v>
      </c>
      <c r="F820" s="8" t="s">
        <v>80</v>
      </c>
      <c r="G820" s="6">
        <v>44</v>
      </c>
      <c r="H820" s="6">
        <v>9300</v>
      </c>
      <c r="I820" s="6">
        <v>0</v>
      </c>
      <c r="J820" s="6">
        <f t="shared" si="24"/>
        <v>409200</v>
      </c>
      <c r="K820" s="6">
        <f t="shared" si="25"/>
        <v>409200</v>
      </c>
      <c r="L820" s="8" t="s">
        <v>76</v>
      </c>
      <c r="M820" s="8" t="s">
        <v>96</v>
      </c>
    </row>
    <row r="821" spans="1:13" x14ac:dyDescent="0.25">
      <c r="A821" s="9">
        <v>805</v>
      </c>
      <c r="B821" s="10">
        <v>45218</v>
      </c>
      <c r="C821" s="11" t="s">
        <v>97</v>
      </c>
      <c r="D821" s="11" t="s">
        <v>83</v>
      </c>
      <c r="E821" s="11" t="s">
        <v>74</v>
      </c>
      <c r="F821" s="11" t="s">
        <v>118</v>
      </c>
      <c r="G821" s="9">
        <v>10</v>
      </c>
      <c r="H821" s="9">
        <v>31100</v>
      </c>
      <c r="I821" s="9">
        <v>20</v>
      </c>
      <c r="J821" s="9">
        <f t="shared" si="24"/>
        <v>311000</v>
      </c>
      <c r="K821" s="9">
        <f t="shared" si="25"/>
        <v>248800</v>
      </c>
      <c r="L821" s="11" t="s">
        <v>76</v>
      </c>
      <c r="M821" s="11" t="s">
        <v>91</v>
      </c>
    </row>
    <row r="822" spans="1:13" x14ac:dyDescent="0.25">
      <c r="A822" s="6">
        <v>806</v>
      </c>
      <c r="B822" s="7">
        <v>45651</v>
      </c>
      <c r="C822" s="8" t="s">
        <v>119</v>
      </c>
      <c r="D822" s="8" t="s">
        <v>83</v>
      </c>
      <c r="E822" s="8" t="s">
        <v>74</v>
      </c>
      <c r="F822" s="8" t="s">
        <v>94</v>
      </c>
      <c r="G822" s="6">
        <v>3</v>
      </c>
      <c r="H822" s="6" t="s">
        <v>427</v>
      </c>
      <c r="I822" s="6">
        <v>0</v>
      </c>
      <c r="J822" s="6" t="e">
        <f t="shared" si="24"/>
        <v>#VALUE!</v>
      </c>
      <c r="K822" s="6" t="e">
        <f t="shared" si="25"/>
        <v>#VALUE!</v>
      </c>
      <c r="L822" s="8" t="s">
        <v>86</v>
      </c>
      <c r="M822" s="8" t="s">
        <v>91</v>
      </c>
    </row>
    <row r="823" spans="1:13" x14ac:dyDescent="0.25">
      <c r="A823" s="9">
        <v>807</v>
      </c>
      <c r="B823" s="10">
        <v>45509</v>
      </c>
      <c r="C823" s="11" t="s">
        <v>108</v>
      </c>
      <c r="D823" s="11" t="s">
        <v>109</v>
      </c>
      <c r="E823" s="11" t="s">
        <v>79</v>
      </c>
      <c r="F823" s="11" t="s">
        <v>179</v>
      </c>
      <c r="G823" s="9">
        <v>4</v>
      </c>
      <c r="H823" s="9">
        <v>2500</v>
      </c>
      <c r="I823" s="9">
        <v>0</v>
      </c>
      <c r="J823" s="9">
        <f t="shared" si="24"/>
        <v>10000</v>
      </c>
      <c r="K823" s="9">
        <f t="shared" si="25"/>
        <v>10000</v>
      </c>
      <c r="L823" s="11" t="s">
        <v>187</v>
      </c>
      <c r="M823" s="11" t="s">
        <v>91</v>
      </c>
    </row>
    <row r="824" spans="1:13" x14ac:dyDescent="0.25">
      <c r="A824" s="6">
        <v>808</v>
      </c>
      <c r="B824" s="7">
        <v>45335</v>
      </c>
      <c r="C824" s="8" t="s">
        <v>101</v>
      </c>
      <c r="D824" s="8" t="s">
        <v>109</v>
      </c>
      <c r="E824" s="8" t="s">
        <v>84</v>
      </c>
      <c r="F824" s="8" t="s">
        <v>148</v>
      </c>
      <c r="G824" s="6">
        <v>14</v>
      </c>
      <c r="H824" s="6">
        <v>4400</v>
      </c>
      <c r="I824" s="6">
        <v>0</v>
      </c>
      <c r="J824" s="6">
        <f t="shared" si="24"/>
        <v>61600</v>
      </c>
      <c r="K824" s="6">
        <f t="shared" si="25"/>
        <v>61600</v>
      </c>
      <c r="L824" s="8" t="s">
        <v>76</v>
      </c>
      <c r="M824" s="8" t="s">
        <v>91</v>
      </c>
    </row>
    <row r="825" spans="1:13" x14ac:dyDescent="0.25">
      <c r="A825" s="9">
        <v>809</v>
      </c>
      <c r="B825" s="11" t="s">
        <v>428</v>
      </c>
      <c r="C825" s="11" t="s">
        <v>108</v>
      </c>
      <c r="D825" s="11" t="s">
        <v>73</v>
      </c>
      <c r="E825" s="11" t="s">
        <v>74</v>
      </c>
      <c r="F825" s="11" t="s">
        <v>99</v>
      </c>
      <c r="G825" s="9">
        <v>48</v>
      </c>
      <c r="H825" s="9">
        <v>3900</v>
      </c>
      <c r="I825" s="9">
        <v>15</v>
      </c>
      <c r="J825" s="9">
        <f t="shared" si="24"/>
        <v>187200</v>
      </c>
      <c r="K825" s="9">
        <f t="shared" si="25"/>
        <v>159120</v>
      </c>
      <c r="L825" s="11" t="s">
        <v>86</v>
      </c>
      <c r="M825" s="11" t="s">
        <v>96</v>
      </c>
    </row>
    <row r="826" spans="1:13" x14ac:dyDescent="0.25">
      <c r="A826" s="6">
        <v>810</v>
      </c>
      <c r="B826" s="7">
        <v>45544</v>
      </c>
      <c r="C826" s="8" t="s">
        <v>108</v>
      </c>
      <c r="D826" s="8" t="s">
        <v>117</v>
      </c>
      <c r="E826" s="8" t="s">
        <v>79</v>
      </c>
      <c r="F826" s="8" t="s">
        <v>120</v>
      </c>
      <c r="G826" s="6">
        <v>32</v>
      </c>
      <c r="H826" s="6">
        <v>6200</v>
      </c>
      <c r="I826" s="6">
        <v>5</v>
      </c>
      <c r="J826" s="6">
        <f t="shared" si="24"/>
        <v>198400</v>
      </c>
      <c r="K826" s="6">
        <f t="shared" si="25"/>
        <v>188480</v>
      </c>
      <c r="L826" s="8" t="s">
        <v>76</v>
      </c>
      <c r="M826" s="8" t="s">
        <v>91</v>
      </c>
    </row>
    <row r="827" spans="1:13" x14ac:dyDescent="0.25">
      <c r="A827" s="9">
        <v>811</v>
      </c>
      <c r="B827" s="10">
        <v>45201</v>
      </c>
      <c r="C827" s="11" t="s">
        <v>124</v>
      </c>
      <c r="D827" s="11" t="s">
        <v>93</v>
      </c>
      <c r="E827" s="11" t="s">
        <v>111</v>
      </c>
      <c r="F827" s="11" t="s">
        <v>112</v>
      </c>
      <c r="G827" s="9">
        <v>24</v>
      </c>
      <c r="H827" s="9">
        <v>70800</v>
      </c>
      <c r="I827" s="9">
        <v>15</v>
      </c>
      <c r="J827" s="9">
        <f t="shared" si="24"/>
        <v>1699200</v>
      </c>
      <c r="K827" s="9">
        <f t="shared" si="25"/>
        <v>1444320</v>
      </c>
      <c r="L827" s="11" t="s">
        <v>76</v>
      </c>
      <c r="M827" s="11" t="s">
        <v>91</v>
      </c>
    </row>
    <row r="828" spans="1:13" x14ac:dyDescent="0.25">
      <c r="A828" s="6">
        <v>812</v>
      </c>
      <c r="B828" s="7">
        <v>45363</v>
      </c>
      <c r="C828" s="8" t="s">
        <v>97</v>
      </c>
      <c r="D828" s="8" t="s">
        <v>73</v>
      </c>
      <c r="E828" s="8" t="s">
        <v>102</v>
      </c>
      <c r="F828" s="8" t="s">
        <v>157</v>
      </c>
      <c r="G828" s="6">
        <v>44</v>
      </c>
      <c r="H828" s="6">
        <v>13700</v>
      </c>
      <c r="I828" s="6">
        <v>5</v>
      </c>
      <c r="J828" s="6">
        <f t="shared" si="24"/>
        <v>602800</v>
      </c>
      <c r="K828" s="6">
        <f t="shared" si="25"/>
        <v>572660</v>
      </c>
      <c r="L828" s="8" t="s">
        <v>76</v>
      </c>
      <c r="M828" s="8" t="s">
        <v>81</v>
      </c>
    </row>
    <row r="829" spans="1:13" x14ac:dyDescent="0.25">
      <c r="A829" s="9">
        <v>813</v>
      </c>
      <c r="B829" s="10">
        <v>45466</v>
      </c>
      <c r="C829" s="11" t="s">
        <v>82</v>
      </c>
      <c r="D829" s="11" t="s">
        <v>73</v>
      </c>
      <c r="E829" s="11" t="s">
        <v>74</v>
      </c>
      <c r="F829" s="11" t="s">
        <v>99</v>
      </c>
      <c r="G829" s="9">
        <v>31</v>
      </c>
      <c r="H829" s="9">
        <v>3500</v>
      </c>
      <c r="I829" s="9">
        <v>15</v>
      </c>
      <c r="J829" s="9">
        <f t="shared" si="24"/>
        <v>108500</v>
      </c>
      <c r="K829" s="9">
        <f t="shared" si="25"/>
        <v>92225</v>
      </c>
      <c r="L829" s="11" t="s">
        <v>76</v>
      </c>
      <c r="M829" s="11" t="s">
        <v>81</v>
      </c>
    </row>
    <row r="830" spans="1:13" x14ac:dyDescent="0.25">
      <c r="A830" s="6">
        <v>814</v>
      </c>
      <c r="B830" s="7">
        <v>45234</v>
      </c>
      <c r="C830" s="8" t="s">
        <v>106</v>
      </c>
      <c r="D830" s="8" t="s">
        <v>93</v>
      </c>
      <c r="E830" s="8" t="s">
        <v>155</v>
      </c>
      <c r="F830" s="8" t="s">
        <v>135</v>
      </c>
      <c r="G830" s="6">
        <v>36</v>
      </c>
      <c r="H830" s="6">
        <v>119800</v>
      </c>
      <c r="I830" s="6">
        <v>10</v>
      </c>
      <c r="J830" s="6">
        <f t="shared" si="24"/>
        <v>4312800</v>
      </c>
      <c r="K830" s="6">
        <f t="shared" si="25"/>
        <v>3881520</v>
      </c>
      <c r="L830" s="8" t="s">
        <v>76</v>
      </c>
      <c r="M830" s="8" t="s">
        <v>77</v>
      </c>
    </row>
    <row r="831" spans="1:13" x14ac:dyDescent="0.25">
      <c r="A831" s="9">
        <v>815</v>
      </c>
      <c r="B831" s="10">
        <v>45037</v>
      </c>
      <c r="C831" s="11" t="s">
        <v>82</v>
      </c>
      <c r="D831" s="11" t="s">
        <v>83</v>
      </c>
      <c r="E831" s="11" t="s">
        <v>111</v>
      </c>
      <c r="F831" s="11" t="s">
        <v>112</v>
      </c>
      <c r="G831" s="9">
        <v>47</v>
      </c>
      <c r="H831" s="9">
        <v>66100</v>
      </c>
      <c r="I831" s="9">
        <v>0</v>
      </c>
      <c r="J831" s="9">
        <f t="shared" si="24"/>
        <v>3106700</v>
      </c>
      <c r="K831" s="9">
        <f t="shared" si="25"/>
        <v>3106700</v>
      </c>
      <c r="L831" s="11" t="s">
        <v>76</v>
      </c>
      <c r="M831" s="11" t="s">
        <v>96</v>
      </c>
    </row>
    <row r="832" spans="1:13" x14ac:dyDescent="0.25">
      <c r="A832" s="6">
        <v>816</v>
      </c>
      <c r="B832" s="7">
        <v>45187</v>
      </c>
      <c r="C832" s="8" t="s">
        <v>124</v>
      </c>
      <c r="D832" s="8" t="s">
        <v>73</v>
      </c>
      <c r="E832" s="8" t="s">
        <v>102</v>
      </c>
      <c r="F832" s="8" t="s">
        <v>138</v>
      </c>
      <c r="G832" s="6">
        <v>43</v>
      </c>
      <c r="H832" s="6">
        <v>6000</v>
      </c>
      <c r="I832" s="6">
        <v>20</v>
      </c>
      <c r="J832" s="6">
        <f t="shared" si="24"/>
        <v>258000</v>
      </c>
      <c r="K832" s="6">
        <f t="shared" si="25"/>
        <v>206400</v>
      </c>
      <c r="L832" s="8" t="s">
        <v>76</v>
      </c>
      <c r="M832" s="8" t="s">
        <v>81</v>
      </c>
    </row>
    <row r="833" spans="1:13" x14ac:dyDescent="0.25">
      <c r="A833" s="9">
        <v>817</v>
      </c>
      <c r="B833" s="10">
        <v>45329</v>
      </c>
      <c r="C833" s="11" t="s">
        <v>78</v>
      </c>
      <c r="D833" s="11" t="s">
        <v>73</v>
      </c>
      <c r="E833" s="11" t="s">
        <v>111</v>
      </c>
      <c r="F833" s="11" t="s">
        <v>135</v>
      </c>
      <c r="G833" s="9">
        <v>47</v>
      </c>
      <c r="H833" s="9">
        <v>112500</v>
      </c>
      <c r="I833" s="9">
        <v>10</v>
      </c>
      <c r="J833" s="9">
        <f t="shared" si="24"/>
        <v>5287500</v>
      </c>
      <c r="K833" s="9">
        <f t="shared" si="25"/>
        <v>4758750</v>
      </c>
      <c r="L833" s="11" t="s">
        <v>76</v>
      </c>
      <c r="M833" s="11" t="s">
        <v>91</v>
      </c>
    </row>
    <row r="834" spans="1:13" x14ac:dyDescent="0.25">
      <c r="A834" s="6">
        <v>818</v>
      </c>
      <c r="B834" s="7">
        <v>45198</v>
      </c>
      <c r="C834" s="8" t="s">
        <v>88</v>
      </c>
      <c r="D834" s="8" t="s">
        <v>109</v>
      </c>
      <c r="E834" s="8" t="s">
        <v>84</v>
      </c>
      <c r="F834" s="8" t="s">
        <v>128</v>
      </c>
      <c r="G834" s="6">
        <v>39</v>
      </c>
      <c r="H834" s="6">
        <v>3900</v>
      </c>
      <c r="I834" s="6">
        <v>5</v>
      </c>
      <c r="J834" s="6">
        <f t="shared" ref="J834:J897" si="26">G834*H834</f>
        <v>152100</v>
      </c>
      <c r="K834" s="6">
        <f t="shared" ref="K834:K897" si="27">J834*(1-I834/100)</f>
        <v>144495</v>
      </c>
      <c r="L834" s="8" t="s">
        <v>76</v>
      </c>
      <c r="M834" s="8" t="s">
        <v>77</v>
      </c>
    </row>
    <row r="835" spans="1:13" x14ac:dyDescent="0.25">
      <c r="A835" s="9">
        <v>819</v>
      </c>
      <c r="B835" s="10">
        <v>45474</v>
      </c>
      <c r="C835" s="11" t="s">
        <v>78</v>
      </c>
      <c r="D835" s="11" t="s">
        <v>73</v>
      </c>
      <c r="E835" s="11" t="s">
        <v>111</v>
      </c>
      <c r="F835" s="11" t="s">
        <v>112</v>
      </c>
      <c r="G835" s="9">
        <v>42</v>
      </c>
      <c r="H835" s="9">
        <v>58700</v>
      </c>
      <c r="I835" s="9">
        <v>20</v>
      </c>
      <c r="J835" s="9">
        <f t="shared" si="26"/>
        <v>2465400</v>
      </c>
      <c r="K835" s="9">
        <f t="shared" si="27"/>
        <v>1972320</v>
      </c>
      <c r="L835" s="11" t="s">
        <v>129</v>
      </c>
      <c r="M835" s="11" t="s">
        <v>91</v>
      </c>
    </row>
    <row r="836" spans="1:13" x14ac:dyDescent="0.25">
      <c r="A836" s="6">
        <v>820</v>
      </c>
      <c r="B836" s="7">
        <v>45600</v>
      </c>
      <c r="C836" s="8" t="s">
        <v>124</v>
      </c>
      <c r="D836" s="8" t="s">
        <v>83</v>
      </c>
      <c r="E836" s="8" t="s">
        <v>74</v>
      </c>
      <c r="F836" s="8" t="s">
        <v>212</v>
      </c>
      <c r="G836" s="6">
        <v>45</v>
      </c>
      <c r="H836" s="6">
        <v>8600</v>
      </c>
      <c r="I836" s="6">
        <v>0</v>
      </c>
      <c r="J836" s="6">
        <f t="shared" si="26"/>
        <v>387000</v>
      </c>
      <c r="K836" s="6">
        <f t="shared" si="27"/>
        <v>387000</v>
      </c>
      <c r="L836" s="8" t="s">
        <v>86</v>
      </c>
      <c r="M836" s="8" t="s">
        <v>96</v>
      </c>
    </row>
    <row r="837" spans="1:13" x14ac:dyDescent="0.25">
      <c r="A837" s="9">
        <v>821</v>
      </c>
      <c r="B837" s="10">
        <v>45055</v>
      </c>
      <c r="C837" s="11" t="s">
        <v>108</v>
      </c>
      <c r="D837" s="11" t="s">
        <v>73</v>
      </c>
      <c r="E837" s="11" t="s">
        <v>84</v>
      </c>
      <c r="F837" s="11" t="s">
        <v>150</v>
      </c>
      <c r="G837" s="9">
        <v>45</v>
      </c>
      <c r="H837" s="9">
        <v>6100</v>
      </c>
      <c r="I837" s="9">
        <v>0</v>
      </c>
      <c r="J837" s="9">
        <f t="shared" si="26"/>
        <v>274500</v>
      </c>
      <c r="K837" s="9">
        <f t="shared" si="27"/>
        <v>274500</v>
      </c>
      <c r="L837" s="11" t="s">
        <v>125</v>
      </c>
      <c r="M837" s="11" t="s">
        <v>77</v>
      </c>
    </row>
    <row r="838" spans="1:13" x14ac:dyDescent="0.25">
      <c r="A838" s="6">
        <v>822</v>
      </c>
      <c r="B838" s="7">
        <v>45419</v>
      </c>
      <c r="C838" s="8" t="s">
        <v>108</v>
      </c>
      <c r="D838" s="8" t="s">
        <v>109</v>
      </c>
      <c r="E838" s="8" t="s">
        <v>111</v>
      </c>
      <c r="F838" s="8" t="s">
        <v>156</v>
      </c>
      <c r="G838" s="6">
        <v>50</v>
      </c>
      <c r="H838" s="6">
        <v>38700</v>
      </c>
      <c r="I838" s="6">
        <v>5</v>
      </c>
      <c r="J838" s="6">
        <f t="shared" si="26"/>
        <v>1935000</v>
      </c>
      <c r="K838" s="6">
        <f t="shared" si="27"/>
        <v>1838250</v>
      </c>
      <c r="L838" s="8" t="s">
        <v>76</v>
      </c>
      <c r="M838" s="8" t="s">
        <v>91</v>
      </c>
    </row>
    <row r="839" spans="1:13" x14ac:dyDescent="0.25">
      <c r="A839" s="9">
        <v>823</v>
      </c>
      <c r="B839" s="10">
        <v>44949</v>
      </c>
      <c r="C839" s="11" t="s">
        <v>97</v>
      </c>
      <c r="D839" s="11" t="s">
        <v>109</v>
      </c>
      <c r="E839" s="11" t="s">
        <v>84</v>
      </c>
      <c r="F839" s="11" t="s">
        <v>85</v>
      </c>
      <c r="G839" s="9">
        <v>31</v>
      </c>
      <c r="H839" s="9">
        <v>6200</v>
      </c>
      <c r="I839" s="9">
        <v>10</v>
      </c>
      <c r="J839" s="9">
        <f t="shared" si="26"/>
        <v>192200</v>
      </c>
      <c r="K839" s="9">
        <f t="shared" si="27"/>
        <v>172980</v>
      </c>
      <c r="L839" s="11" t="s">
        <v>76</v>
      </c>
      <c r="M839" s="11" t="s">
        <v>91</v>
      </c>
    </row>
    <row r="840" spans="1:13" x14ac:dyDescent="0.25">
      <c r="A840" s="6">
        <v>824</v>
      </c>
      <c r="B840" s="8" t="s">
        <v>429</v>
      </c>
      <c r="C840" s="8" t="s">
        <v>106</v>
      </c>
      <c r="D840" s="8" t="s">
        <v>117</v>
      </c>
      <c r="E840" s="8" t="s">
        <v>145</v>
      </c>
      <c r="F840" s="8" t="s">
        <v>151</v>
      </c>
      <c r="G840" s="6">
        <v>1</v>
      </c>
      <c r="H840" s="6">
        <v>6800</v>
      </c>
      <c r="I840" s="6">
        <v>5</v>
      </c>
      <c r="J840" s="6">
        <f t="shared" si="26"/>
        <v>6800</v>
      </c>
      <c r="K840" s="6">
        <f t="shared" si="27"/>
        <v>6460</v>
      </c>
      <c r="L840" s="8" t="s">
        <v>76</v>
      </c>
      <c r="M840" s="8" t="s">
        <v>91</v>
      </c>
    </row>
    <row r="841" spans="1:13" x14ac:dyDescent="0.25">
      <c r="A841" s="9">
        <v>825</v>
      </c>
      <c r="B841" s="10">
        <v>45434</v>
      </c>
      <c r="C841" s="11" t="s">
        <v>124</v>
      </c>
      <c r="D841" s="11" t="s">
        <v>93</v>
      </c>
      <c r="E841" s="11" t="s">
        <v>102</v>
      </c>
      <c r="F841" s="11" t="s">
        <v>110</v>
      </c>
      <c r="G841" s="9">
        <v>26</v>
      </c>
      <c r="H841" s="9">
        <v>20000</v>
      </c>
      <c r="I841" s="9">
        <v>0</v>
      </c>
      <c r="J841" s="9">
        <f t="shared" si="26"/>
        <v>520000</v>
      </c>
      <c r="K841" s="9">
        <f t="shared" si="27"/>
        <v>520000</v>
      </c>
      <c r="L841" s="11" t="s">
        <v>76</v>
      </c>
      <c r="M841" s="11" t="s">
        <v>91</v>
      </c>
    </row>
    <row r="842" spans="1:13" x14ac:dyDescent="0.25">
      <c r="A842" s="6">
        <v>826</v>
      </c>
      <c r="B842" s="7">
        <v>44989</v>
      </c>
      <c r="C842" s="8" t="s">
        <v>82</v>
      </c>
      <c r="D842" s="8" t="s">
        <v>73</v>
      </c>
      <c r="E842" s="8" t="s">
        <v>111</v>
      </c>
      <c r="F842" s="8" t="s">
        <v>132</v>
      </c>
      <c r="G842" s="6">
        <v>18</v>
      </c>
      <c r="H842" s="6">
        <v>7800</v>
      </c>
      <c r="I842" s="6">
        <v>5</v>
      </c>
      <c r="J842" s="6">
        <f t="shared" si="26"/>
        <v>140400</v>
      </c>
      <c r="K842" s="6">
        <f t="shared" si="27"/>
        <v>133380</v>
      </c>
      <c r="L842" s="8" t="s">
        <v>107</v>
      </c>
      <c r="M842" s="8" t="s">
        <v>91</v>
      </c>
    </row>
    <row r="843" spans="1:13" x14ac:dyDescent="0.25">
      <c r="A843" s="9">
        <v>827</v>
      </c>
      <c r="B843" s="10">
        <v>45046</v>
      </c>
      <c r="C843" s="11" t="s">
        <v>119</v>
      </c>
      <c r="D843" s="11" t="s">
        <v>93</v>
      </c>
      <c r="E843" s="11" t="s">
        <v>74</v>
      </c>
      <c r="F843" s="11" t="s">
        <v>99</v>
      </c>
      <c r="G843" s="9">
        <v>2</v>
      </c>
      <c r="H843" s="9">
        <v>3800</v>
      </c>
      <c r="I843" s="9">
        <v>5</v>
      </c>
      <c r="J843" s="9">
        <f t="shared" si="26"/>
        <v>7600</v>
      </c>
      <c r="K843" s="9">
        <f t="shared" si="27"/>
        <v>7220</v>
      </c>
      <c r="L843" s="11" t="s">
        <v>76</v>
      </c>
      <c r="M843" s="11" t="s">
        <v>81</v>
      </c>
    </row>
    <row r="844" spans="1:13" x14ac:dyDescent="0.25">
      <c r="A844" s="6">
        <v>828</v>
      </c>
      <c r="B844" s="7">
        <v>45279</v>
      </c>
      <c r="C844" s="8" t="s">
        <v>119</v>
      </c>
      <c r="D844" s="8" t="s">
        <v>109</v>
      </c>
      <c r="E844" s="8" t="s">
        <v>102</v>
      </c>
      <c r="F844" s="8" t="s">
        <v>181</v>
      </c>
      <c r="G844" s="6">
        <v>44</v>
      </c>
      <c r="H844" s="6">
        <v>4700</v>
      </c>
      <c r="I844" s="6">
        <v>0</v>
      </c>
      <c r="J844" s="6">
        <f t="shared" si="26"/>
        <v>206800</v>
      </c>
      <c r="K844" s="6">
        <f t="shared" si="27"/>
        <v>206800</v>
      </c>
      <c r="L844" s="8" t="s">
        <v>76</v>
      </c>
      <c r="M844" s="8" t="s">
        <v>91</v>
      </c>
    </row>
    <row r="845" spans="1:13" x14ac:dyDescent="0.25">
      <c r="A845" s="9">
        <v>829</v>
      </c>
      <c r="B845" s="10">
        <v>45227</v>
      </c>
      <c r="C845" s="11" t="s">
        <v>114</v>
      </c>
      <c r="D845" s="11" t="s">
        <v>83</v>
      </c>
      <c r="E845" s="11" t="s">
        <v>74</v>
      </c>
      <c r="F845" s="11" t="s">
        <v>99</v>
      </c>
      <c r="G845" s="9">
        <v>11</v>
      </c>
      <c r="H845" s="9">
        <v>3800</v>
      </c>
      <c r="I845" s="9">
        <v>15</v>
      </c>
      <c r="J845" s="9">
        <f t="shared" si="26"/>
        <v>41800</v>
      </c>
      <c r="K845" s="9">
        <f t="shared" si="27"/>
        <v>35530</v>
      </c>
      <c r="L845" s="11" t="s">
        <v>76</v>
      </c>
      <c r="M845" s="11" t="s">
        <v>96</v>
      </c>
    </row>
    <row r="846" spans="1:13" x14ac:dyDescent="0.25">
      <c r="A846" s="6">
        <v>830</v>
      </c>
      <c r="B846" s="7">
        <v>45015</v>
      </c>
      <c r="C846" s="8" t="s">
        <v>224</v>
      </c>
      <c r="D846" s="8" t="s">
        <v>109</v>
      </c>
      <c r="E846" s="8" t="s">
        <v>84</v>
      </c>
      <c r="F846" s="8" t="s">
        <v>90</v>
      </c>
      <c r="G846" s="6">
        <v>32</v>
      </c>
      <c r="H846" s="6">
        <v>1700</v>
      </c>
      <c r="I846" s="6">
        <v>5</v>
      </c>
      <c r="J846" s="6">
        <f t="shared" si="26"/>
        <v>54400</v>
      </c>
      <c r="K846" s="6">
        <f t="shared" si="27"/>
        <v>51680</v>
      </c>
      <c r="L846" s="8" t="s">
        <v>76</v>
      </c>
      <c r="M846" s="8" t="s">
        <v>91</v>
      </c>
    </row>
    <row r="847" spans="1:13" x14ac:dyDescent="0.25">
      <c r="A847" s="9">
        <v>831</v>
      </c>
      <c r="B847" s="10">
        <v>45237</v>
      </c>
      <c r="C847" s="11" t="s">
        <v>106</v>
      </c>
      <c r="D847" s="11" t="s">
        <v>109</v>
      </c>
      <c r="E847" s="11" t="s">
        <v>102</v>
      </c>
      <c r="F847" s="11" t="s">
        <v>138</v>
      </c>
      <c r="G847" s="9">
        <v>23</v>
      </c>
      <c r="H847" s="9">
        <v>7500</v>
      </c>
      <c r="I847" s="9">
        <v>15</v>
      </c>
      <c r="J847" s="9">
        <f t="shared" si="26"/>
        <v>172500</v>
      </c>
      <c r="K847" s="9">
        <f t="shared" si="27"/>
        <v>146625</v>
      </c>
      <c r="L847" s="11" t="s">
        <v>107</v>
      </c>
      <c r="M847" s="11" t="s">
        <v>96</v>
      </c>
    </row>
    <row r="848" spans="1:13" x14ac:dyDescent="0.25">
      <c r="A848" s="6">
        <v>832</v>
      </c>
      <c r="B848" s="7">
        <v>45089</v>
      </c>
      <c r="C848" s="8" t="s">
        <v>108</v>
      </c>
      <c r="D848" s="8" t="s">
        <v>300</v>
      </c>
      <c r="E848" s="8" t="s">
        <v>79</v>
      </c>
      <c r="F848" s="8" t="s">
        <v>131</v>
      </c>
      <c r="G848" s="6">
        <v>8</v>
      </c>
      <c r="H848" s="6">
        <v>118100</v>
      </c>
      <c r="I848" s="6">
        <v>10</v>
      </c>
      <c r="J848" s="6">
        <f t="shared" si="26"/>
        <v>944800</v>
      </c>
      <c r="K848" s="6">
        <f t="shared" si="27"/>
        <v>850320</v>
      </c>
      <c r="L848" s="8" t="s">
        <v>76</v>
      </c>
      <c r="M848" s="8" t="s">
        <v>77</v>
      </c>
    </row>
    <row r="849" spans="1:13" x14ac:dyDescent="0.25">
      <c r="A849" s="9">
        <v>833</v>
      </c>
      <c r="B849" s="10">
        <v>45156</v>
      </c>
      <c r="C849" s="11" t="s">
        <v>119</v>
      </c>
      <c r="D849" s="11" t="s">
        <v>117</v>
      </c>
      <c r="E849" s="11" t="s">
        <v>74</v>
      </c>
      <c r="F849" s="11" t="s">
        <v>212</v>
      </c>
      <c r="G849" s="9">
        <v>50</v>
      </c>
      <c r="H849" s="9">
        <v>8700</v>
      </c>
      <c r="I849" s="9">
        <v>0</v>
      </c>
      <c r="J849" s="9">
        <f t="shared" si="26"/>
        <v>435000</v>
      </c>
      <c r="K849" s="9">
        <f t="shared" si="27"/>
        <v>435000</v>
      </c>
      <c r="L849" s="11" t="s">
        <v>107</v>
      </c>
      <c r="M849" s="11" t="s">
        <v>96</v>
      </c>
    </row>
    <row r="850" spans="1:13" x14ac:dyDescent="0.25">
      <c r="A850" s="6">
        <v>834</v>
      </c>
      <c r="B850" s="8" t="s">
        <v>430</v>
      </c>
      <c r="C850" s="8" t="s">
        <v>82</v>
      </c>
      <c r="D850" s="8" t="s">
        <v>284</v>
      </c>
      <c r="E850" s="8" t="s">
        <v>79</v>
      </c>
      <c r="F850" s="8" t="s">
        <v>136</v>
      </c>
      <c r="G850" s="6">
        <v>29</v>
      </c>
      <c r="H850" s="6" t="s">
        <v>431</v>
      </c>
      <c r="I850" s="6">
        <v>0</v>
      </c>
      <c r="J850" s="6">
        <f t="shared" si="26"/>
        <v>2789800</v>
      </c>
      <c r="K850" s="6">
        <f t="shared" si="27"/>
        <v>2789800</v>
      </c>
      <c r="L850" s="8" t="s">
        <v>86</v>
      </c>
      <c r="M850" s="8" t="s">
        <v>77</v>
      </c>
    </row>
    <row r="851" spans="1:13" x14ac:dyDescent="0.25">
      <c r="A851" s="9">
        <v>835</v>
      </c>
      <c r="B851" s="10">
        <v>45552</v>
      </c>
      <c r="C851" s="11" t="s">
        <v>124</v>
      </c>
      <c r="D851" s="11" t="s">
        <v>73</v>
      </c>
      <c r="E851" s="11" t="s">
        <v>102</v>
      </c>
      <c r="F851" s="11" t="s">
        <v>138</v>
      </c>
      <c r="G851" s="9">
        <v>11</v>
      </c>
      <c r="H851" s="9">
        <v>6700</v>
      </c>
      <c r="I851" s="9"/>
      <c r="J851" s="9">
        <f t="shared" si="26"/>
        <v>73700</v>
      </c>
      <c r="K851" s="9">
        <f t="shared" si="27"/>
        <v>73700</v>
      </c>
      <c r="L851" s="11" t="s">
        <v>76</v>
      </c>
      <c r="M851" s="11" t="s">
        <v>81</v>
      </c>
    </row>
    <row r="852" spans="1:13" x14ac:dyDescent="0.25">
      <c r="A852" s="6">
        <v>836</v>
      </c>
      <c r="B852" s="7">
        <v>45087</v>
      </c>
      <c r="C852" s="8" t="s">
        <v>101</v>
      </c>
      <c r="D852" s="8" t="s">
        <v>83</v>
      </c>
      <c r="E852" s="8" t="s">
        <v>213</v>
      </c>
      <c r="F852" s="8" t="s">
        <v>197</v>
      </c>
      <c r="G852" s="6">
        <v>7</v>
      </c>
      <c r="H852" s="6">
        <v>4100</v>
      </c>
      <c r="I852" s="6">
        <v>0</v>
      </c>
      <c r="J852" s="6">
        <f t="shared" si="26"/>
        <v>28700</v>
      </c>
      <c r="K852" s="6">
        <f t="shared" si="27"/>
        <v>28700</v>
      </c>
      <c r="L852" s="8" t="s">
        <v>76</v>
      </c>
      <c r="M852" s="8" t="s">
        <v>96</v>
      </c>
    </row>
    <row r="853" spans="1:13" x14ac:dyDescent="0.25">
      <c r="A853" s="9">
        <v>837</v>
      </c>
      <c r="B853" s="10">
        <v>45068</v>
      </c>
      <c r="C853" s="11" t="s">
        <v>97</v>
      </c>
      <c r="D853" s="11" t="s">
        <v>109</v>
      </c>
      <c r="E853" s="11" t="s">
        <v>111</v>
      </c>
      <c r="F853" s="11" t="s">
        <v>165</v>
      </c>
      <c r="G853" s="9">
        <v>1</v>
      </c>
      <c r="H853" s="9">
        <v>19700</v>
      </c>
      <c r="I853" s="9">
        <v>0</v>
      </c>
      <c r="J853" s="9">
        <f t="shared" si="26"/>
        <v>19700</v>
      </c>
      <c r="K853" s="9">
        <f t="shared" si="27"/>
        <v>19700</v>
      </c>
      <c r="L853" s="11" t="s">
        <v>76</v>
      </c>
      <c r="M853" s="11" t="s">
        <v>91</v>
      </c>
    </row>
    <row r="854" spans="1:13" x14ac:dyDescent="0.25">
      <c r="A854" s="6">
        <v>838</v>
      </c>
      <c r="B854" s="7">
        <v>45220</v>
      </c>
      <c r="C854" s="8" t="s">
        <v>246</v>
      </c>
      <c r="D854" s="8" t="s">
        <v>109</v>
      </c>
      <c r="E854" s="8" t="s">
        <v>79</v>
      </c>
      <c r="F854" s="8" t="s">
        <v>179</v>
      </c>
      <c r="G854" s="6">
        <v>49</v>
      </c>
      <c r="H854" s="6">
        <v>2500</v>
      </c>
      <c r="I854" s="6">
        <v>0</v>
      </c>
      <c r="J854" s="6">
        <f t="shared" si="26"/>
        <v>122500</v>
      </c>
      <c r="K854" s="6">
        <f t="shared" si="27"/>
        <v>122500</v>
      </c>
      <c r="L854" s="8" t="s">
        <v>76</v>
      </c>
      <c r="M854" s="8"/>
    </row>
    <row r="855" spans="1:13" x14ac:dyDescent="0.25">
      <c r="A855" s="9">
        <v>839</v>
      </c>
      <c r="B855" s="10">
        <v>45469</v>
      </c>
      <c r="C855" s="11" t="s">
        <v>414</v>
      </c>
      <c r="D855" s="11" t="s">
        <v>109</v>
      </c>
      <c r="E855" s="11" t="s">
        <v>84</v>
      </c>
      <c r="F855" s="11" t="s">
        <v>148</v>
      </c>
      <c r="G855" s="9">
        <v>27</v>
      </c>
      <c r="H855" s="9">
        <v>4800</v>
      </c>
      <c r="I855" s="9">
        <v>0</v>
      </c>
      <c r="J855" s="9">
        <f t="shared" si="26"/>
        <v>129600</v>
      </c>
      <c r="K855" s="9">
        <f t="shared" si="27"/>
        <v>129600</v>
      </c>
      <c r="L855" s="11" t="s">
        <v>107</v>
      </c>
      <c r="M855" s="11" t="s">
        <v>96</v>
      </c>
    </row>
    <row r="856" spans="1:13" x14ac:dyDescent="0.25">
      <c r="A856" s="6">
        <v>840</v>
      </c>
      <c r="B856" s="7">
        <v>45380</v>
      </c>
      <c r="C856" s="8" t="s">
        <v>108</v>
      </c>
      <c r="D856" s="8"/>
      <c r="E856" s="8" t="s">
        <v>102</v>
      </c>
      <c r="F856" s="8" t="s">
        <v>137</v>
      </c>
      <c r="G856" s="6">
        <v>21</v>
      </c>
      <c r="H856" s="6">
        <v>2000</v>
      </c>
      <c r="I856" s="6">
        <v>5</v>
      </c>
      <c r="J856" s="6">
        <f t="shared" si="26"/>
        <v>42000</v>
      </c>
      <c r="K856" s="6">
        <f t="shared" si="27"/>
        <v>39900</v>
      </c>
      <c r="L856" s="8" t="s">
        <v>76</v>
      </c>
      <c r="M856" s="8" t="s">
        <v>81</v>
      </c>
    </row>
    <row r="857" spans="1:13" x14ac:dyDescent="0.25">
      <c r="A857" s="9">
        <v>841</v>
      </c>
      <c r="B857" s="10">
        <v>44989</v>
      </c>
      <c r="C857" s="11" t="s">
        <v>114</v>
      </c>
      <c r="D857" s="11" t="s">
        <v>73</v>
      </c>
      <c r="E857" s="11" t="s">
        <v>84</v>
      </c>
      <c r="F857" s="11" t="s">
        <v>206</v>
      </c>
      <c r="G857" s="9">
        <v>46</v>
      </c>
      <c r="H857" s="9">
        <v>16000</v>
      </c>
      <c r="I857" s="9">
        <v>5</v>
      </c>
      <c r="J857" s="9">
        <f t="shared" si="26"/>
        <v>736000</v>
      </c>
      <c r="K857" s="9">
        <f t="shared" si="27"/>
        <v>699200</v>
      </c>
      <c r="L857" s="11" t="s">
        <v>86</v>
      </c>
      <c r="M857" s="11" t="s">
        <v>96</v>
      </c>
    </row>
    <row r="858" spans="1:13" x14ac:dyDescent="0.25">
      <c r="A858" s="6">
        <v>842</v>
      </c>
      <c r="B858" s="7">
        <v>45338</v>
      </c>
      <c r="C858" s="8" t="s">
        <v>82</v>
      </c>
      <c r="D858" s="8" t="s">
        <v>117</v>
      </c>
      <c r="E858" s="8" t="s">
        <v>74</v>
      </c>
      <c r="F858" s="8" t="s">
        <v>212</v>
      </c>
      <c r="G858" s="6">
        <v>18</v>
      </c>
      <c r="H858" s="6">
        <v>7200</v>
      </c>
      <c r="I858" s="6">
        <v>15</v>
      </c>
      <c r="J858" s="6">
        <f t="shared" si="26"/>
        <v>129600</v>
      </c>
      <c r="K858" s="6">
        <f t="shared" si="27"/>
        <v>110160</v>
      </c>
      <c r="L858" s="8" t="s">
        <v>107</v>
      </c>
      <c r="M858" s="8" t="s">
        <v>81</v>
      </c>
    </row>
    <row r="859" spans="1:13" x14ac:dyDescent="0.25">
      <c r="A859" s="9">
        <v>843</v>
      </c>
      <c r="B859" s="10">
        <v>45340</v>
      </c>
      <c r="C859" s="11" t="s">
        <v>119</v>
      </c>
      <c r="D859" s="11" t="s">
        <v>109</v>
      </c>
      <c r="E859" s="11" t="s">
        <v>102</v>
      </c>
      <c r="F859" s="11" t="s">
        <v>197</v>
      </c>
      <c r="G859" s="9">
        <v>42</v>
      </c>
      <c r="H859" s="9">
        <v>4100</v>
      </c>
      <c r="I859" s="9">
        <v>0</v>
      </c>
      <c r="J859" s="9">
        <f t="shared" si="26"/>
        <v>172200</v>
      </c>
      <c r="K859" s="9">
        <f t="shared" si="27"/>
        <v>172200</v>
      </c>
      <c r="L859" s="11" t="s">
        <v>76</v>
      </c>
      <c r="M859" s="11" t="s">
        <v>81</v>
      </c>
    </row>
    <row r="860" spans="1:13" x14ac:dyDescent="0.25">
      <c r="A860" s="6">
        <v>844</v>
      </c>
      <c r="B860" s="8" t="s">
        <v>432</v>
      </c>
      <c r="C860" s="8" t="s">
        <v>199</v>
      </c>
      <c r="D860" s="8" t="s">
        <v>93</v>
      </c>
      <c r="E860" s="8" t="s">
        <v>74</v>
      </c>
      <c r="F860" s="8" t="s">
        <v>140</v>
      </c>
      <c r="G860" s="6">
        <v>48</v>
      </c>
      <c r="H860" s="6">
        <v>4900</v>
      </c>
      <c r="I860" s="6">
        <v>0</v>
      </c>
      <c r="J860" s="6">
        <f t="shared" si="26"/>
        <v>235200</v>
      </c>
      <c r="K860" s="6">
        <f t="shared" si="27"/>
        <v>235200</v>
      </c>
      <c r="L860" s="8" t="s">
        <v>107</v>
      </c>
      <c r="M860" s="8" t="s">
        <v>96</v>
      </c>
    </row>
    <row r="861" spans="1:13" x14ac:dyDescent="0.25">
      <c r="A861" s="9">
        <v>845</v>
      </c>
      <c r="B861" s="10">
        <v>45022</v>
      </c>
      <c r="C861" s="11" t="s">
        <v>82</v>
      </c>
      <c r="D861" s="11" t="s">
        <v>93</v>
      </c>
      <c r="E861" s="11" t="s">
        <v>74</v>
      </c>
      <c r="F861" s="11" t="s">
        <v>212</v>
      </c>
      <c r="G861" s="9">
        <v>11</v>
      </c>
      <c r="H861" s="9">
        <v>8700</v>
      </c>
      <c r="I861" s="9">
        <v>0</v>
      </c>
      <c r="J861" s="9">
        <f t="shared" si="26"/>
        <v>95700</v>
      </c>
      <c r="K861" s="9">
        <f t="shared" si="27"/>
        <v>95700</v>
      </c>
      <c r="L861" s="11" t="s">
        <v>76</v>
      </c>
      <c r="M861" s="11"/>
    </row>
    <row r="862" spans="1:13" x14ac:dyDescent="0.25">
      <c r="A862" s="6">
        <v>846</v>
      </c>
      <c r="B862" s="7">
        <v>45238</v>
      </c>
      <c r="C862" s="8" t="s">
        <v>114</v>
      </c>
      <c r="D862" s="8" t="s">
        <v>284</v>
      </c>
      <c r="E862" s="8" t="s">
        <v>79</v>
      </c>
      <c r="F862" s="8" t="s">
        <v>136</v>
      </c>
      <c r="G862" s="6">
        <v>17</v>
      </c>
      <c r="H862" s="6" t="s">
        <v>433</v>
      </c>
      <c r="I862" s="6">
        <v>0</v>
      </c>
      <c r="J862" s="6" t="e">
        <f t="shared" si="26"/>
        <v>#VALUE!</v>
      </c>
      <c r="K862" s="6" t="e">
        <f t="shared" si="27"/>
        <v>#VALUE!</v>
      </c>
      <c r="L862" s="8" t="s">
        <v>76</v>
      </c>
      <c r="M862" s="8" t="s">
        <v>96</v>
      </c>
    </row>
    <row r="863" spans="1:13" x14ac:dyDescent="0.25">
      <c r="A863" s="9">
        <v>847</v>
      </c>
      <c r="B863" s="10">
        <v>44975</v>
      </c>
      <c r="C863" s="11" t="s">
        <v>97</v>
      </c>
      <c r="D863" s="11" t="s">
        <v>83</v>
      </c>
      <c r="E863" s="11" t="s">
        <v>74</v>
      </c>
      <c r="F863" s="11" t="s">
        <v>94</v>
      </c>
      <c r="G863" s="9">
        <v>16</v>
      </c>
      <c r="H863" s="9">
        <v>35500</v>
      </c>
      <c r="I863" s="9">
        <v>0</v>
      </c>
      <c r="J863" s="9">
        <f t="shared" si="26"/>
        <v>568000</v>
      </c>
      <c r="K863" s="9">
        <f t="shared" si="27"/>
        <v>568000</v>
      </c>
      <c r="L863" s="11" t="s">
        <v>86</v>
      </c>
      <c r="M863" s="11" t="s">
        <v>81</v>
      </c>
    </row>
    <row r="864" spans="1:13" x14ac:dyDescent="0.25">
      <c r="A864" s="6">
        <v>848</v>
      </c>
      <c r="B864" s="7">
        <v>45233</v>
      </c>
      <c r="C864" s="8" t="s">
        <v>101</v>
      </c>
      <c r="D864" s="8" t="s">
        <v>93</v>
      </c>
      <c r="E864" s="8" t="s">
        <v>84</v>
      </c>
      <c r="F864" s="8" t="s">
        <v>148</v>
      </c>
      <c r="G864" s="6">
        <v>16</v>
      </c>
      <c r="H864" s="6">
        <v>4900</v>
      </c>
      <c r="I864" s="6">
        <v>20</v>
      </c>
      <c r="J864" s="6">
        <f t="shared" si="26"/>
        <v>78400</v>
      </c>
      <c r="K864" s="6">
        <f t="shared" si="27"/>
        <v>62720</v>
      </c>
      <c r="L864" s="8" t="s">
        <v>76</v>
      </c>
      <c r="M864" s="8" t="s">
        <v>81</v>
      </c>
    </row>
    <row r="865" spans="1:13" x14ac:dyDescent="0.25">
      <c r="A865" s="9">
        <v>849</v>
      </c>
      <c r="B865" s="10">
        <v>45296</v>
      </c>
      <c r="C865" s="11" t="s">
        <v>119</v>
      </c>
      <c r="D865" s="11" t="s">
        <v>73</v>
      </c>
      <c r="E865" s="11" t="s">
        <v>173</v>
      </c>
      <c r="F865" s="11" t="s">
        <v>148</v>
      </c>
      <c r="G865" s="9">
        <v>6</v>
      </c>
      <c r="H865" s="9">
        <v>5300</v>
      </c>
      <c r="I865" s="9">
        <v>0</v>
      </c>
      <c r="J865" s="9">
        <f t="shared" si="26"/>
        <v>31800</v>
      </c>
      <c r="K865" s="9">
        <f t="shared" si="27"/>
        <v>31800</v>
      </c>
      <c r="L865" s="11" t="s">
        <v>76</v>
      </c>
      <c r="M865" s="11" t="s">
        <v>91</v>
      </c>
    </row>
    <row r="866" spans="1:13" x14ac:dyDescent="0.25">
      <c r="A866" s="6">
        <v>850</v>
      </c>
      <c r="B866" s="7">
        <v>45414</v>
      </c>
      <c r="C866" s="8" t="s">
        <v>106</v>
      </c>
      <c r="D866" s="8" t="s">
        <v>83</v>
      </c>
      <c r="E866" s="8" t="s">
        <v>79</v>
      </c>
      <c r="F866" s="8" t="s">
        <v>120</v>
      </c>
      <c r="G866" s="6">
        <v>26</v>
      </c>
      <c r="H866" s="6">
        <v>6400</v>
      </c>
      <c r="I866" s="6">
        <v>20</v>
      </c>
      <c r="J866" s="6">
        <f t="shared" si="26"/>
        <v>166400</v>
      </c>
      <c r="K866" s="6">
        <f t="shared" si="27"/>
        <v>133120</v>
      </c>
      <c r="L866" s="8" t="s">
        <v>76</v>
      </c>
      <c r="M866" s="8" t="s">
        <v>91</v>
      </c>
    </row>
    <row r="867" spans="1:13" x14ac:dyDescent="0.25">
      <c r="A867" s="9">
        <v>851</v>
      </c>
      <c r="B867" s="10">
        <v>45197</v>
      </c>
      <c r="C867" s="11" t="s">
        <v>124</v>
      </c>
      <c r="D867" s="11" t="s">
        <v>83</v>
      </c>
      <c r="E867" s="11" t="s">
        <v>111</v>
      </c>
      <c r="F867" s="11" t="s">
        <v>159</v>
      </c>
      <c r="G867" s="9">
        <v>32</v>
      </c>
      <c r="H867" s="9">
        <v>12900</v>
      </c>
      <c r="I867" s="9">
        <v>20</v>
      </c>
      <c r="J867" s="9">
        <f t="shared" si="26"/>
        <v>412800</v>
      </c>
      <c r="K867" s="9">
        <f t="shared" si="27"/>
        <v>330240</v>
      </c>
      <c r="L867" s="11" t="s">
        <v>86</v>
      </c>
      <c r="M867" s="11" t="s">
        <v>91</v>
      </c>
    </row>
    <row r="868" spans="1:13" x14ac:dyDescent="0.25">
      <c r="A868" s="6">
        <v>852</v>
      </c>
      <c r="B868" s="8" t="s">
        <v>434</v>
      </c>
      <c r="C868" s="8" t="s">
        <v>108</v>
      </c>
      <c r="D868" s="8" t="s">
        <v>93</v>
      </c>
      <c r="E868" s="8" t="s">
        <v>84</v>
      </c>
      <c r="F868" s="8" t="s">
        <v>85</v>
      </c>
      <c r="G868" s="6">
        <v>9</v>
      </c>
      <c r="H868" s="6" t="s">
        <v>435</v>
      </c>
      <c r="I868" s="6"/>
      <c r="J868" s="6">
        <f t="shared" si="26"/>
        <v>52200</v>
      </c>
      <c r="K868" s="6">
        <f t="shared" si="27"/>
        <v>52200</v>
      </c>
      <c r="L868" s="8" t="s">
        <v>125</v>
      </c>
      <c r="M868" s="8" t="s">
        <v>77</v>
      </c>
    </row>
    <row r="869" spans="1:13" x14ac:dyDescent="0.25">
      <c r="A869" s="9">
        <v>853</v>
      </c>
      <c r="B869" s="10">
        <v>45144</v>
      </c>
      <c r="C869" s="11" t="s">
        <v>119</v>
      </c>
      <c r="D869" s="11" t="s">
        <v>83</v>
      </c>
      <c r="E869" s="11" t="s">
        <v>79</v>
      </c>
      <c r="F869" s="11" t="s">
        <v>122</v>
      </c>
      <c r="G869" s="9">
        <v>24</v>
      </c>
      <c r="H869" s="9">
        <v>20400</v>
      </c>
      <c r="I869" s="9">
        <v>10</v>
      </c>
      <c r="J869" s="9">
        <f t="shared" si="26"/>
        <v>489600</v>
      </c>
      <c r="K869" s="9">
        <f t="shared" si="27"/>
        <v>440640</v>
      </c>
      <c r="L869" s="11" t="s">
        <v>107</v>
      </c>
      <c r="M869" s="11" t="s">
        <v>77</v>
      </c>
    </row>
    <row r="870" spans="1:13" x14ac:dyDescent="0.25">
      <c r="A870" s="6">
        <v>854</v>
      </c>
      <c r="B870" s="7">
        <v>45345</v>
      </c>
      <c r="C870" s="8" t="s">
        <v>274</v>
      </c>
      <c r="D870" s="8" t="s">
        <v>73</v>
      </c>
      <c r="E870" s="8" t="s">
        <v>74</v>
      </c>
      <c r="F870" s="8" t="s">
        <v>190</v>
      </c>
      <c r="G870" s="6">
        <v>10</v>
      </c>
      <c r="H870" s="6">
        <v>29100</v>
      </c>
      <c r="I870" s="6">
        <v>0</v>
      </c>
      <c r="J870" s="6">
        <f t="shared" si="26"/>
        <v>291000</v>
      </c>
      <c r="K870" s="6">
        <f t="shared" si="27"/>
        <v>291000</v>
      </c>
      <c r="L870" s="8" t="s">
        <v>76</v>
      </c>
      <c r="M870" s="8" t="s">
        <v>96</v>
      </c>
    </row>
    <row r="871" spans="1:13" x14ac:dyDescent="0.25">
      <c r="A871" s="9">
        <v>855</v>
      </c>
      <c r="B871" s="10">
        <v>45237</v>
      </c>
      <c r="C871" s="11" t="s">
        <v>101</v>
      </c>
      <c r="D871" s="11" t="s">
        <v>98</v>
      </c>
      <c r="E871" s="11" t="s">
        <v>79</v>
      </c>
      <c r="F871" s="11" t="s">
        <v>122</v>
      </c>
      <c r="G871" s="9">
        <v>38</v>
      </c>
      <c r="H871" s="9">
        <v>16800</v>
      </c>
      <c r="I871" s="9">
        <v>0</v>
      </c>
      <c r="J871" s="9">
        <f t="shared" si="26"/>
        <v>638400</v>
      </c>
      <c r="K871" s="9">
        <f t="shared" si="27"/>
        <v>638400</v>
      </c>
      <c r="L871" s="11" t="s">
        <v>76</v>
      </c>
      <c r="M871" s="11" t="s">
        <v>96</v>
      </c>
    </row>
    <row r="872" spans="1:13" x14ac:dyDescent="0.25">
      <c r="A872" s="6">
        <v>856</v>
      </c>
      <c r="B872" s="7">
        <v>45147</v>
      </c>
      <c r="C872" s="8" t="s">
        <v>108</v>
      </c>
      <c r="D872" s="8" t="s">
        <v>83</v>
      </c>
      <c r="E872" s="8" t="s">
        <v>79</v>
      </c>
      <c r="F872" s="8" t="s">
        <v>131</v>
      </c>
      <c r="G872" s="6">
        <v>5</v>
      </c>
      <c r="H872" s="6">
        <v>124400</v>
      </c>
      <c r="I872" s="6">
        <v>5</v>
      </c>
      <c r="J872" s="6">
        <f t="shared" si="26"/>
        <v>622000</v>
      </c>
      <c r="K872" s="6">
        <f t="shared" si="27"/>
        <v>590900</v>
      </c>
      <c r="L872" s="8" t="s">
        <v>107</v>
      </c>
      <c r="M872" s="8" t="s">
        <v>91</v>
      </c>
    </row>
    <row r="873" spans="1:13" x14ac:dyDescent="0.25">
      <c r="A873" s="9">
        <v>857</v>
      </c>
      <c r="B873" s="10">
        <v>45513</v>
      </c>
      <c r="C873" s="11" t="s">
        <v>101</v>
      </c>
      <c r="D873" s="11" t="s">
        <v>93</v>
      </c>
      <c r="E873" s="11" t="s">
        <v>111</v>
      </c>
      <c r="F873" s="11" t="s">
        <v>132</v>
      </c>
      <c r="G873" s="9">
        <v>31</v>
      </c>
      <c r="H873" s="9">
        <v>8200</v>
      </c>
      <c r="I873" s="9"/>
      <c r="J873" s="9">
        <f t="shared" si="26"/>
        <v>254200</v>
      </c>
      <c r="K873" s="9">
        <f t="shared" si="27"/>
        <v>254200</v>
      </c>
      <c r="L873" s="11" t="s">
        <v>86</v>
      </c>
      <c r="M873" s="11" t="s">
        <v>81</v>
      </c>
    </row>
    <row r="874" spans="1:13" x14ac:dyDescent="0.25">
      <c r="A874" s="6">
        <v>858</v>
      </c>
      <c r="B874" s="7">
        <v>45068</v>
      </c>
      <c r="C874" s="8" t="s">
        <v>82</v>
      </c>
      <c r="D874" s="8" t="s">
        <v>83</v>
      </c>
      <c r="E874" s="8" t="s">
        <v>111</v>
      </c>
      <c r="F874" s="8" t="s">
        <v>159</v>
      </c>
      <c r="G874" s="6">
        <v>47</v>
      </c>
      <c r="H874" s="6">
        <v>11200</v>
      </c>
      <c r="I874" s="6">
        <v>5</v>
      </c>
      <c r="J874" s="6">
        <f t="shared" si="26"/>
        <v>526400</v>
      </c>
      <c r="K874" s="6">
        <f t="shared" si="27"/>
        <v>500080</v>
      </c>
      <c r="L874" s="8" t="s">
        <v>76</v>
      </c>
      <c r="M874" s="8" t="s">
        <v>91</v>
      </c>
    </row>
    <row r="875" spans="1:13" x14ac:dyDescent="0.25">
      <c r="A875" s="9">
        <v>859</v>
      </c>
      <c r="B875" s="10">
        <v>45165</v>
      </c>
      <c r="C875" s="11" t="s">
        <v>114</v>
      </c>
      <c r="D875" s="11" t="s">
        <v>117</v>
      </c>
      <c r="E875" s="11" t="s">
        <v>102</v>
      </c>
      <c r="F875" s="11" t="s">
        <v>138</v>
      </c>
      <c r="G875" s="9">
        <v>29</v>
      </c>
      <c r="H875" s="9">
        <v>7400</v>
      </c>
      <c r="I875" s="9">
        <v>20</v>
      </c>
      <c r="J875" s="9">
        <f t="shared" si="26"/>
        <v>214600</v>
      </c>
      <c r="K875" s="9">
        <f t="shared" si="27"/>
        <v>171680</v>
      </c>
      <c r="L875" s="11" t="s">
        <v>264</v>
      </c>
      <c r="M875" s="11" t="s">
        <v>77</v>
      </c>
    </row>
    <row r="876" spans="1:13" x14ac:dyDescent="0.25">
      <c r="A876" s="6">
        <v>860</v>
      </c>
      <c r="B876" s="7">
        <v>45096</v>
      </c>
      <c r="C876" s="8" t="s">
        <v>78</v>
      </c>
      <c r="D876" s="8" t="s">
        <v>93</v>
      </c>
      <c r="E876" s="8" t="s">
        <v>74</v>
      </c>
      <c r="F876" s="8" t="s">
        <v>118</v>
      </c>
      <c r="G876" s="6">
        <v>6</v>
      </c>
      <c r="H876" s="6">
        <v>29700</v>
      </c>
      <c r="I876" s="6">
        <v>10</v>
      </c>
      <c r="J876" s="6">
        <f t="shared" si="26"/>
        <v>178200</v>
      </c>
      <c r="K876" s="6">
        <f t="shared" si="27"/>
        <v>160380</v>
      </c>
      <c r="L876" s="8" t="s">
        <v>76</v>
      </c>
      <c r="M876" s="8" t="s">
        <v>77</v>
      </c>
    </row>
    <row r="877" spans="1:13" x14ac:dyDescent="0.25">
      <c r="A877" s="9">
        <v>861</v>
      </c>
      <c r="B877" s="10">
        <v>45461</v>
      </c>
      <c r="C877" s="11" t="s">
        <v>106</v>
      </c>
      <c r="D877" s="11" t="s">
        <v>83</v>
      </c>
      <c r="E877" s="11" t="s">
        <v>102</v>
      </c>
      <c r="F877" s="11" t="s">
        <v>138</v>
      </c>
      <c r="G877" s="9">
        <v>35</v>
      </c>
      <c r="H877" s="9">
        <v>6000</v>
      </c>
      <c r="I877" s="9">
        <v>0</v>
      </c>
      <c r="J877" s="9">
        <f t="shared" si="26"/>
        <v>210000</v>
      </c>
      <c r="K877" s="9">
        <f t="shared" si="27"/>
        <v>210000</v>
      </c>
      <c r="L877" s="11" t="s">
        <v>76</v>
      </c>
      <c r="M877" s="11" t="s">
        <v>77</v>
      </c>
    </row>
    <row r="878" spans="1:13" x14ac:dyDescent="0.25">
      <c r="A878" s="6">
        <v>862</v>
      </c>
      <c r="B878" s="7">
        <v>45137</v>
      </c>
      <c r="C878" s="8" t="s">
        <v>106</v>
      </c>
      <c r="D878" s="8" t="s">
        <v>93</v>
      </c>
      <c r="E878" s="8" t="s">
        <v>111</v>
      </c>
      <c r="F878" s="8" t="s">
        <v>112</v>
      </c>
      <c r="G878" s="6">
        <v>39</v>
      </c>
      <c r="H878" s="6">
        <v>71600</v>
      </c>
      <c r="I878" s="6">
        <v>5</v>
      </c>
      <c r="J878" s="6">
        <f t="shared" si="26"/>
        <v>2792400</v>
      </c>
      <c r="K878" s="6">
        <f t="shared" si="27"/>
        <v>2652780</v>
      </c>
      <c r="L878" s="8" t="s">
        <v>76</v>
      </c>
      <c r="M878" s="8" t="s">
        <v>77</v>
      </c>
    </row>
    <row r="879" spans="1:13" x14ac:dyDescent="0.25">
      <c r="A879" s="9">
        <v>863</v>
      </c>
      <c r="B879" s="10">
        <v>44950</v>
      </c>
      <c r="C879" s="11" t="s">
        <v>88</v>
      </c>
      <c r="D879" s="11"/>
      <c r="E879" s="11" t="s">
        <v>84</v>
      </c>
      <c r="F879" s="11" t="s">
        <v>148</v>
      </c>
      <c r="G879" s="9">
        <v>34</v>
      </c>
      <c r="H879" s="9">
        <v>4300</v>
      </c>
      <c r="I879" s="9">
        <v>0</v>
      </c>
      <c r="J879" s="9">
        <f t="shared" si="26"/>
        <v>146200</v>
      </c>
      <c r="K879" s="9">
        <f t="shared" si="27"/>
        <v>146200</v>
      </c>
      <c r="L879" s="11" t="s">
        <v>76</v>
      </c>
      <c r="M879" s="11" t="s">
        <v>96</v>
      </c>
    </row>
    <row r="880" spans="1:13" x14ac:dyDescent="0.25">
      <c r="A880" s="6">
        <v>864</v>
      </c>
      <c r="B880" s="7">
        <v>45044</v>
      </c>
      <c r="C880" s="8" t="s">
        <v>97</v>
      </c>
      <c r="D880" s="8" t="s">
        <v>93</v>
      </c>
      <c r="E880" s="8" t="s">
        <v>84</v>
      </c>
      <c r="F880" s="8" t="s">
        <v>134</v>
      </c>
      <c r="G880" s="6">
        <v>17</v>
      </c>
      <c r="H880" s="6" t="s">
        <v>436</v>
      </c>
      <c r="I880" s="6">
        <v>0</v>
      </c>
      <c r="J880" s="6">
        <f t="shared" si="26"/>
        <v>153000</v>
      </c>
      <c r="K880" s="6">
        <f t="shared" si="27"/>
        <v>153000</v>
      </c>
      <c r="L880" s="8" t="s">
        <v>86</v>
      </c>
      <c r="M880" s="8" t="s">
        <v>81</v>
      </c>
    </row>
    <row r="881" spans="1:13" x14ac:dyDescent="0.25">
      <c r="A881" s="9">
        <v>865</v>
      </c>
      <c r="B881" s="10">
        <v>45344</v>
      </c>
      <c r="C881" s="11" t="s">
        <v>153</v>
      </c>
      <c r="D881" s="11" t="s">
        <v>73</v>
      </c>
      <c r="E881" s="11" t="s">
        <v>102</v>
      </c>
      <c r="F881" s="11" t="s">
        <v>157</v>
      </c>
      <c r="G881" s="9">
        <v>46</v>
      </c>
      <c r="H881" s="9">
        <v>11300</v>
      </c>
      <c r="I881" s="9">
        <v>0</v>
      </c>
      <c r="J881" s="9">
        <f t="shared" si="26"/>
        <v>519800</v>
      </c>
      <c r="K881" s="9">
        <f t="shared" si="27"/>
        <v>519800</v>
      </c>
      <c r="L881" s="11" t="s">
        <v>76</v>
      </c>
      <c r="M881" s="11" t="s">
        <v>91</v>
      </c>
    </row>
    <row r="882" spans="1:13" x14ac:dyDescent="0.25">
      <c r="A882" s="6">
        <v>866</v>
      </c>
      <c r="B882" s="8" t="s">
        <v>437</v>
      </c>
      <c r="C882" s="8" t="s">
        <v>108</v>
      </c>
      <c r="D882" s="8" t="s">
        <v>83</v>
      </c>
      <c r="E882" s="8" t="s">
        <v>74</v>
      </c>
      <c r="F882" s="8" t="s">
        <v>190</v>
      </c>
      <c r="G882" s="6">
        <v>8</v>
      </c>
      <c r="H882" s="6">
        <v>31800</v>
      </c>
      <c r="I882" s="6">
        <v>20</v>
      </c>
      <c r="J882" s="6">
        <f t="shared" si="26"/>
        <v>254400</v>
      </c>
      <c r="K882" s="6">
        <f t="shared" si="27"/>
        <v>203520</v>
      </c>
      <c r="L882" s="8" t="s">
        <v>76</v>
      </c>
      <c r="M882" s="8" t="s">
        <v>81</v>
      </c>
    </row>
    <row r="883" spans="1:13" x14ac:dyDescent="0.25">
      <c r="A883" s="9">
        <v>867</v>
      </c>
      <c r="B883" s="10">
        <v>45538</v>
      </c>
      <c r="C883" s="11" t="s">
        <v>124</v>
      </c>
      <c r="D883" s="11" t="s">
        <v>109</v>
      </c>
      <c r="E883" s="11" t="s">
        <v>111</v>
      </c>
      <c r="F883" s="11" t="s">
        <v>165</v>
      </c>
      <c r="G883" s="9">
        <v>18</v>
      </c>
      <c r="H883" s="9">
        <v>20500</v>
      </c>
      <c r="I883" s="9">
        <v>10</v>
      </c>
      <c r="J883" s="9">
        <f t="shared" si="26"/>
        <v>369000</v>
      </c>
      <c r="K883" s="9">
        <f t="shared" si="27"/>
        <v>332100</v>
      </c>
      <c r="L883" s="11" t="s">
        <v>76</v>
      </c>
      <c r="M883" s="11" t="s">
        <v>91</v>
      </c>
    </row>
    <row r="884" spans="1:13" x14ac:dyDescent="0.25">
      <c r="A884" s="6">
        <v>868</v>
      </c>
      <c r="B884" s="8" t="s">
        <v>438</v>
      </c>
      <c r="C884" s="8" t="s">
        <v>97</v>
      </c>
      <c r="D884" s="8" t="s">
        <v>83</v>
      </c>
      <c r="E884" s="8" t="s">
        <v>79</v>
      </c>
      <c r="F884" s="8" t="s">
        <v>115</v>
      </c>
      <c r="G884" s="6">
        <v>2</v>
      </c>
      <c r="H884" s="6" t="s">
        <v>439</v>
      </c>
      <c r="I884" s="6">
        <v>0</v>
      </c>
      <c r="J884" s="6">
        <f t="shared" si="26"/>
        <v>19000</v>
      </c>
      <c r="K884" s="6">
        <f t="shared" si="27"/>
        <v>19000</v>
      </c>
      <c r="L884" s="8" t="s">
        <v>76</v>
      </c>
      <c r="M884" s="8" t="s">
        <v>77</v>
      </c>
    </row>
    <row r="885" spans="1:13" x14ac:dyDescent="0.25">
      <c r="A885" s="9">
        <v>869</v>
      </c>
      <c r="B885" s="10">
        <v>45495</v>
      </c>
      <c r="C885" s="11" t="s">
        <v>108</v>
      </c>
      <c r="D885" s="11" t="s">
        <v>117</v>
      </c>
      <c r="E885" s="11" t="s">
        <v>102</v>
      </c>
      <c r="F885" s="11" t="s">
        <v>151</v>
      </c>
      <c r="G885" s="9">
        <v>41</v>
      </c>
      <c r="H885" s="9">
        <v>7600</v>
      </c>
      <c r="I885" s="9">
        <v>0</v>
      </c>
      <c r="J885" s="9">
        <f t="shared" si="26"/>
        <v>311600</v>
      </c>
      <c r="K885" s="9">
        <f t="shared" si="27"/>
        <v>311600</v>
      </c>
      <c r="L885" s="11" t="s">
        <v>76</v>
      </c>
      <c r="M885" s="11"/>
    </row>
    <row r="886" spans="1:13" x14ac:dyDescent="0.25">
      <c r="A886" s="6">
        <v>870</v>
      </c>
      <c r="B886" s="7">
        <v>45480</v>
      </c>
      <c r="C886" s="8" t="s">
        <v>108</v>
      </c>
      <c r="D886" s="8" t="s">
        <v>109</v>
      </c>
      <c r="E886" s="8" t="s">
        <v>102</v>
      </c>
      <c r="F886" s="8" t="s">
        <v>151</v>
      </c>
      <c r="G886" s="6">
        <v>36</v>
      </c>
      <c r="H886" s="6">
        <v>8600</v>
      </c>
      <c r="I886" s="6">
        <v>20</v>
      </c>
      <c r="J886" s="6">
        <f t="shared" si="26"/>
        <v>309600</v>
      </c>
      <c r="K886" s="6">
        <f t="shared" si="27"/>
        <v>247680</v>
      </c>
      <c r="L886" s="8" t="s">
        <v>76</v>
      </c>
      <c r="M886" s="8" t="s">
        <v>77</v>
      </c>
    </row>
    <row r="887" spans="1:13" x14ac:dyDescent="0.25">
      <c r="A887" s="9">
        <v>871</v>
      </c>
      <c r="B887" s="11" t="s">
        <v>440</v>
      </c>
      <c r="C887" s="11" t="s">
        <v>124</v>
      </c>
      <c r="D887" s="11" t="s">
        <v>117</v>
      </c>
      <c r="E887" s="11" t="s">
        <v>84</v>
      </c>
      <c r="F887" s="11" t="s">
        <v>206</v>
      </c>
      <c r="G887" s="9">
        <v>31</v>
      </c>
      <c r="H887" s="9">
        <v>12800</v>
      </c>
      <c r="I887" s="9">
        <v>20</v>
      </c>
      <c r="J887" s="9">
        <f t="shared" si="26"/>
        <v>396800</v>
      </c>
      <c r="K887" s="9">
        <f t="shared" si="27"/>
        <v>317440</v>
      </c>
      <c r="L887" s="11" t="s">
        <v>76</v>
      </c>
      <c r="M887" s="11" t="s">
        <v>96</v>
      </c>
    </row>
    <row r="888" spans="1:13" x14ac:dyDescent="0.25">
      <c r="A888" s="6">
        <v>872</v>
      </c>
      <c r="B888" s="7">
        <v>45623</v>
      </c>
      <c r="C888" s="8" t="s">
        <v>114</v>
      </c>
      <c r="D888" s="8" t="s">
        <v>117</v>
      </c>
      <c r="E888" s="8" t="s">
        <v>84</v>
      </c>
      <c r="F888" s="8" t="s">
        <v>134</v>
      </c>
      <c r="G888" s="6">
        <v>48</v>
      </c>
      <c r="H888" s="6">
        <v>8700</v>
      </c>
      <c r="I888" s="6">
        <v>0</v>
      </c>
      <c r="J888" s="6">
        <f t="shared" si="26"/>
        <v>417600</v>
      </c>
      <c r="K888" s="6">
        <f t="shared" si="27"/>
        <v>417600</v>
      </c>
      <c r="L888" s="8" t="s">
        <v>76</v>
      </c>
      <c r="M888" s="8" t="s">
        <v>77</v>
      </c>
    </row>
    <row r="889" spans="1:13" x14ac:dyDescent="0.25">
      <c r="A889" s="9">
        <v>873</v>
      </c>
      <c r="B889" s="10">
        <v>45018</v>
      </c>
      <c r="C889" s="11" t="s">
        <v>114</v>
      </c>
      <c r="D889" s="11" t="s">
        <v>73</v>
      </c>
      <c r="E889" s="11" t="s">
        <v>84</v>
      </c>
      <c r="F889" s="11" t="s">
        <v>134</v>
      </c>
      <c r="G889" s="9">
        <v>14</v>
      </c>
      <c r="H889" s="9" t="s">
        <v>441</v>
      </c>
      <c r="I889" s="9">
        <v>15</v>
      </c>
      <c r="J889" s="9">
        <f t="shared" si="26"/>
        <v>149800</v>
      </c>
      <c r="K889" s="9">
        <f t="shared" si="27"/>
        <v>127330</v>
      </c>
      <c r="L889" s="11" t="s">
        <v>164</v>
      </c>
      <c r="M889" s="11" t="s">
        <v>96</v>
      </c>
    </row>
    <row r="890" spans="1:13" x14ac:dyDescent="0.25">
      <c r="A890" s="6">
        <v>874</v>
      </c>
      <c r="B890" s="7">
        <v>45277</v>
      </c>
      <c r="C890" s="8" t="s">
        <v>101</v>
      </c>
      <c r="D890" s="8" t="s">
        <v>83</v>
      </c>
      <c r="E890" s="8" t="s">
        <v>74</v>
      </c>
      <c r="F890" s="8" t="s">
        <v>75</v>
      </c>
      <c r="G890" s="6">
        <v>21</v>
      </c>
      <c r="H890" s="6">
        <v>23400</v>
      </c>
      <c r="I890" s="6">
        <v>10</v>
      </c>
      <c r="J890" s="6">
        <f t="shared" si="26"/>
        <v>491400</v>
      </c>
      <c r="K890" s="6">
        <f t="shared" si="27"/>
        <v>442260</v>
      </c>
      <c r="L890" s="8" t="s">
        <v>76</v>
      </c>
      <c r="M890" s="8" t="s">
        <v>91</v>
      </c>
    </row>
    <row r="891" spans="1:13" x14ac:dyDescent="0.25">
      <c r="A891" s="9">
        <v>875</v>
      </c>
      <c r="B891" s="10">
        <v>45263</v>
      </c>
      <c r="C891" s="11" t="s">
        <v>78</v>
      </c>
      <c r="D891" s="11" t="s">
        <v>109</v>
      </c>
      <c r="E891" s="11" t="s">
        <v>79</v>
      </c>
      <c r="F891" s="11" t="s">
        <v>172</v>
      </c>
      <c r="G891" s="9">
        <v>1</v>
      </c>
      <c r="H891" s="9">
        <v>22500</v>
      </c>
      <c r="I891" s="9">
        <v>10</v>
      </c>
      <c r="J891" s="9">
        <f t="shared" si="26"/>
        <v>22500</v>
      </c>
      <c r="K891" s="9">
        <f t="shared" si="27"/>
        <v>20250</v>
      </c>
      <c r="L891" s="11" t="s">
        <v>86</v>
      </c>
      <c r="M891" s="11" t="s">
        <v>91</v>
      </c>
    </row>
    <row r="892" spans="1:13" x14ac:dyDescent="0.25">
      <c r="A892" s="6">
        <v>876</v>
      </c>
      <c r="B892" s="7">
        <v>45640</v>
      </c>
      <c r="C892" s="8" t="s">
        <v>119</v>
      </c>
      <c r="D892" s="8" t="s">
        <v>83</v>
      </c>
      <c r="E892" s="8" t="s">
        <v>102</v>
      </c>
      <c r="F892" s="8" t="s">
        <v>137</v>
      </c>
      <c r="G892" s="6">
        <v>42</v>
      </c>
      <c r="H892" s="6">
        <v>2400</v>
      </c>
      <c r="I892" s="6">
        <v>20</v>
      </c>
      <c r="J892" s="6">
        <f t="shared" si="26"/>
        <v>100800</v>
      </c>
      <c r="K892" s="6">
        <f t="shared" si="27"/>
        <v>80640</v>
      </c>
      <c r="L892" s="8" t="s">
        <v>86</v>
      </c>
      <c r="M892" s="8" t="s">
        <v>77</v>
      </c>
    </row>
    <row r="893" spans="1:13" x14ac:dyDescent="0.25">
      <c r="A893" s="9">
        <v>877</v>
      </c>
      <c r="B893" s="10">
        <v>45614</v>
      </c>
      <c r="C893" s="11" t="s">
        <v>194</v>
      </c>
      <c r="D893" s="11" t="s">
        <v>73</v>
      </c>
      <c r="E893" s="11" t="s">
        <v>74</v>
      </c>
      <c r="F893" s="11" t="s">
        <v>140</v>
      </c>
      <c r="G893" s="9">
        <v>23</v>
      </c>
      <c r="H893" s="9">
        <v>5000</v>
      </c>
      <c r="I893" s="9">
        <v>0</v>
      </c>
      <c r="J893" s="9">
        <f t="shared" si="26"/>
        <v>115000</v>
      </c>
      <c r="K893" s="9">
        <f t="shared" si="27"/>
        <v>115000</v>
      </c>
      <c r="L893" s="11" t="s">
        <v>76</v>
      </c>
      <c r="M893" s="11" t="s">
        <v>77</v>
      </c>
    </row>
    <row r="894" spans="1:13" x14ac:dyDescent="0.25">
      <c r="A894" s="6">
        <v>878</v>
      </c>
      <c r="B894" s="7">
        <v>45400</v>
      </c>
      <c r="C894" s="8" t="s">
        <v>88</v>
      </c>
      <c r="D894" s="8" t="s">
        <v>104</v>
      </c>
      <c r="E894" s="8" t="s">
        <v>111</v>
      </c>
      <c r="F894" s="8" t="s">
        <v>192</v>
      </c>
      <c r="G894" s="6">
        <v>2</v>
      </c>
      <c r="H894" s="6">
        <v>90800</v>
      </c>
      <c r="I894" s="6">
        <v>0</v>
      </c>
      <c r="J894" s="6">
        <f t="shared" si="26"/>
        <v>181600</v>
      </c>
      <c r="K894" s="6">
        <f t="shared" si="27"/>
        <v>181600</v>
      </c>
      <c r="L894" s="8" t="s">
        <v>86</v>
      </c>
      <c r="M894" s="8" t="s">
        <v>96</v>
      </c>
    </row>
    <row r="895" spans="1:13" x14ac:dyDescent="0.25">
      <c r="A895" s="9">
        <v>879</v>
      </c>
      <c r="B895" s="10">
        <v>45019</v>
      </c>
      <c r="C895" s="11" t="s">
        <v>124</v>
      </c>
      <c r="D895" s="11" t="s">
        <v>117</v>
      </c>
      <c r="E895" s="11" t="s">
        <v>84</v>
      </c>
      <c r="F895" s="11" t="s">
        <v>90</v>
      </c>
      <c r="G895" s="9">
        <v>24</v>
      </c>
      <c r="H895" s="9" t="s">
        <v>442</v>
      </c>
      <c r="I895" s="9">
        <v>15</v>
      </c>
      <c r="J895" s="9">
        <f t="shared" si="26"/>
        <v>50400</v>
      </c>
      <c r="K895" s="9">
        <f t="shared" si="27"/>
        <v>42840</v>
      </c>
      <c r="L895" s="11" t="s">
        <v>76</v>
      </c>
      <c r="M895" s="11" t="s">
        <v>91</v>
      </c>
    </row>
    <row r="896" spans="1:13" x14ac:dyDescent="0.25">
      <c r="A896" s="6">
        <v>880</v>
      </c>
      <c r="B896" s="7">
        <v>45650</v>
      </c>
      <c r="C896" s="8" t="s">
        <v>124</v>
      </c>
      <c r="D896" s="8" t="s">
        <v>109</v>
      </c>
      <c r="E896" s="8" t="s">
        <v>79</v>
      </c>
      <c r="F896" s="8" t="s">
        <v>80</v>
      </c>
      <c r="G896" s="6">
        <v>41</v>
      </c>
      <c r="H896" s="6">
        <v>9700</v>
      </c>
      <c r="I896" s="6">
        <v>10</v>
      </c>
      <c r="J896" s="6">
        <f t="shared" si="26"/>
        <v>397700</v>
      </c>
      <c r="K896" s="6">
        <f t="shared" si="27"/>
        <v>357930</v>
      </c>
      <c r="L896" s="8" t="s">
        <v>76</v>
      </c>
      <c r="M896" s="8" t="s">
        <v>96</v>
      </c>
    </row>
    <row r="897" spans="1:13" x14ac:dyDescent="0.25">
      <c r="A897" s="9">
        <v>881</v>
      </c>
      <c r="B897" s="10">
        <v>45439</v>
      </c>
      <c r="C897" s="11" t="s">
        <v>119</v>
      </c>
      <c r="D897" s="11" t="s">
        <v>109</v>
      </c>
      <c r="E897" s="11" t="s">
        <v>102</v>
      </c>
      <c r="F897" s="11" t="s">
        <v>181</v>
      </c>
      <c r="G897" s="9">
        <v>37</v>
      </c>
      <c r="H897" s="9">
        <v>4800</v>
      </c>
      <c r="I897" s="9">
        <v>0</v>
      </c>
      <c r="J897" s="9">
        <f t="shared" si="26"/>
        <v>177600</v>
      </c>
      <c r="K897" s="9">
        <f t="shared" si="27"/>
        <v>177600</v>
      </c>
      <c r="L897" s="11" t="s">
        <v>86</v>
      </c>
      <c r="M897" s="11" t="s">
        <v>81</v>
      </c>
    </row>
    <row r="898" spans="1:13" x14ac:dyDescent="0.25">
      <c r="A898" s="6">
        <v>882</v>
      </c>
      <c r="B898" s="7">
        <v>45529</v>
      </c>
      <c r="C898" s="8" t="s">
        <v>108</v>
      </c>
      <c r="D898" s="8" t="s">
        <v>73</v>
      </c>
      <c r="E898" s="8" t="s">
        <v>84</v>
      </c>
      <c r="F898" s="8" t="s">
        <v>134</v>
      </c>
      <c r="G898" s="6">
        <v>15</v>
      </c>
      <c r="H898" s="6">
        <v>10900</v>
      </c>
      <c r="I898" s="6">
        <v>0</v>
      </c>
      <c r="J898" s="6">
        <f t="shared" ref="J898:J961" si="28">G898*H898</f>
        <v>163500</v>
      </c>
      <c r="K898" s="6">
        <f t="shared" ref="K898:K961" si="29">J898*(1-I898/100)</f>
        <v>163500</v>
      </c>
      <c r="L898" s="8" t="s">
        <v>107</v>
      </c>
      <c r="M898" s="8" t="s">
        <v>96</v>
      </c>
    </row>
    <row r="899" spans="1:13" x14ac:dyDescent="0.25">
      <c r="A899" s="9">
        <v>883</v>
      </c>
      <c r="B899" s="10">
        <v>45621</v>
      </c>
      <c r="C899" s="11" t="s">
        <v>199</v>
      </c>
      <c r="D899" s="11" t="s">
        <v>93</v>
      </c>
      <c r="E899" s="11" t="s">
        <v>102</v>
      </c>
      <c r="F899" s="11" t="s">
        <v>110</v>
      </c>
      <c r="G899" s="9">
        <v>30</v>
      </c>
      <c r="H899" s="9">
        <v>23500</v>
      </c>
      <c r="I899" s="9">
        <v>15</v>
      </c>
      <c r="J899" s="9">
        <f t="shared" si="28"/>
        <v>705000</v>
      </c>
      <c r="K899" s="9">
        <f t="shared" si="29"/>
        <v>599250</v>
      </c>
      <c r="L899" s="11" t="s">
        <v>76</v>
      </c>
      <c r="M899" s="11" t="s">
        <v>91</v>
      </c>
    </row>
    <row r="900" spans="1:13" x14ac:dyDescent="0.25">
      <c r="A900" s="6">
        <v>884</v>
      </c>
      <c r="B900" s="7">
        <v>45616</v>
      </c>
      <c r="C900" s="8" t="s">
        <v>443</v>
      </c>
      <c r="D900" s="8" t="s">
        <v>117</v>
      </c>
      <c r="E900" s="8" t="s">
        <v>111</v>
      </c>
      <c r="F900" s="8" t="s">
        <v>165</v>
      </c>
      <c r="G900" s="6">
        <v>44</v>
      </c>
      <c r="H900" s="6" t="s">
        <v>444</v>
      </c>
      <c r="I900" s="6">
        <v>0</v>
      </c>
      <c r="J900" s="6" t="e">
        <f t="shared" si="28"/>
        <v>#VALUE!</v>
      </c>
      <c r="K900" s="6" t="e">
        <f t="shared" si="29"/>
        <v>#VALUE!</v>
      </c>
      <c r="L900" s="8" t="s">
        <v>76</v>
      </c>
      <c r="M900" s="8" t="s">
        <v>91</v>
      </c>
    </row>
    <row r="901" spans="1:13" x14ac:dyDescent="0.25">
      <c r="A901" s="9">
        <v>885</v>
      </c>
      <c r="B901" s="11" t="s">
        <v>445</v>
      </c>
      <c r="C901" s="11" t="s">
        <v>78</v>
      </c>
      <c r="D901" s="11" t="s">
        <v>109</v>
      </c>
      <c r="E901" s="11" t="s">
        <v>79</v>
      </c>
      <c r="F901" s="11" t="s">
        <v>179</v>
      </c>
      <c r="G901" s="9">
        <v>35</v>
      </c>
      <c r="H901" s="9">
        <v>2800</v>
      </c>
      <c r="I901" s="9">
        <v>5</v>
      </c>
      <c r="J901" s="9">
        <f t="shared" si="28"/>
        <v>98000</v>
      </c>
      <c r="K901" s="9">
        <f t="shared" si="29"/>
        <v>93100</v>
      </c>
      <c r="L901" s="11" t="s">
        <v>164</v>
      </c>
      <c r="M901" s="11" t="s">
        <v>77</v>
      </c>
    </row>
    <row r="902" spans="1:13" x14ac:dyDescent="0.25">
      <c r="A902" s="6">
        <v>886</v>
      </c>
      <c r="B902" s="8" t="s">
        <v>446</v>
      </c>
      <c r="C902" s="8" t="s">
        <v>88</v>
      </c>
      <c r="D902" s="8" t="s">
        <v>73</v>
      </c>
      <c r="E902" s="8" t="s">
        <v>102</v>
      </c>
      <c r="F902" s="8" t="s">
        <v>138</v>
      </c>
      <c r="G902" s="6">
        <v>15</v>
      </c>
      <c r="H902" s="6">
        <v>7500</v>
      </c>
      <c r="I902" s="6">
        <v>0</v>
      </c>
      <c r="J902" s="6">
        <f t="shared" si="28"/>
        <v>112500</v>
      </c>
      <c r="K902" s="6">
        <f t="shared" si="29"/>
        <v>112500</v>
      </c>
      <c r="L902" s="8" t="s">
        <v>125</v>
      </c>
      <c r="M902" s="8" t="s">
        <v>91</v>
      </c>
    </row>
    <row r="903" spans="1:13" x14ac:dyDescent="0.25">
      <c r="A903" s="9">
        <v>887</v>
      </c>
      <c r="B903" s="10">
        <v>45182</v>
      </c>
      <c r="C903" s="11" t="s">
        <v>106</v>
      </c>
      <c r="D903" s="11" t="s">
        <v>109</v>
      </c>
      <c r="E903" s="11" t="s">
        <v>74</v>
      </c>
      <c r="F903" s="11" t="s">
        <v>190</v>
      </c>
      <c r="G903" s="9">
        <v>41</v>
      </c>
      <c r="H903" s="9">
        <v>29300</v>
      </c>
      <c r="I903" s="9">
        <v>5</v>
      </c>
      <c r="J903" s="9">
        <f t="shared" si="28"/>
        <v>1201300</v>
      </c>
      <c r="K903" s="9">
        <f t="shared" si="29"/>
        <v>1141235</v>
      </c>
      <c r="L903" s="11" t="s">
        <v>76</v>
      </c>
      <c r="M903" s="11"/>
    </row>
    <row r="904" spans="1:13" x14ac:dyDescent="0.25">
      <c r="A904" s="6">
        <v>888</v>
      </c>
      <c r="B904" s="8" t="s">
        <v>447</v>
      </c>
      <c r="C904" s="8" t="s">
        <v>448</v>
      </c>
      <c r="D904" s="8" t="s">
        <v>117</v>
      </c>
      <c r="E904" s="8" t="s">
        <v>74</v>
      </c>
      <c r="F904" s="8" t="s">
        <v>75</v>
      </c>
      <c r="G904" s="6">
        <v>16</v>
      </c>
      <c r="H904" s="6">
        <v>20400</v>
      </c>
      <c r="I904" s="6">
        <v>20</v>
      </c>
      <c r="J904" s="6">
        <f t="shared" si="28"/>
        <v>326400</v>
      </c>
      <c r="K904" s="6">
        <f t="shared" si="29"/>
        <v>261120</v>
      </c>
      <c r="L904" s="8" t="s">
        <v>125</v>
      </c>
      <c r="M904" s="8" t="s">
        <v>77</v>
      </c>
    </row>
    <row r="905" spans="1:13" x14ac:dyDescent="0.25">
      <c r="A905" s="9">
        <v>889</v>
      </c>
      <c r="B905" s="10">
        <v>45268</v>
      </c>
      <c r="C905" s="11" t="s">
        <v>116</v>
      </c>
      <c r="D905" s="11" t="s">
        <v>109</v>
      </c>
      <c r="E905" s="11" t="s">
        <v>79</v>
      </c>
      <c r="F905" s="11" t="s">
        <v>172</v>
      </c>
      <c r="G905" s="9">
        <v>41</v>
      </c>
      <c r="H905" s="9">
        <v>27300</v>
      </c>
      <c r="I905" s="9">
        <v>0</v>
      </c>
      <c r="J905" s="9">
        <f t="shared" si="28"/>
        <v>1119300</v>
      </c>
      <c r="K905" s="9">
        <f t="shared" si="29"/>
        <v>1119300</v>
      </c>
      <c r="L905" s="11" t="s">
        <v>76</v>
      </c>
      <c r="M905" s="11" t="s">
        <v>77</v>
      </c>
    </row>
    <row r="906" spans="1:13" x14ac:dyDescent="0.25">
      <c r="A906" s="6">
        <v>890</v>
      </c>
      <c r="B906" s="7">
        <v>44989</v>
      </c>
      <c r="C906" s="8" t="s">
        <v>78</v>
      </c>
      <c r="D906" s="8" t="s">
        <v>83</v>
      </c>
      <c r="E906" s="8" t="s">
        <v>74</v>
      </c>
      <c r="F906" s="8" t="s">
        <v>118</v>
      </c>
      <c r="G906" s="6">
        <v>4</v>
      </c>
      <c r="H906" s="6">
        <v>30700</v>
      </c>
      <c r="I906" s="6">
        <v>0</v>
      </c>
      <c r="J906" s="6">
        <f t="shared" si="28"/>
        <v>122800</v>
      </c>
      <c r="K906" s="6">
        <f t="shared" si="29"/>
        <v>122800</v>
      </c>
      <c r="L906" s="8" t="s">
        <v>107</v>
      </c>
      <c r="M906" s="8" t="s">
        <v>91</v>
      </c>
    </row>
    <row r="907" spans="1:13" x14ac:dyDescent="0.25">
      <c r="A907" s="9">
        <v>891</v>
      </c>
      <c r="B907" s="11" t="s">
        <v>449</v>
      </c>
      <c r="C907" s="11" t="s">
        <v>124</v>
      </c>
      <c r="D907" s="11" t="s">
        <v>83</v>
      </c>
      <c r="E907" s="11" t="s">
        <v>79</v>
      </c>
      <c r="F907" s="11" t="s">
        <v>131</v>
      </c>
      <c r="G907" s="9">
        <v>36</v>
      </c>
      <c r="H907" s="9">
        <v>128300</v>
      </c>
      <c r="I907" s="9">
        <v>5</v>
      </c>
      <c r="J907" s="9">
        <f t="shared" si="28"/>
        <v>4618800</v>
      </c>
      <c r="K907" s="9">
        <f t="shared" si="29"/>
        <v>4387860</v>
      </c>
      <c r="L907" s="11" t="s">
        <v>164</v>
      </c>
      <c r="M907" s="11" t="s">
        <v>91</v>
      </c>
    </row>
    <row r="908" spans="1:13" x14ac:dyDescent="0.25">
      <c r="A908" s="6">
        <v>892</v>
      </c>
      <c r="B908" s="7">
        <v>45025</v>
      </c>
      <c r="C908" s="8" t="s">
        <v>214</v>
      </c>
      <c r="D908" s="8" t="s">
        <v>83</v>
      </c>
      <c r="E908" s="8" t="s">
        <v>84</v>
      </c>
      <c r="F908" s="8" t="s">
        <v>206</v>
      </c>
      <c r="G908" s="6">
        <v>30</v>
      </c>
      <c r="H908" s="6">
        <v>14200</v>
      </c>
      <c r="I908" s="6">
        <v>0</v>
      </c>
      <c r="J908" s="6">
        <f t="shared" si="28"/>
        <v>426000</v>
      </c>
      <c r="K908" s="6">
        <f t="shared" si="29"/>
        <v>426000</v>
      </c>
      <c r="L908" s="8" t="s">
        <v>86</v>
      </c>
      <c r="M908" s="8" t="s">
        <v>77</v>
      </c>
    </row>
    <row r="909" spans="1:13" x14ac:dyDescent="0.25">
      <c r="A909" s="9">
        <v>893</v>
      </c>
      <c r="B909" s="10">
        <v>45593</v>
      </c>
      <c r="C909" s="11" t="s">
        <v>78</v>
      </c>
      <c r="D909" s="11" t="s">
        <v>83</v>
      </c>
      <c r="E909" s="11" t="s">
        <v>213</v>
      </c>
      <c r="F909" s="11" t="s">
        <v>157</v>
      </c>
      <c r="G909" s="9">
        <v>7</v>
      </c>
      <c r="H909" s="9">
        <v>12600</v>
      </c>
      <c r="I909" s="9">
        <v>10</v>
      </c>
      <c r="J909" s="9">
        <f t="shared" si="28"/>
        <v>88200</v>
      </c>
      <c r="K909" s="9">
        <f t="shared" si="29"/>
        <v>79380</v>
      </c>
      <c r="L909" s="11" t="s">
        <v>76</v>
      </c>
      <c r="M909" s="11" t="s">
        <v>77</v>
      </c>
    </row>
    <row r="910" spans="1:13" x14ac:dyDescent="0.25">
      <c r="A910" s="6">
        <v>364</v>
      </c>
      <c r="B910" s="7">
        <v>45314</v>
      </c>
      <c r="C910" s="8" t="s">
        <v>88</v>
      </c>
      <c r="D910" s="8" t="s">
        <v>93</v>
      </c>
      <c r="E910" s="8" t="s">
        <v>111</v>
      </c>
      <c r="F910" s="8" t="s">
        <v>112</v>
      </c>
      <c r="G910" s="6">
        <v>37</v>
      </c>
      <c r="H910" s="6">
        <v>72000</v>
      </c>
      <c r="I910" s="6">
        <v>0</v>
      </c>
      <c r="J910" s="6">
        <f t="shared" si="28"/>
        <v>2664000</v>
      </c>
      <c r="K910" s="6">
        <f t="shared" si="29"/>
        <v>2664000</v>
      </c>
      <c r="L910" s="8" t="s">
        <v>86</v>
      </c>
      <c r="M910" s="8" t="s">
        <v>81</v>
      </c>
    </row>
    <row r="911" spans="1:13" x14ac:dyDescent="0.25">
      <c r="A911" s="9">
        <v>894</v>
      </c>
      <c r="B911" s="11" t="s">
        <v>450</v>
      </c>
      <c r="C911" s="11" t="s">
        <v>124</v>
      </c>
      <c r="D911" s="11" t="s">
        <v>109</v>
      </c>
      <c r="E911" s="11" t="s">
        <v>102</v>
      </c>
      <c r="F911" s="11" t="s">
        <v>110</v>
      </c>
      <c r="G911" s="9">
        <v>31</v>
      </c>
      <c r="H911" s="9">
        <v>21800</v>
      </c>
      <c r="I911" s="9">
        <v>0</v>
      </c>
      <c r="J911" s="9">
        <f t="shared" si="28"/>
        <v>675800</v>
      </c>
      <c r="K911" s="9">
        <f t="shared" si="29"/>
        <v>675800</v>
      </c>
      <c r="L911" s="11" t="s">
        <v>86</v>
      </c>
      <c r="M911" s="11" t="s">
        <v>91</v>
      </c>
    </row>
    <row r="912" spans="1:13" x14ac:dyDescent="0.25">
      <c r="A912" s="6">
        <v>895</v>
      </c>
      <c r="B912" s="7">
        <v>45175</v>
      </c>
      <c r="C912" s="8" t="s">
        <v>290</v>
      </c>
      <c r="D912" s="8" t="s">
        <v>73</v>
      </c>
      <c r="E912" s="8" t="s">
        <v>79</v>
      </c>
      <c r="F912" s="8" t="s">
        <v>122</v>
      </c>
      <c r="G912" s="6">
        <v>28</v>
      </c>
      <c r="H912" s="6">
        <v>17600</v>
      </c>
      <c r="I912" s="6">
        <v>0</v>
      </c>
      <c r="J912" s="6">
        <f t="shared" si="28"/>
        <v>492800</v>
      </c>
      <c r="K912" s="6">
        <f t="shared" si="29"/>
        <v>492800</v>
      </c>
      <c r="L912" s="8" t="s">
        <v>76</v>
      </c>
      <c r="M912" s="8" t="s">
        <v>96</v>
      </c>
    </row>
    <row r="913" spans="1:13" x14ac:dyDescent="0.25">
      <c r="A913" s="9">
        <v>896</v>
      </c>
      <c r="B913" s="10">
        <v>45524</v>
      </c>
      <c r="C913" s="11" t="s">
        <v>82</v>
      </c>
      <c r="D913" s="11" t="s">
        <v>109</v>
      </c>
      <c r="E913" s="11" t="s">
        <v>84</v>
      </c>
      <c r="F913" s="11" t="s">
        <v>85</v>
      </c>
      <c r="G913" s="9">
        <v>22</v>
      </c>
      <c r="H913" s="9">
        <v>5300</v>
      </c>
      <c r="I913" s="9">
        <v>10</v>
      </c>
      <c r="J913" s="9">
        <f t="shared" si="28"/>
        <v>116600</v>
      </c>
      <c r="K913" s="9">
        <f t="shared" si="29"/>
        <v>104940</v>
      </c>
      <c r="L913" s="11" t="s">
        <v>174</v>
      </c>
      <c r="M913" s="11" t="s">
        <v>77</v>
      </c>
    </row>
    <row r="914" spans="1:13" x14ac:dyDescent="0.25">
      <c r="A914" s="6">
        <v>897</v>
      </c>
      <c r="B914" s="7">
        <v>45527</v>
      </c>
      <c r="C914" s="8" t="s">
        <v>108</v>
      </c>
      <c r="D914" s="8" t="s">
        <v>73</v>
      </c>
      <c r="E914" s="8" t="s">
        <v>84</v>
      </c>
      <c r="F914" s="8" t="s">
        <v>206</v>
      </c>
      <c r="G914" s="6">
        <v>13</v>
      </c>
      <c r="H914" s="6">
        <v>14100</v>
      </c>
      <c r="I914" s="6">
        <v>20</v>
      </c>
      <c r="J914" s="6">
        <f t="shared" si="28"/>
        <v>183300</v>
      </c>
      <c r="K914" s="6">
        <f t="shared" si="29"/>
        <v>146640</v>
      </c>
      <c r="L914" s="8" t="s">
        <v>125</v>
      </c>
      <c r="M914" s="8" t="s">
        <v>81</v>
      </c>
    </row>
    <row r="915" spans="1:13" x14ac:dyDescent="0.25">
      <c r="A915" s="9">
        <v>898</v>
      </c>
      <c r="B915" s="10">
        <v>44997</v>
      </c>
      <c r="C915" s="11" t="s">
        <v>88</v>
      </c>
      <c r="D915" s="11" t="s">
        <v>109</v>
      </c>
      <c r="E915" s="11" t="s">
        <v>111</v>
      </c>
      <c r="F915" s="11" t="s">
        <v>159</v>
      </c>
      <c r="G915" s="9">
        <v>22</v>
      </c>
      <c r="H915" s="9">
        <v>12600</v>
      </c>
      <c r="I915" s="9"/>
      <c r="J915" s="9">
        <f t="shared" si="28"/>
        <v>277200</v>
      </c>
      <c r="K915" s="9">
        <f t="shared" si="29"/>
        <v>277200</v>
      </c>
      <c r="L915" s="11" t="s">
        <v>107</v>
      </c>
      <c r="M915" s="11" t="s">
        <v>96</v>
      </c>
    </row>
    <row r="916" spans="1:13" x14ac:dyDescent="0.25">
      <c r="A916" s="6">
        <v>899</v>
      </c>
      <c r="B916" s="7">
        <v>45233</v>
      </c>
      <c r="C916" s="8" t="s">
        <v>114</v>
      </c>
      <c r="D916" s="8" t="s">
        <v>451</v>
      </c>
      <c r="E916" s="8" t="s">
        <v>84</v>
      </c>
      <c r="F916" s="8" t="s">
        <v>150</v>
      </c>
      <c r="G916" s="6">
        <v>3</v>
      </c>
      <c r="H916" s="6">
        <v>5600</v>
      </c>
      <c r="I916" s="6">
        <v>15</v>
      </c>
      <c r="J916" s="6">
        <f t="shared" si="28"/>
        <v>16800</v>
      </c>
      <c r="K916" s="6">
        <f t="shared" si="29"/>
        <v>14280</v>
      </c>
      <c r="L916" s="8" t="s">
        <v>76</v>
      </c>
      <c r="M916" s="8" t="s">
        <v>77</v>
      </c>
    </row>
    <row r="917" spans="1:13" x14ac:dyDescent="0.25">
      <c r="A917" s="9">
        <v>126</v>
      </c>
      <c r="B917" s="10">
        <v>45198</v>
      </c>
      <c r="C917" s="11" t="s">
        <v>78</v>
      </c>
      <c r="D917" s="11" t="s">
        <v>109</v>
      </c>
      <c r="E917" s="11" t="s">
        <v>111</v>
      </c>
      <c r="F917" s="11" t="s">
        <v>112</v>
      </c>
      <c r="G917" s="9">
        <v>31</v>
      </c>
      <c r="H917" s="9">
        <v>70600</v>
      </c>
      <c r="I917" s="9">
        <v>10</v>
      </c>
      <c r="J917" s="9">
        <f t="shared" si="28"/>
        <v>2188600</v>
      </c>
      <c r="K917" s="9">
        <f t="shared" si="29"/>
        <v>1969740</v>
      </c>
      <c r="L917" s="11" t="s">
        <v>76</v>
      </c>
      <c r="M917" s="11" t="s">
        <v>96</v>
      </c>
    </row>
    <row r="918" spans="1:13" x14ac:dyDescent="0.25">
      <c r="A918" s="6">
        <v>900</v>
      </c>
      <c r="B918" s="7">
        <v>45155</v>
      </c>
      <c r="C918" s="8" t="s">
        <v>106</v>
      </c>
      <c r="D918" s="8" t="s">
        <v>186</v>
      </c>
      <c r="E918" s="8" t="s">
        <v>102</v>
      </c>
      <c r="F918" s="8" t="s">
        <v>181</v>
      </c>
      <c r="G918" s="6">
        <v>48</v>
      </c>
      <c r="H918" s="6">
        <v>4300</v>
      </c>
      <c r="I918" s="6">
        <v>20</v>
      </c>
      <c r="J918" s="6">
        <f t="shared" si="28"/>
        <v>206400</v>
      </c>
      <c r="K918" s="6">
        <f t="shared" si="29"/>
        <v>165120</v>
      </c>
      <c r="L918" s="8" t="s">
        <v>86</v>
      </c>
      <c r="M918" s="8" t="s">
        <v>96</v>
      </c>
    </row>
    <row r="919" spans="1:13" x14ac:dyDescent="0.25">
      <c r="A919" s="9">
        <v>901</v>
      </c>
      <c r="B919" s="10">
        <v>45311</v>
      </c>
      <c r="C919" s="11" t="s">
        <v>106</v>
      </c>
      <c r="D919" s="11" t="s">
        <v>83</v>
      </c>
      <c r="E919" s="11" t="s">
        <v>84</v>
      </c>
      <c r="F919" s="11" t="s">
        <v>206</v>
      </c>
      <c r="G919" s="9">
        <v>5</v>
      </c>
      <c r="H919" s="9">
        <v>13900</v>
      </c>
      <c r="I919" s="9">
        <v>0</v>
      </c>
      <c r="J919" s="9">
        <f t="shared" si="28"/>
        <v>69500</v>
      </c>
      <c r="K919" s="9">
        <f t="shared" si="29"/>
        <v>69500</v>
      </c>
      <c r="L919" s="11" t="s">
        <v>76</v>
      </c>
      <c r="M919" s="11" t="s">
        <v>77</v>
      </c>
    </row>
    <row r="920" spans="1:13" x14ac:dyDescent="0.25">
      <c r="A920" s="6">
        <v>396</v>
      </c>
      <c r="B920" s="7">
        <v>45294</v>
      </c>
      <c r="C920" s="8" t="s">
        <v>82</v>
      </c>
      <c r="D920" s="8" t="s">
        <v>117</v>
      </c>
      <c r="E920" s="8" t="s">
        <v>84</v>
      </c>
      <c r="F920" s="8" t="s">
        <v>128</v>
      </c>
      <c r="G920" s="6">
        <v>31</v>
      </c>
      <c r="H920" s="6">
        <v>4100</v>
      </c>
      <c r="I920" s="6">
        <v>15</v>
      </c>
      <c r="J920" s="6">
        <f t="shared" si="28"/>
        <v>127100</v>
      </c>
      <c r="K920" s="6">
        <f t="shared" si="29"/>
        <v>108035</v>
      </c>
      <c r="L920" s="8" t="s">
        <v>76</v>
      </c>
      <c r="M920" s="8" t="s">
        <v>96</v>
      </c>
    </row>
    <row r="921" spans="1:13" x14ac:dyDescent="0.25">
      <c r="A921" s="9">
        <v>902</v>
      </c>
      <c r="B921" s="10">
        <v>45224</v>
      </c>
      <c r="C921" s="11" t="s">
        <v>119</v>
      </c>
      <c r="D921" s="11" t="s">
        <v>109</v>
      </c>
      <c r="E921" s="11" t="s">
        <v>102</v>
      </c>
      <c r="F921" s="11" t="s">
        <v>157</v>
      </c>
      <c r="G921" s="9">
        <v>2</v>
      </c>
      <c r="H921" s="9">
        <v>10900</v>
      </c>
      <c r="I921" s="9">
        <v>0</v>
      </c>
      <c r="J921" s="9">
        <f t="shared" si="28"/>
        <v>21800</v>
      </c>
      <c r="K921" s="9">
        <f t="shared" si="29"/>
        <v>21800</v>
      </c>
      <c r="L921" s="11" t="s">
        <v>229</v>
      </c>
      <c r="M921" s="11" t="s">
        <v>96</v>
      </c>
    </row>
    <row r="922" spans="1:13" x14ac:dyDescent="0.25">
      <c r="A922" s="6">
        <v>903</v>
      </c>
      <c r="B922" s="7">
        <v>45151</v>
      </c>
      <c r="C922" s="8" t="s">
        <v>101</v>
      </c>
      <c r="D922" s="8" t="s">
        <v>109</v>
      </c>
      <c r="E922" s="8" t="s">
        <v>74</v>
      </c>
      <c r="F922" s="8" t="s">
        <v>75</v>
      </c>
      <c r="G922" s="6">
        <v>2</v>
      </c>
      <c r="H922" s="6">
        <v>20800</v>
      </c>
      <c r="I922" s="6">
        <v>0</v>
      </c>
      <c r="J922" s="6">
        <f t="shared" si="28"/>
        <v>41600</v>
      </c>
      <c r="K922" s="6">
        <f t="shared" si="29"/>
        <v>41600</v>
      </c>
      <c r="L922" s="8" t="s">
        <v>76</v>
      </c>
      <c r="M922" s="8" t="s">
        <v>96</v>
      </c>
    </row>
    <row r="923" spans="1:13" x14ac:dyDescent="0.25">
      <c r="A923" s="9">
        <v>904</v>
      </c>
      <c r="B923" s="10">
        <v>44948</v>
      </c>
      <c r="C923" s="11" t="s">
        <v>108</v>
      </c>
      <c r="D923" s="11" t="s">
        <v>83</v>
      </c>
      <c r="E923" s="11" t="s">
        <v>79</v>
      </c>
      <c r="F923" s="11" t="s">
        <v>120</v>
      </c>
      <c r="G923" s="9">
        <v>20</v>
      </c>
      <c r="H923" s="9">
        <v>6800</v>
      </c>
      <c r="I923" s="9">
        <v>20</v>
      </c>
      <c r="J923" s="9">
        <f t="shared" si="28"/>
        <v>136000</v>
      </c>
      <c r="K923" s="9">
        <f t="shared" si="29"/>
        <v>108800</v>
      </c>
      <c r="L923" s="11" t="s">
        <v>164</v>
      </c>
      <c r="M923" s="11" t="s">
        <v>96</v>
      </c>
    </row>
    <row r="924" spans="1:13" x14ac:dyDescent="0.25">
      <c r="A924" s="6">
        <v>905</v>
      </c>
      <c r="B924" s="7">
        <v>45308</v>
      </c>
      <c r="C924" s="8" t="s">
        <v>327</v>
      </c>
      <c r="D924" s="8" t="s">
        <v>93</v>
      </c>
      <c r="E924" s="8" t="s">
        <v>102</v>
      </c>
      <c r="F924" s="8" t="s">
        <v>151</v>
      </c>
      <c r="G924" s="6">
        <v>5</v>
      </c>
      <c r="H924" s="6" t="s">
        <v>452</v>
      </c>
      <c r="I924" s="6">
        <v>20</v>
      </c>
      <c r="J924" s="6">
        <f t="shared" si="28"/>
        <v>42000</v>
      </c>
      <c r="K924" s="6">
        <f t="shared" si="29"/>
        <v>33600</v>
      </c>
      <c r="L924" s="8" t="s">
        <v>76</v>
      </c>
      <c r="M924" s="8" t="s">
        <v>81</v>
      </c>
    </row>
    <row r="925" spans="1:13" x14ac:dyDescent="0.25">
      <c r="A925" s="9">
        <v>906</v>
      </c>
      <c r="B925" s="10">
        <v>45121</v>
      </c>
      <c r="C925" s="11" t="s">
        <v>106</v>
      </c>
      <c r="D925" s="11" t="s">
        <v>93</v>
      </c>
      <c r="E925" s="11" t="s">
        <v>111</v>
      </c>
      <c r="F925" s="11" t="s">
        <v>132</v>
      </c>
      <c r="G925" s="9">
        <v>28</v>
      </c>
      <c r="H925" s="9">
        <v>7300</v>
      </c>
      <c r="I925" s="9">
        <v>0</v>
      </c>
      <c r="J925" s="9">
        <f t="shared" si="28"/>
        <v>204400</v>
      </c>
      <c r="K925" s="9">
        <f t="shared" si="29"/>
        <v>204400</v>
      </c>
      <c r="L925" s="11" t="s">
        <v>125</v>
      </c>
      <c r="M925" s="11" t="s">
        <v>81</v>
      </c>
    </row>
    <row r="926" spans="1:13" x14ac:dyDescent="0.25">
      <c r="A926" s="6">
        <v>907</v>
      </c>
      <c r="B926" s="8" t="s">
        <v>453</v>
      </c>
      <c r="C926" s="8" t="s">
        <v>124</v>
      </c>
      <c r="D926" s="8" t="s">
        <v>109</v>
      </c>
      <c r="E926" s="8" t="s">
        <v>102</v>
      </c>
      <c r="F926" s="8" t="s">
        <v>110</v>
      </c>
      <c r="G926" s="6">
        <v>21</v>
      </c>
      <c r="H926" s="6">
        <v>24100</v>
      </c>
      <c r="I926" s="6">
        <v>20</v>
      </c>
      <c r="J926" s="6">
        <f t="shared" si="28"/>
        <v>506100</v>
      </c>
      <c r="K926" s="6">
        <f t="shared" si="29"/>
        <v>404880</v>
      </c>
      <c r="L926" s="8" t="s">
        <v>76</v>
      </c>
      <c r="M926" s="8" t="s">
        <v>96</v>
      </c>
    </row>
    <row r="927" spans="1:13" x14ac:dyDescent="0.25">
      <c r="A927" s="9">
        <v>908</v>
      </c>
      <c r="B927" s="13">
        <v>45056</v>
      </c>
      <c r="C927" s="11" t="s">
        <v>82</v>
      </c>
      <c r="D927" s="11"/>
      <c r="E927" s="11" t="s">
        <v>111</v>
      </c>
      <c r="F927" s="11" t="s">
        <v>156</v>
      </c>
      <c r="G927" s="9">
        <v>31</v>
      </c>
      <c r="H927" s="9">
        <v>45400</v>
      </c>
      <c r="I927" s="9">
        <v>0</v>
      </c>
      <c r="J927" s="9">
        <f t="shared" si="28"/>
        <v>1407400</v>
      </c>
      <c r="K927" s="9">
        <f t="shared" si="29"/>
        <v>1407400</v>
      </c>
      <c r="L927" s="11" t="s">
        <v>86</v>
      </c>
      <c r="M927" s="11" t="s">
        <v>77</v>
      </c>
    </row>
    <row r="928" spans="1:13" x14ac:dyDescent="0.25">
      <c r="A928" s="6">
        <v>909</v>
      </c>
      <c r="B928" s="7">
        <v>45447</v>
      </c>
      <c r="C928" s="8" t="s">
        <v>223</v>
      </c>
      <c r="D928" s="8" t="s">
        <v>93</v>
      </c>
      <c r="E928" s="8" t="s">
        <v>74</v>
      </c>
      <c r="F928" s="8" t="s">
        <v>99</v>
      </c>
      <c r="G928" s="6">
        <v>12</v>
      </c>
      <c r="H928" s="6">
        <v>3600</v>
      </c>
      <c r="I928" s="6">
        <v>10</v>
      </c>
      <c r="J928" s="6">
        <f t="shared" si="28"/>
        <v>43200</v>
      </c>
      <c r="K928" s="6">
        <f t="shared" si="29"/>
        <v>38880</v>
      </c>
      <c r="L928" s="8" t="s">
        <v>76</v>
      </c>
      <c r="M928" s="8" t="s">
        <v>96</v>
      </c>
    </row>
    <row r="929" spans="1:13" x14ac:dyDescent="0.25">
      <c r="A929" s="9">
        <v>910</v>
      </c>
      <c r="B929" s="10">
        <v>45638</v>
      </c>
      <c r="C929" s="11" t="s">
        <v>119</v>
      </c>
      <c r="D929" s="11" t="s">
        <v>83</v>
      </c>
      <c r="E929" s="11" t="s">
        <v>111</v>
      </c>
      <c r="F929" s="11" t="s">
        <v>135</v>
      </c>
      <c r="G929" s="9">
        <v>41</v>
      </c>
      <c r="H929" s="9">
        <v>120200</v>
      </c>
      <c r="I929" s="9">
        <v>0</v>
      </c>
      <c r="J929" s="9">
        <f t="shared" si="28"/>
        <v>4928200</v>
      </c>
      <c r="K929" s="9">
        <f t="shared" si="29"/>
        <v>4928200</v>
      </c>
      <c r="L929" s="11" t="s">
        <v>107</v>
      </c>
      <c r="M929" s="11" t="s">
        <v>77</v>
      </c>
    </row>
    <row r="930" spans="1:13" x14ac:dyDescent="0.25">
      <c r="A930" s="6">
        <v>911</v>
      </c>
      <c r="B930" s="8" t="s">
        <v>454</v>
      </c>
      <c r="C930" s="8" t="s">
        <v>455</v>
      </c>
      <c r="D930" s="8" t="s">
        <v>83</v>
      </c>
      <c r="E930" s="8" t="s">
        <v>84</v>
      </c>
      <c r="F930" s="8" t="s">
        <v>148</v>
      </c>
      <c r="G930" s="6">
        <v>28</v>
      </c>
      <c r="H930" s="6">
        <v>4600</v>
      </c>
      <c r="I930" s="6">
        <v>20</v>
      </c>
      <c r="J930" s="6">
        <f t="shared" si="28"/>
        <v>128800</v>
      </c>
      <c r="K930" s="6">
        <f t="shared" si="29"/>
        <v>103040</v>
      </c>
      <c r="L930" s="8" t="s">
        <v>107</v>
      </c>
      <c r="M930" s="8" t="s">
        <v>81</v>
      </c>
    </row>
    <row r="931" spans="1:13" x14ac:dyDescent="0.25">
      <c r="A931" s="9">
        <v>912</v>
      </c>
      <c r="B931" s="10">
        <v>45310</v>
      </c>
      <c r="C931" s="11" t="s">
        <v>101</v>
      </c>
      <c r="D931" s="11" t="s">
        <v>93</v>
      </c>
      <c r="E931" s="11" t="s">
        <v>79</v>
      </c>
      <c r="F931" s="11" t="s">
        <v>122</v>
      </c>
      <c r="G931" s="9">
        <v>19</v>
      </c>
      <c r="H931" s="9">
        <v>19600</v>
      </c>
      <c r="I931" s="9">
        <v>0</v>
      </c>
      <c r="J931" s="9">
        <f t="shared" si="28"/>
        <v>372400</v>
      </c>
      <c r="K931" s="9">
        <f t="shared" si="29"/>
        <v>372400</v>
      </c>
      <c r="L931" s="11" t="s">
        <v>174</v>
      </c>
      <c r="M931" s="11" t="s">
        <v>96</v>
      </c>
    </row>
    <row r="932" spans="1:13" x14ac:dyDescent="0.25">
      <c r="A932" s="6">
        <v>913</v>
      </c>
      <c r="B932" s="7">
        <v>45524</v>
      </c>
      <c r="C932" s="8" t="s">
        <v>78</v>
      </c>
      <c r="D932" s="8" t="s">
        <v>83</v>
      </c>
      <c r="E932" s="8" t="s">
        <v>213</v>
      </c>
      <c r="F932" s="8" t="s">
        <v>157</v>
      </c>
      <c r="G932" s="6">
        <v>30</v>
      </c>
      <c r="H932" s="6">
        <v>12100</v>
      </c>
      <c r="I932" s="6">
        <v>20</v>
      </c>
      <c r="J932" s="6">
        <f t="shared" si="28"/>
        <v>363000</v>
      </c>
      <c r="K932" s="6">
        <f t="shared" si="29"/>
        <v>290400</v>
      </c>
      <c r="L932" s="8" t="s">
        <v>76</v>
      </c>
      <c r="M932" s="8" t="s">
        <v>96</v>
      </c>
    </row>
    <row r="933" spans="1:13" x14ac:dyDescent="0.25">
      <c r="A933" s="9">
        <v>914</v>
      </c>
      <c r="B933" s="11" t="s">
        <v>456</v>
      </c>
      <c r="C933" s="11" t="s">
        <v>88</v>
      </c>
      <c r="D933" s="11" t="s">
        <v>117</v>
      </c>
      <c r="E933" s="11" t="s">
        <v>111</v>
      </c>
      <c r="F933" s="11" t="s">
        <v>192</v>
      </c>
      <c r="G933" s="9">
        <v>15</v>
      </c>
      <c r="H933" s="9">
        <v>89800</v>
      </c>
      <c r="I933" s="9">
        <v>0</v>
      </c>
      <c r="J933" s="9">
        <f t="shared" si="28"/>
        <v>1347000</v>
      </c>
      <c r="K933" s="9">
        <f t="shared" si="29"/>
        <v>1347000</v>
      </c>
      <c r="L933" s="11" t="s">
        <v>174</v>
      </c>
      <c r="M933" s="11" t="s">
        <v>77</v>
      </c>
    </row>
    <row r="934" spans="1:13" x14ac:dyDescent="0.25">
      <c r="A934" s="6">
        <v>915</v>
      </c>
      <c r="B934" s="7">
        <v>45011</v>
      </c>
      <c r="C934" s="8" t="s">
        <v>101</v>
      </c>
      <c r="D934" s="8" t="s">
        <v>93</v>
      </c>
      <c r="E934" s="8" t="s">
        <v>102</v>
      </c>
      <c r="F934" s="8" t="s">
        <v>137</v>
      </c>
      <c r="G934" s="6">
        <v>15</v>
      </c>
      <c r="H934" s="6">
        <v>2400</v>
      </c>
      <c r="I934" s="6">
        <v>0</v>
      </c>
      <c r="J934" s="6">
        <f t="shared" si="28"/>
        <v>36000</v>
      </c>
      <c r="K934" s="6">
        <f t="shared" si="29"/>
        <v>36000</v>
      </c>
      <c r="L934" s="8" t="s">
        <v>76</v>
      </c>
      <c r="M934" s="8" t="s">
        <v>77</v>
      </c>
    </row>
    <row r="935" spans="1:13" x14ac:dyDescent="0.25">
      <c r="A935" s="9">
        <v>916</v>
      </c>
      <c r="B935" s="10">
        <v>44966</v>
      </c>
      <c r="C935" s="11" t="s">
        <v>82</v>
      </c>
      <c r="D935" s="11" t="s">
        <v>109</v>
      </c>
      <c r="E935" s="11" t="s">
        <v>74</v>
      </c>
      <c r="F935" s="11" t="s">
        <v>75</v>
      </c>
      <c r="G935" s="9">
        <v>17</v>
      </c>
      <c r="H935" s="9" t="s">
        <v>457</v>
      </c>
      <c r="I935" s="9">
        <v>0</v>
      </c>
      <c r="J935" s="9" t="e">
        <f t="shared" si="28"/>
        <v>#VALUE!</v>
      </c>
      <c r="K935" s="9" t="e">
        <f t="shared" si="29"/>
        <v>#VALUE!</v>
      </c>
      <c r="L935" s="11" t="s">
        <v>76</v>
      </c>
      <c r="M935" s="11" t="s">
        <v>96</v>
      </c>
    </row>
    <row r="936" spans="1:13" x14ac:dyDescent="0.25">
      <c r="A936" s="6">
        <v>917</v>
      </c>
      <c r="B936" s="7">
        <v>45649</v>
      </c>
      <c r="C936" s="8" t="s">
        <v>124</v>
      </c>
      <c r="D936" s="8" t="s">
        <v>109</v>
      </c>
      <c r="E936" s="8" t="s">
        <v>213</v>
      </c>
      <c r="F936" s="8" t="s">
        <v>110</v>
      </c>
      <c r="G936" s="6">
        <v>20</v>
      </c>
      <c r="H936" s="6">
        <v>19800</v>
      </c>
      <c r="I936" s="6">
        <v>20</v>
      </c>
      <c r="J936" s="6">
        <f t="shared" si="28"/>
        <v>396000</v>
      </c>
      <c r="K936" s="6">
        <f t="shared" si="29"/>
        <v>316800</v>
      </c>
      <c r="L936" s="8" t="s">
        <v>164</v>
      </c>
      <c r="M936" s="8" t="s">
        <v>96</v>
      </c>
    </row>
    <row r="937" spans="1:13" x14ac:dyDescent="0.25">
      <c r="A937" s="9">
        <v>918</v>
      </c>
      <c r="B937" s="10">
        <v>45340</v>
      </c>
      <c r="C937" s="11" t="s">
        <v>114</v>
      </c>
      <c r="D937" s="11" t="s">
        <v>93</v>
      </c>
      <c r="E937" s="11" t="s">
        <v>79</v>
      </c>
      <c r="F937" s="11" t="s">
        <v>172</v>
      </c>
      <c r="G937" s="9">
        <v>49</v>
      </c>
      <c r="H937" s="9">
        <v>26600</v>
      </c>
      <c r="I937" s="9">
        <v>0</v>
      </c>
      <c r="J937" s="9">
        <f t="shared" si="28"/>
        <v>1303400</v>
      </c>
      <c r="K937" s="9">
        <f t="shared" si="29"/>
        <v>1303400</v>
      </c>
      <c r="L937" s="11" t="s">
        <v>125</v>
      </c>
      <c r="M937" s="11" t="s">
        <v>91</v>
      </c>
    </row>
    <row r="938" spans="1:13" x14ac:dyDescent="0.25">
      <c r="A938" s="6">
        <v>919</v>
      </c>
      <c r="B938" s="7">
        <v>45159</v>
      </c>
      <c r="C938" s="8" t="s">
        <v>106</v>
      </c>
      <c r="D938" s="8" t="s">
        <v>83</v>
      </c>
      <c r="E938" s="8" t="s">
        <v>84</v>
      </c>
      <c r="F938" s="8" t="s">
        <v>85</v>
      </c>
      <c r="G938" s="6">
        <v>30</v>
      </c>
      <c r="H938" s="6">
        <v>5800</v>
      </c>
      <c r="I938" s="6">
        <v>0</v>
      </c>
      <c r="J938" s="6">
        <f t="shared" si="28"/>
        <v>174000</v>
      </c>
      <c r="K938" s="6">
        <f t="shared" si="29"/>
        <v>174000</v>
      </c>
      <c r="L938" s="8" t="s">
        <v>174</v>
      </c>
      <c r="M938" s="8" t="s">
        <v>77</v>
      </c>
    </row>
    <row r="939" spans="1:13" x14ac:dyDescent="0.25">
      <c r="A939" s="9">
        <v>920</v>
      </c>
      <c r="B939" s="10">
        <v>45119</v>
      </c>
      <c r="C939" s="11" t="s">
        <v>458</v>
      </c>
      <c r="D939" s="11" t="s">
        <v>83</v>
      </c>
      <c r="E939" s="11" t="s">
        <v>84</v>
      </c>
      <c r="F939" s="11" t="s">
        <v>85</v>
      </c>
      <c r="G939" s="9">
        <v>36</v>
      </c>
      <c r="H939" s="9">
        <v>5500</v>
      </c>
      <c r="I939" s="9">
        <v>10</v>
      </c>
      <c r="J939" s="9">
        <f t="shared" si="28"/>
        <v>198000</v>
      </c>
      <c r="K939" s="9">
        <f t="shared" si="29"/>
        <v>178200</v>
      </c>
      <c r="L939" s="11" t="s">
        <v>76</v>
      </c>
      <c r="M939" s="11" t="s">
        <v>81</v>
      </c>
    </row>
    <row r="940" spans="1:13" x14ac:dyDescent="0.25">
      <c r="A940" s="6">
        <v>921</v>
      </c>
      <c r="B940" s="7">
        <v>45058</v>
      </c>
      <c r="C940" s="8" t="s">
        <v>101</v>
      </c>
      <c r="D940" s="8" t="s">
        <v>73</v>
      </c>
      <c r="E940" s="8" t="s">
        <v>111</v>
      </c>
      <c r="F940" s="8" t="s">
        <v>132</v>
      </c>
      <c r="G940" s="6">
        <v>27</v>
      </c>
      <c r="H940" s="6">
        <v>7400</v>
      </c>
      <c r="I940" s="6">
        <v>20</v>
      </c>
      <c r="J940" s="6">
        <f t="shared" si="28"/>
        <v>199800</v>
      </c>
      <c r="K940" s="6">
        <f t="shared" si="29"/>
        <v>159840</v>
      </c>
      <c r="L940" s="8" t="s">
        <v>76</v>
      </c>
      <c r="M940" s="8" t="s">
        <v>91</v>
      </c>
    </row>
    <row r="941" spans="1:13" x14ac:dyDescent="0.25">
      <c r="A941" s="9">
        <v>922</v>
      </c>
      <c r="B941" s="10">
        <v>45634</v>
      </c>
      <c r="C941" s="11" t="s">
        <v>82</v>
      </c>
      <c r="D941" s="11" t="s">
        <v>117</v>
      </c>
      <c r="E941" s="11" t="s">
        <v>270</v>
      </c>
      <c r="F941" s="11" t="s">
        <v>94</v>
      </c>
      <c r="G941" s="9">
        <v>3</v>
      </c>
      <c r="H941" s="9">
        <v>36500</v>
      </c>
      <c r="I941" s="9">
        <v>0</v>
      </c>
      <c r="J941" s="9">
        <f t="shared" si="28"/>
        <v>109500</v>
      </c>
      <c r="K941" s="9">
        <f t="shared" si="29"/>
        <v>109500</v>
      </c>
      <c r="L941" s="11" t="s">
        <v>363</v>
      </c>
      <c r="M941" s="11" t="s">
        <v>81</v>
      </c>
    </row>
    <row r="942" spans="1:13" x14ac:dyDescent="0.25">
      <c r="A942" s="6">
        <v>923</v>
      </c>
      <c r="B942" s="7">
        <v>45508</v>
      </c>
      <c r="C942" s="8" t="s">
        <v>124</v>
      </c>
      <c r="D942" s="8" t="s">
        <v>93</v>
      </c>
      <c r="E942" s="8" t="s">
        <v>102</v>
      </c>
      <c r="F942" s="8" t="s">
        <v>151</v>
      </c>
      <c r="G942" s="6">
        <v>14</v>
      </c>
      <c r="H942" s="6">
        <v>8600</v>
      </c>
      <c r="I942" s="6">
        <v>10</v>
      </c>
      <c r="J942" s="6">
        <f t="shared" si="28"/>
        <v>120400</v>
      </c>
      <c r="K942" s="6">
        <f t="shared" si="29"/>
        <v>108360</v>
      </c>
      <c r="L942" s="8" t="s">
        <v>125</v>
      </c>
      <c r="M942" s="8" t="s">
        <v>77</v>
      </c>
    </row>
    <row r="943" spans="1:13" x14ac:dyDescent="0.25">
      <c r="A943" s="9">
        <v>924</v>
      </c>
      <c r="B943" s="10">
        <v>45322</v>
      </c>
      <c r="C943" s="11" t="s">
        <v>106</v>
      </c>
      <c r="D943" s="11" t="s">
        <v>83</v>
      </c>
      <c r="E943" s="11" t="s">
        <v>79</v>
      </c>
      <c r="F943" s="11" t="s">
        <v>120</v>
      </c>
      <c r="G943" s="9">
        <v>29</v>
      </c>
      <c r="H943" s="9">
        <v>6300</v>
      </c>
      <c r="I943" s="9">
        <v>0</v>
      </c>
      <c r="J943" s="9">
        <f t="shared" si="28"/>
        <v>182700</v>
      </c>
      <c r="K943" s="9">
        <f t="shared" si="29"/>
        <v>182700</v>
      </c>
      <c r="L943" s="11" t="s">
        <v>76</v>
      </c>
      <c r="M943" s="11" t="s">
        <v>96</v>
      </c>
    </row>
    <row r="944" spans="1:13" x14ac:dyDescent="0.25">
      <c r="A944" s="6">
        <v>925</v>
      </c>
      <c r="B944" s="8" t="s">
        <v>459</v>
      </c>
      <c r="C944" s="8" t="s">
        <v>97</v>
      </c>
      <c r="D944" s="8" t="s">
        <v>93</v>
      </c>
      <c r="E944" s="8" t="s">
        <v>84</v>
      </c>
      <c r="F944" s="8" t="s">
        <v>206</v>
      </c>
      <c r="G944" s="6">
        <v>39</v>
      </c>
      <c r="H944" s="6">
        <v>15500</v>
      </c>
      <c r="I944" s="6">
        <v>0</v>
      </c>
      <c r="J944" s="6">
        <f t="shared" si="28"/>
        <v>604500</v>
      </c>
      <c r="K944" s="6">
        <f t="shared" si="29"/>
        <v>604500</v>
      </c>
      <c r="L944" s="8" t="s">
        <v>76</v>
      </c>
      <c r="M944" s="8" t="s">
        <v>81</v>
      </c>
    </row>
    <row r="945" spans="1:13" x14ac:dyDescent="0.25">
      <c r="A945" s="9">
        <v>926</v>
      </c>
      <c r="B945" s="10">
        <v>44998</v>
      </c>
      <c r="C945" s="11" t="s">
        <v>114</v>
      </c>
      <c r="D945" s="11" t="s">
        <v>313</v>
      </c>
      <c r="E945" s="11" t="s">
        <v>84</v>
      </c>
      <c r="F945" s="11" t="s">
        <v>90</v>
      </c>
      <c r="G945" s="9">
        <v>34</v>
      </c>
      <c r="H945" s="9">
        <v>1800</v>
      </c>
      <c r="I945" s="9">
        <v>0</v>
      </c>
      <c r="J945" s="9">
        <f t="shared" si="28"/>
        <v>61200</v>
      </c>
      <c r="K945" s="9">
        <f t="shared" si="29"/>
        <v>61200</v>
      </c>
      <c r="L945" s="11" t="s">
        <v>76</v>
      </c>
      <c r="M945" s="11" t="s">
        <v>77</v>
      </c>
    </row>
    <row r="946" spans="1:13" x14ac:dyDescent="0.25">
      <c r="A946" s="6">
        <v>927</v>
      </c>
      <c r="B946" s="8" t="s">
        <v>460</v>
      </c>
      <c r="C946" s="8" t="s">
        <v>78</v>
      </c>
      <c r="D946" s="8" t="s">
        <v>109</v>
      </c>
      <c r="E946" s="8" t="s">
        <v>74</v>
      </c>
      <c r="F946" s="8" t="s">
        <v>140</v>
      </c>
      <c r="G946" s="6">
        <v>8</v>
      </c>
      <c r="H946" s="6">
        <v>4500</v>
      </c>
      <c r="I946" s="6">
        <v>5</v>
      </c>
      <c r="J946" s="6">
        <f t="shared" si="28"/>
        <v>36000</v>
      </c>
      <c r="K946" s="6">
        <f t="shared" si="29"/>
        <v>34200</v>
      </c>
      <c r="L946" s="8" t="s">
        <v>76</v>
      </c>
      <c r="M946" s="8" t="s">
        <v>91</v>
      </c>
    </row>
    <row r="947" spans="1:13" x14ac:dyDescent="0.25">
      <c r="A947" s="9">
        <v>928</v>
      </c>
      <c r="B947" s="10">
        <v>44997</v>
      </c>
      <c r="C947" s="11" t="s">
        <v>114</v>
      </c>
      <c r="D947" s="11" t="s">
        <v>109</v>
      </c>
      <c r="E947" s="11" t="s">
        <v>84</v>
      </c>
      <c r="F947" s="11" t="s">
        <v>90</v>
      </c>
      <c r="G947" s="9">
        <v>46</v>
      </c>
      <c r="H947" s="9">
        <v>1800</v>
      </c>
      <c r="I947" s="9">
        <v>10</v>
      </c>
      <c r="J947" s="9">
        <f t="shared" si="28"/>
        <v>82800</v>
      </c>
      <c r="K947" s="9">
        <f t="shared" si="29"/>
        <v>74520</v>
      </c>
      <c r="L947" s="11" t="s">
        <v>187</v>
      </c>
      <c r="M947" s="11" t="s">
        <v>81</v>
      </c>
    </row>
    <row r="948" spans="1:13" x14ac:dyDescent="0.25">
      <c r="A948" s="6">
        <v>929</v>
      </c>
      <c r="B948" s="7">
        <v>45515</v>
      </c>
      <c r="C948" s="8" t="s">
        <v>101</v>
      </c>
      <c r="D948" s="8" t="s">
        <v>93</v>
      </c>
      <c r="E948" s="8" t="s">
        <v>84</v>
      </c>
      <c r="F948" s="8" t="s">
        <v>85</v>
      </c>
      <c r="G948" s="6">
        <v>1</v>
      </c>
      <c r="H948" s="6">
        <v>5200</v>
      </c>
      <c r="I948" s="6">
        <v>0</v>
      </c>
      <c r="J948" s="6">
        <f t="shared" si="28"/>
        <v>5200</v>
      </c>
      <c r="K948" s="6">
        <f t="shared" si="29"/>
        <v>5200</v>
      </c>
      <c r="L948" s="8" t="s">
        <v>125</v>
      </c>
      <c r="M948" s="8" t="s">
        <v>91</v>
      </c>
    </row>
    <row r="949" spans="1:13" x14ac:dyDescent="0.25">
      <c r="A949" s="9">
        <v>930</v>
      </c>
      <c r="B949" s="10">
        <v>45335</v>
      </c>
      <c r="C949" s="11" t="s">
        <v>124</v>
      </c>
      <c r="D949" s="11" t="s">
        <v>109</v>
      </c>
      <c r="E949" s="11" t="s">
        <v>102</v>
      </c>
      <c r="F949" s="11" t="s">
        <v>157</v>
      </c>
      <c r="G949" s="9">
        <v>32</v>
      </c>
      <c r="H949" s="9">
        <v>13500</v>
      </c>
      <c r="I949" s="9">
        <v>15</v>
      </c>
      <c r="J949" s="9">
        <f t="shared" si="28"/>
        <v>432000</v>
      </c>
      <c r="K949" s="9">
        <f t="shared" si="29"/>
        <v>367200</v>
      </c>
      <c r="L949" s="11" t="s">
        <v>76</v>
      </c>
      <c r="M949" s="11" t="s">
        <v>77</v>
      </c>
    </row>
    <row r="950" spans="1:13" x14ac:dyDescent="0.25">
      <c r="A950" s="6">
        <v>931</v>
      </c>
      <c r="B950" s="7">
        <v>45020</v>
      </c>
      <c r="C950" s="8" t="s">
        <v>101</v>
      </c>
      <c r="D950" s="8" t="s">
        <v>83</v>
      </c>
      <c r="E950" s="8" t="s">
        <v>74</v>
      </c>
      <c r="F950" s="8" t="s">
        <v>190</v>
      </c>
      <c r="G950" s="6">
        <v>12</v>
      </c>
      <c r="H950" s="6">
        <v>31900</v>
      </c>
      <c r="I950" s="6">
        <v>10</v>
      </c>
      <c r="J950" s="6">
        <f t="shared" si="28"/>
        <v>382800</v>
      </c>
      <c r="K950" s="6">
        <f t="shared" si="29"/>
        <v>344520</v>
      </c>
      <c r="L950" s="8" t="s">
        <v>174</v>
      </c>
      <c r="M950" s="8" t="s">
        <v>81</v>
      </c>
    </row>
    <row r="951" spans="1:13" x14ac:dyDescent="0.25">
      <c r="A951" s="9">
        <v>932</v>
      </c>
      <c r="B951" s="10">
        <v>45369</v>
      </c>
      <c r="C951" s="11" t="s">
        <v>119</v>
      </c>
      <c r="D951" s="11" t="s">
        <v>83</v>
      </c>
      <c r="E951" s="11" t="s">
        <v>84</v>
      </c>
      <c r="F951" s="11" t="s">
        <v>150</v>
      </c>
      <c r="G951" s="9">
        <v>3</v>
      </c>
      <c r="H951" s="9">
        <v>5500</v>
      </c>
      <c r="I951" s="9">
        <v>0</v>
      </c>
      <c r="J951" s="9">
        <f t="shared" si="28"/>
        <v>16500</v>
      </c>
      <c r="K951" s="9">
        <f t="shared" si="29"/>
        <v>16500</v>
      </c>
      <c r="L951" s="11" t="s">
        <v>76</v>
      </c>
      <c r="M951" s="11" t="s">
        <v>81</v>
      </c>
    </row>
    <row r="952" spans="1:13" x14ac:dyDescent="0.25">
      <c r="A952" s="6">
        <v>933</v>
      </c>
      <c r="B952" s="7">
        <v>45570</v>
      </c>
      <c r="C952" s="8" t="s">
        <v>82</v>
      </c>
      <c r="D952" s="8" t="s">
        <v>117</v>
      </c>
      <c r="E952" s="8" t="s">
        <v>79</v>
      </c>
      <c r="F952" s="8" t="s">
        <v>80</v>
      </c>
      <c r="G952" s="6">
        <v>27</v>
      </c>
      <c r="H952" s="6">
        <v>9600</v>
      </c>
      <c r="I952" s="6">
        <v>0</v>
      </c>
      <c r="J952" s="6">
        <f t="shared" si="28"/>
        <v>259200</v>
      </c>
      <c r="K952" s="6">
        <f t="shared" si="29"/>
        <v>259200</v>
      </c>
      <c r="L952" s="8" t="s">
        <v>125</v>
      </c>
      <c r="M952" s="8" t="s">
        <v>77</v>
      </c>
    </row>
    <row r="953" spans="1:13" x14ac:dyDescent="0.25">
      <c r="A953" s="9">
        <v>934</v>
      </c>
      <c r="B953" s="10">
        <v>45005</v>
      </c>
      <c r="C953" s="11" t="s">
        <v>97</v>
      </c>
      <c r="D953" s="11" t="s">
        <v>93</v>
      </c>
      <c r="E953" s="11" t="s">
        <v>74</v>
      </c>
      <c r="F953" s="11" t="s">
        <v>140</v>
      </c>
      <c r="G953" s="9">
        <v>17</v>
      </c>
      <c r="H953" s="9">
        <v>4600</v>
      </c>
      <c r="I953" s="9">
        <v>5</v>
      </c>
      <c r="J953" s="9">
        <f t="shared" si="28"/>
        <v>78200</v>
      </c>
      <c r="K953" s="9">
        <f t="shared" si="29"/>
        <v>74290</v>
      </c>
      <c r="L953" s="11" t="s">
        <v>76</v>
      </c>
      <c r="M953" s="11" t="s">
        <v>77</v>
      </c>
    </row>
    <row r="954" spans="1:13" x14ac:dyDescent="0.25">
      <c r="A954" s="6">
        <v>935</v>
      </c>
      <c r="B954" s="7">
        <v>44954</v>
      </c>
      <c r="C954" s="8" t="s">
        <v>97</v>
      </c>
      <c r="D954" s="8" t="s">
        <v>83</v>
      </c>
      <c r="E954" s="8" t="s">
        <v>155</v>
      </c>
      <c r="F954" s="8" t="s">
        <v>132</v>
      </c>
      <c r="G954" s="6">
        <v>13</v>
      </c>
      <c r="H954" s="6">
        <v>8100</v>
      </c>
      <c r="I954" s="6">
        <v>0</v>
      </c>
      <c r="J954" s="6">
        <f t="shared" si="28"/>
        <v>105300</v>
      </c>
      <c r="K954" s="6">
        <f t="shared" si="29"/>
        <v>105300</v>
      </c>
      <c r="L954" s="8" t="s">
        <v>76</v>
      </c>
      <c r="M954" s="8" t="s">
        <v>77</v>
      </c>
    </row>
    <row r="955" spans="1:13" x14ac:dyDescent="0.25">
      <c r="A955" s="9">
        <v>936</v>
      </c>
      <c r="B955" s="10">
        <v>45044</v>
      </c>
      <c r="C955" s="11" t="s">
        <v>108</v>
      </c>
      <c r="D955" s="11" t="s">
        <v>117</v>
      </c>
      <c r="E955" s="11" t="s">
        <v>111</v>
      </c>
      <c r="F955" s="11" t="s">
        <v>159</v>
      </c>
      <c r="G955" s="9">
        <v>6</v>
      </c>
      <c r="H955" s="9">
        <v>12200</v>
      </c>
      <c r="I955" s="9">
        <v>15</v>
      </c>
      <c r="J955" s="9">
        <f t="shared" si="28"/>
        <v>73200</v>
      </c>
      <c r="K955" s="9">
        <f t="shared" si="29"/>
        <v>62220</v>
      </c>
      <c r="L955" s="11" t="s">
        <v>76</v>
      </c>
      <c r="M955" s="11" t="s">
        <v>81</v>
      </c>
    </row>
    <row r="956" spans="1:13" x14ac:dyDescent="0.25">
      <c r="A956" s="6">
        <v>937</v>
      </c>
      <c r="B956" s="7">
        <v>45375</v>
      </c>
      <c r="C956" s="8" t="s">
        <v>108</v>
      </c>
      <c r="D956" s="8" t="s">
        <v>83</v>
      </c>
      <c r="E956" s="8" t="s">
        <v>74</v>
      </c>
      <c r="F956" s="8" t="s">
        <v>142</v>
      </c>
      <c r="G956" s="6">
        <v>2</v>
      </c>
      <c r="H956" s="6">
        <v>11300</v>
      </c>
      <c r="I956" s="6">
        <v>0</v>
      </c>
      <c r="J956" s="6">
        <f t="shared" si="28"/>
        <v>22600</v>
      </c>
      <c r="K956" s="6">
        <f t="shared" si="29"/>
        <v>22600</v>
      </c>
      <c r="L956" s="8" t="s">
        <v>76</v>
      </c>
      <c r="M956" s="8" t="s">
        <v>81</v>
      </c>
    </row>
    <row r="957" spans="1:13" x14ac:dyDescent="0.25">
      <c r="A957" s="9">
        <v>938</v>
      </c>
      <c r="B957" s="10">
        <v>45054</v>
      </c>
      <c r="C957" s="11" t="s">
        <v>82</v>
      </c>
      <c r="D957" s="11" t="s">
        <v>83</v>
      </c>
      <c r="E957" s="11" t="s">
        <v>84</v>
      </c>
      <c r="F957" s="11" t="s">
        <v>150</v>
      </c>
      <c r="G957" s="9">
        <v>1</v>
      </c>
      <c r="H957" s="9">
        <v>5900</v>
      </c>
      <c r="I957" s="9">
        <v>5</v>
      </c>
      <c r="J957" s="9">
        <f t="shared" si="28"/>
        <v>5900</v>
      </c>
      <c r="K957" s="9">
        <f t="shared" si="29"/>
        <v>5605</v>
      </c>
      <c r="L957" s="11" t="s">
        <v>86</v>
      </c>
      <c r="M957" s="11" t="s">
        <v>81</v>
      </c>
    </row>
    <row r="958" spans="1:13" x14ac:dyDescent="0.25">
      <c r="A958" s="6">
        <v>939</v>
      </c>
      <c r="B958" s="7">
        <v>45293</v>
      </c>
      <c r="C958" s="8" t="s">
        <v>108</v>
      </c>
      <c r="D958" s="8" t="s">
        <v>109</v>
      </c>
      <c r="E958" s="8" t="s">
        <v>79</v>
      </c>
      <c r="F958" s="8" t="s">
        <v>80</v>
      </c>
      <c r="G958" s="6">
        <v>4</v>
      </c>
      <c r="H958" s="6">
        <v>8600</v>
      </c>
      <c r="I958" s="6">
        <v>5</v>
      </c>
      <c r="J958" s="6">
        <f t="shared" si="28"/>
        <v>34400</v>
      </c>
      <c r="K958" s="6">
        <f t="shared" si="29"/>
        <v>32680</v>
      </c>
      <c r="L958" s="8" t="s">
        <v>86</v>
      </c>
      <c r="M958" s="8" t="s">
        <v>77</v>
      </c>
    </row>
    <row r="959" spans="1:13" x14ac:dyDescent="0.25">
      <c r="A959" s="9">
        <v>940</v>
      </c>
      <c r="B959" s="11" t="s">
        <v>461</v>
      </c>
      <c r="C959" s="11" t="s">
        <v>101</v>
      </c>
      <c r="D959" s="11" t="s">
        <v>83</v>
      </c>
      <c r="E959" s="11" t="s">
        <v>79</v>
      </c>
      <c r="F959" s="11" t="s">
        <v>136</v>
      </c>
      <c r="G959" s="9">
        <v>25</v>
      </c>
      <c r="H959" s="9">
        <v>77500</v>
      </c>
      <c r="I959" s="9">
        <v>0</v>
      </c>
      <c r="J959" s="9">
        <f t="shared" si="28"/>
        <v>1937500</v>
      </c>
      <c r="K959" s="9">
        <f t="shared" si="29"/>
        <v>1937500</v>
      </c>
      <c r="L959" s="11" t="s">
        <v>86</v>
      </c>
      <c r="M959" s="11" t="s">
        <v>81</v>
      </c>
    </row>
    <row r="960" spans="1:13" x14ac:dyDescent="0.25">
      <c r="A960" s="6">
        <v>941</v>
      </c>
      <c r="B960" s="8" t="s">
        <v>462</v>
      </c>
      <c r="C960" s="8" t="s">
        <v>106</v>
      </c>
      <c r="D960" s="8" t="s">
        <v>73</v>
      </c>
      <c r="E960" s="8" t="s">
        <v>79</v>
      </c>
      <c r="F960" s="8" t="s">
        <v>115</v>
      </c>
      <c r="G960" s="6">
        <v>1</v>
      </c>
      <c r="H960" s="6">
        <v>8200</v>
      </c>
      <c r="I960" s="6">
        <v>15</v>
      </c>
      <c r="J960" s="6">
        <f t="shared" si="28"/>
        <v>8200</v>
      </c>
      <c r="K960" s="6">
        <f t="shared" si="29"/>
        <v>6970</v>
      </c>
      <c r="L960" s="8" t="s">
        <v>76</v>
      </c>
      <c r="M960" s="8" t="s">
        <v>81</v>
      </c>
    </row>
    <row r="961" spans="1:13" x14ac:dyDescent="0.25">
      <c r="A961" s="9">
        <v>942</v>
      </c>
      <c r="B961" s="10">
        <v>45612</v>
      </c>
      <c r="C961" s="11" t="s">
        <v>97</v>
      </c>
      <c r="D961" s="11" t="s">
        <v>109</v>
      </c>
      <c r="E961" s="11" t="s">
        <v>79</v>
      </c>
      <c r="F961" s="11" t="s">
        <v>122</v>
      </c>
      <c r="G961" s="9">
        <v>3</v>
      </c>
      <c r="H961" s="9">
        <v>19500</v>
      </c>
      <c r="I961" s="9">
        <v>20</v>
      </c>
      <c r="J961" s="9">
        <f t="shared" si="28"/>
        <v>58500</v>
      </c>
      <c r="K961" s="9">
        <f t="shared" si="29"/>
        <v>46800</v>
      </c>
      <c r="L961" s="11" t="s">
        <v>76</v>
      </c>
      <c r="M961" s="11"/>
    </row>
    <row r="962" spans="1:13" x14ac:dyDescent="0.25">
      <c r="A962" s="6">
        <v>943</v>
      </c>
      <c r="B962" s="7">
        <v>45261</v>
      </c>
      <c r="C962" s="8" t="s">
        <v>88</v>
      </c>
      <c r="D962" s="8" t="s">
        <v>93</v>
      </c>
      <c r="E962" s="8" t="s">
        <v>84</v>
      </c>
      <c r="F962" s="8" t="s">
        <v>90</v>
      </c>
      <c r="G962" s="6">
        <v>26</v>
      </c>
      <c r="H962" s="6">
        <v>2000</v>
      </c>
      <c r="I962" s="6">
        <v>0</v>
      </c>
      <c r="J962" s="6">
        <f t="shared" ref="J962:J1025" si="30">G962*H962</f>
        <v>52000</v>
      </c>
      <c r="K962" s="6">
        <f t="shared" ref="K962:K1025" si="31">J962*(1-I962/100)</f>
        <v>52000</v>
      </c>
      <c r="L962" s="8" t="s">
        <v>125</v>
      </c>
      <c r="M962" s="8" t="s">
        <v>77</v>
      </c>
    </row>
    <row r="963" spans="1:13" x14ac:dyDescent="0.25">
      <c r="A963" s="9">
        <v>944</v>
      </c>
      <c r="B963" s="10">
        <v>45145</v>
      </c>
      <c r="C963" s="11" t="s">
        <v>97</v>
      </c>
      <c r="D963" s="11" t="s">
        <v>117</v>
      </c>
      <c r="E963" s="11" t="s">
        <v>74</v>
      </c>
      <c r="F963" s="11" t="s">
        <v>142</v>
      </c>
      <c r="G963" s="9">
        <v>42</v>
      </c>
      <c r="H963" s="9">
        <v>10800</v>
      </c>
      <c r="I963" s="9">
        <v>0</v>
      </c>
      <c r="J963" s="9">
        <f t="shared" si="30"/>
        <v>453600</v>
      </c>
      <c r="K963" s="9">
        <f t="shared" si="31"/>
        <v>453600</v>
      </c>
      <c r="L963" s="11" t="s">
        <v>76</v>
      </c>
      <c r="M963" s="11" t="s">
        <v>91</v>
      </c>
    </row>
    <row r="964" spans="1:13" x14ac:dyDescent="0.25">
      <c r="A964" s="6">
        <v>945</v>
      </c>
      <c r="B964" s="7">
        <v>45396</v>
      </c>
      <c r="C964" s="8" t="s">
        <v>106</v>
      </c>
      <c r="D964" s="8" t="s">
        <v>73</v>
      </c>
      <c r="E964" s="8" t="s">
        <v>74</v>
      </c>
      <c r="F964" s="8" t="s">
        <v>212</v>
      </c>
      <c r="G964" s="6">
        <v>14</v>
      </c>
      <c r="H964" s="6">
        <v>7300</v>
      </c>
      <c r="I964" s="6">
        <v>0</v>
      </c>
      <c r="J964" s="6">
        <f t="shared" si="30"/>
        <v>102200</v>
      </c>
      <c r="K964" s="6">
        <f t="shared" si="31"/>
        <v>102200</v>
      </c>
      <c r="L964" s="8" t="s">
        <v>129</v>
      </c>
      <c r="M964" s="8" t="s">
        <v>91</v>
      </c>
    </row>
    <row r="965" spans="1:13" x14ac:dyDescent="0.25">
      <c r="A965" s="9">
        <v>946</v>
      </c>
      <c r="B965" s="10">
        <v>45656</v>
      </c>
      <c r="C965" s="11" t="s">
        <v>116</v>
      </c>
      <c r="D965" s="11" t="s">
        <v>93</v>
      </c>
      <c r="E965" s="11" t="s">
        <v>84</v>
      </c>
      <c r="F965" s="11" t="s">
        <v>134</v>
      </c>
      <c r="G965" s="9">
        <v>39</v>
      </c>
      <c r="H965" s="9">
        <v>10900</v>
      </c>
      <c r="I965" s="9">
        <v>15</v>
      </c>
      <c r="J965" s="9">
        <f t="shared" si="30"/>
        <v>425100</v>
      </c>
      <c r="K965" s="9">
        <f t="shared" si="31"/>
        <v>361335</v>
      </c>
      <c r="L965" s="11" t="s">
        <v>76</v>
      </c>
      <c r="M965" s="11" t="s">
        <v>91</v>
      </c>
    </row>
    <row r="966" spans="1:13" x14ac:dyDescent="0.25">
      <c r="A966" s="6">
        <v>947</v>
      </c>
      <c r="B966" s="7">
        <v>45637</v>
      </c>
      <c r="C966" s="8" t="s">
        <v>108</v>
      </c>
      <c r="D966" s="8" t="s">
        <v>117</v>
      </c>
      <c r="E966" s="8" t="s">
        <v>84</v>
      </c>
      <c r="F966" s="8" t="s">
        <v>200</v>
      </c>
      <c r="G966" s="6">
        <v>43</v>
      </c>
      <c r="H966" s="6">
        <v>3700</v>
      </c>
      <c r="I966" s="6">
        <v>0</v>
      </c>
      <c r="J966" s="6">
        <f t="shared" si="30"/>
        <v>159100</v>
      </c>
      <c r="K966" s="6">
        <f t="shared" si="31"/>
        <v>159100</v>
      </c>
      <c r="L966" s="8" t="s">
        <v>129</v>
      </c>
      <c r="M966" s="8" t="s">
        <v>96</v>
      </c>
    </row>
    <row r="967" spans="1:13" x14ac:dyDescent="0.25">
      <c r="A967" s="9">
        <v>948</v>
      </c>
      <c r="B967" s="10">
        <v>45550</v>
      </c>
      <c r="C967" s="11" t="s">
        <v>124</v>
      </c>
      <c r="D967" s="11" t="s">
        <v>83</v>
      </c>
      <c r="E967" s="11" t="s">
        <v>111</v>
      </c>
      <c r="F967" s="11" t="s">
        <v>156</v>
      </c>
      <c r="G967" s="9">
        <v>46</v>
      </c>
      <c r="H967" s="9">
        <v>43100</v>
      </c>
      <c r="I967" s="9">
        <v>0</v>
      </c>
      <c r="J967" s="9">
        <f t="shared" si="30"/>
        <v>1982600</v>
      </c>
      <c r="K967" s="9">
        <f t="shared" si="31"/>
        <v>1982600</v>
      </c>
      <c r="L967" s="11" t="s">
        <v>125</v>
      </c>
      <c r="M967" s="11" t="s">
        <v>81</v>
      </c>
    </row>
    <row r="968" spans="1:13" x14ac:dyDescent="0.25">
      <c r="A968" s="6">
        <v>949</v>
      </c>
      <c r="B968" s="7">
        <v>45558</v>
      </c>
      <c r="C968" s="8" t="s">
        <v>97</v>
      </c>
      <c r="D968" s="8" t="s">
        <v>117</v>
      </c>
      <c r="E968" s="8" t="s">
        <v>84</v>
      </c>
      <c r="F968" s="8" t="s">
        <v>148</v>
      </c>
      <c r="G968" s="6">
        <v>40</v>
      </c>
      <c r="H968" s="6">
        <v>5200</v>
      </c>
      <c r="I968" s="6">
        <v>0</v>
      </c>
      <c r="J968" s="6">
        <f t="shared" si="30"/>
        <v>208000</v>
      </c>
      <c r="K968" s="6">
        <f t="shared" si="31"/>
        <v>208000</v>
      </c>
      <c r="L968" s="8" t="s">
        <v>76</v>
      </c>
      <c r="M968" s="8" t="s">
        <v>81</v>
      </c>
    </row>
    <row r="969" spans="1:13" x14ac:dyDescent="0.25">
      <c r="A969" s="9">
        <v>950</v>
      </c>
      <c r="B969" s="10">
        <v>45437</v>
      </c>
      <c r="C969" s="11" t="s">
        <v>101</v>
      </c>
      <c r="D969" s="11" t="s">
        <v>178</v>
      </c>
      <c r="E969" s="11" t="s">
        <v>84</v>
      </c>
      <c r="F969" s="11" t="s">
        <v>148</v>
      </c>
      <c r="G969" s="9">
        <v>3</v>
      </c>
      <c r="H969" s="9">
        <v>4600</v>
      </c>
      <c r="I969" s="9">
        <v>15</v>
      </c>
      <c r="J969" s="9">
        <f t="shared" si="30"/>
        <v>13800</v>
      </c>
      <c r="K969" s="9">
        <f t="shared" si="31"/>
        <v>11730</v>
      </c>
      <c r="L969" s="11" t="s">
        <v>76</v>
      </c>
      <c r="M969" s="11" t="s">
        <v>91</v>
      </c>
    </row>
    <row r="970" spans="1:13" x14ac:dyDescent="0.25">
      <c r="A970" s="6">
        <v>951</v>
      </c>
      <c r="B970" s="7">
        <v>45263</v>
      </c>
      <c r="C970" s="8" t="s">
        <v>108</v>
      </c>
      <c r="D970" s="8" t="s">
        <v>117</v>
      </c>
      <c r="E970" s="8" t="s">
        <v>74</v>
      </c>
      <c r="F970" s="8" t="s">
        <v>94</v>
      </c>
      <c r="G970" s="6">
        <v>27</v>
      </c>
      <c r="H970" s="6">
        <v>36100</v>
      </c>
      <c r="I970" s="6">
        <v>20</v>
      </c>
      <c r="J970" s="6">
        <f t="shared" si="30"/>
        <v>974700</v>
      </c>
      <c r="K970" s="6">
        <f t="shared" si="31"/>
        <v>779760</v>
      </c>
      <c r="L970" s="8" t="s">
        <v>76</v>
      </c>
      <c r="M970" s="8" t="s">
        <v>96</v>
      </c>
    </row>
    <row r="971" spans="1:13" x14ac:dyDescent="0.25">
      <c r="A971" s="9">
        <v>952</v>
      </c>
      <c r="B971" s="10">
        <v>44951</v>
      </c>
      <c r="C971" s="11" t="s">
        <v>328</v>
      </c>
      <c r="D971" s="11" t="s">
        <v>117</v>
      </c>
      <c r="E971" s="11" t="s">
        <v>74</v>
      </c>
      <c r="F971" s="11" t="s">
        <v>75</v>
      </c>
      <c r="G971" s="9">
        <v>4</v>
      </c>
      <c r="H971" s="9">
        <v>20900</v>
      </c>
      <c r="I971" s="9">
        <v>20</v>
      </c>
      <c r="J971" s="9">
        <f t="shared" si="30"/>
        <v>83600</v>
      </c>
      <c r="K971" s="9">
        <f t="shared" si="31"/>
        <v>66880</v>
      </c>
      <c r="L971" s="11" t="s">
        <v>107</v>
      </c>
      <c r="M971" s="11" t="s">
        <v>81</v>
      </c>
    </row>
    <row r="972" spans="1:13" x14ac:dyDescent="0.25">
      <c r="A972" s="6">
        <v>953</v>
      </c>
      <c r="B972" s="7">
        <v>45630</v>
      </c>
      <c r="C972" s="8" t="s">
        <v>251</v>
      </c>
      <c r="D972" s="8" t="s">
        <v>93</v>
      </c>
      <c r="E972" s="8" t="s">
        <v>111</v>
      </c>
      <c r="F972" s="8" t="s">
        <v>132</v>
      </c>
      <c r="G972" s="6">
        <v>41</v>
      </c>
      <c r="H972" s="6" t="s">
        <v>463</v>
      </c>
      <c r="I972" s="6">
        <v>0</v>
      </c>
      <c r="J972" s="6">
        <f t="shared" si="30"/>
        <v>291100</v>
      </c>
      <c r="K972" s="6">
        <f t="shared" si="31"/>
        <v>291100</v>
      </c>
      <c r="L972" s="8" t="s">
        <v>76</v>
      </c>
      <c r="M972" s="8" t="s">
        <v>91</v>
      </c>
    </row>
    <row r="973" spans="1:13" x14ac:dyDescent="0.25">
      <c r="A973" s="9">
        <v>954</v>
      </c>
      <c r="B973" s="10">
        <v>45124</v>
      </c>
      <c r="C973" s="11" t="s">
        <v>78</v>
      </c>
      <c r="D973" s="11" t="s">
        <v>109</v>
      </c>
      <c r="E973" s="11" t="s">
        <v>84</v>
      </c>
      <c r="F973" s="11" t="s">
        <v>128</v>
      </c>
      <c r="G973" s="9">
        <v>38</v>
      </c>
      <c r="H973" s="9">
        <v>3900</v>
      </c>
      <c r="I973" s="9">
        <v>0</v>
      </c>
      <c r="J973" s="9">
        <f t="shared" si="30"/>
        <v>148200</v>
      </c>
      <c r="K973" s="9">
        <f t="shared" si="31"/>
        <v>148200</v>
      </c>
      <c r="L973" s="11" t="s">
        <v>76</v>
      </c>
      <c r="M973" s="11" t="s">
        <v>81</v>
      </c>
    </row>
    <row r="974" spans="1:13" x14ac:dyDescent="0.25">
      <c r="A974" s="6">
        <v>955</v>
      </c>
      <c r="B974" s="7">
        <v>45446</v>
      </c>
      <c r="C974" s="8" t="s">
        <v>97</v>
      </c>
      <c r="D974" s="8" t="s">
        <v>83</v>
      </c>
      <c r="E974" s="8" t="s">
        <v>111</v>
      </c>
      <c r="F974" s="8" t="s">
        <v>135</v>
      </c>
      <c r="G974" s="6">
        <v>13</v>
      </c>
      <c r="H974" s="6">
        <v>108200</v>
      </c>
      <c r="I974" s="6">
        <v>10</v>
      </c>
      <c r="J974" s="6">
        <f t="shared" si="30"/>
        <v>1406600</v>
      </c>
      <c r="K974" s="6">
        <f t="shared" si="31"/>
        <v>1265940</v>
      </c>
      <c r="L974" s="8" t="s">
        <v>76</v>
      </c>
      <c r="M974" s="8" t="s">
        <v>81</v>
      </c>
    </row>
    <row r="975" spans="1:13" x14ac:dyDescent="0.25">
      <c r="A975" s="9">
        <v>956</v>
      </c>
      <c r="B975" s="10">
        <v>45181</v>
      </c>
      <c r="C975" s="11" t="s">
        <v>101</v>
      </c>
      <c r="D975" s="11" t="s">
        <v>117</v>
      </c>
      <c r="E975" s="11" t="s">
        <v>102</v>
      </c>
      <c r="F975" s="11" t="s">
        <v>197</v>
      </c>
      <c r="G975" s="9">
        <v>13</v>
      </c>
      <c r="H975" s="9" t="s">
        <v>253</v>
      </c>
      <c r="I975" s="9">
        <v>0</v>
      </c>
      <c r="J975" s="9">
        <f t="shared" si="30"/>
        <v>55900</v>
      </c>
      <c r="K975" s="9">
        <f t="shared" si="31"/>
        <v>55900</v>
      </c>
      <c r="L975" s="11" t="s">
        <v>76</v>
      </c>
      <c r="M975" s="11" t="s">
        <v>91</v>
      </c>
    </row>
    <row r="976" spans="1:13" x14ac:dyDescent="0.25">
      <c r="A976" s="6">
        <v>957</v>
      </c>
      <c r="B976" s="7">
        <v>45295</v>
      </c>
      <c r="C976" s="8" t="s">
        <v>114</v>
      </c>
      <c r="D976" s="8" t="s">
        <v>83</v>
      </c>
      <c r="E976" s="8" t="s">
        <v>84</v>
      </c>
      <c r="F976" s="8" t="s">
        <v>85</v>
      </c>
      <c r="G976" s="12">
        <v>-33</v>
      </c>
      <c r="H976" s="6">
        <v>5500</v>
      </c>
      <c r="I976" s="6">
        <v>20</v>
      </c>
      <c r="J976" s="6">
        <f t="shared" si="30"/>
        <v>-181500</v>
      </c>
      <c r="K976" s="6">
        <f t="shared" si="31"/>
        <v>-145200</v>
      </c>
      <c r="L976" s="8" t="s">
        <v>76</v>
      </c>
      <c r="M976" s="8" t="s">
        <v>91</v>
      </c>
    </row>
    <row r="977" spans="1:13" x14ac:dyDescent="0.25">
      <c r="A977" s="9">
        <v>958</v>
      </c>
      <c r="B977" s="10">
        <v>45086</v>
      </c>
      <c r="C977" s="11" t="s">
        <v>119</v>
      </c>
      <c r="D977" s="11" t="s">
        <v>73</v>
      </c>
      <c r="E977" s="11" t="s">
        <v>111</v>
      </c>
      <c r="F977" s="11" t="s">
        <v>165</v>
      </c>
      <c r="G977" s="9">
        <v>49</v>
      </c>
      <c r="H977" s="9">
        <v>20000</v>
      </c>
      <c r="I977" s="9">
        <v>10</v>
      </c>
      <c r="J977" s="9">
        <f t="shared" si="30"/>
        <v>980000</v>
      </c>
      <c r="K977" s="9">
        <f t="shared" si="31"/>
        <v>882000</v>
      </c>
      <c r="L977" s="11" t="s">
        <v>107</v>
      </c>
      <c r="M977" s="11" t="s">
        <v>96</v>
      </c>
    </row>
    <row r="978" spans="1:13" x14ac:dyDescent="0.25">
      <c r="A978" s="6">
        <v>959</v>
      </c>
      <c r="B978" s="7">
        <v>45477</v>
      </c>
      <c r="C978" s="8" t="s">
        <v>108</v>
      </c>
      <c r="D978" s="8" t="s">
        <v>93</v>
      </c>
      <c r="E978" s="8" t="s">
        <v>84</v>
      </c>
      <c r="F978" s="8" t="s">
        <v>134</v>
      </c>
      <c r="G978" s="6">
        <v>20</v>
      </c>
      <c r="H978" s="6">
        <v>9600</v>
      </c>
      <c r="I978" s="6">
        <v>10</v>
      </c>
      <c r="J978" s="6">
        <f t="shared" si="30"/>
        <v>192000</v>
      </c>
      <c r="K978" s="6">
        <f t="shared" si="31"/>
        <v>172800</v>
      </c>
      <c r="L978" s="8" t="s">
        <v>76</v>
      </c>
      <c r="M978" s="8"/>
    </row>
    <row r="979" spans="1:13" x14ac:dyDescent="0.25">
      <c r="A979" s="9">
        <v>960</v>
      </c>
      <c r="B979" s="11" t="s">
        <v>464</v>
      </c>
      <c r="C979" s="11" t="s">
        <v>119</v>
      </c>
      <c r="D979" s="11" t="s">
        <v>73</v>
      </c>
      <c r="E979" s="11" t="s">
        <v>74</v>
      </c>
      <c r="F979" s="11" t="s">
        <v>142</v>
      </c>
      <c r="G979" s="9">
        <v>13</v>
      </c>
      <c r="H979" s="9">
        <v>12900</v>
      </c>
      <c r="I979" s="9">
        <v>0</v>
      </c>
      <c r="J979" s="9">
        <f t="shared" si="30"/>
        <v>167700</v>
      </c>
      <c r="K979" s="9">
        <f t="shared" si="31"/>
        <v>167700</v>
      </c>
      <c r="L979" s="11" t="s">
        <v>76</v>
      </c>
      <c r="M979" s="11" t="s">
        <v>81</v>
      </c>
    </row>
    <row r="980" spans="1:13" x14ac:dyDescent="0.25">
      <c r="A980" s="6">
        <v>961</v>
      </c>
      <c r="B980" s="7">
        <v>44940</v>
      </c>
      <c r="C980" s="8" t="s">
        <v>82</v>
      </c>
      <c r="D980" s="8" t="s">
        <v>117</v>
      </c>
      <c r="E980" s="8" t="s">
        <v>111</v>
      </c>
      <c r="F980" s="8" t="s">
        <v>165</v>
      </c>
      <c r="G980" s="6">
        <v>26</v>
      </c>
      <c r="H980" s="6">
        <v>20400</v>
      </c>
      <c r="I980" s="6">
        <v>5</v>
      </c>
      <c r="J980" s="6">
        <f t="shared" si="30"/>
        <v>530400</v>
      </c>
      <c r="K980" s="6">
        <f t="shared" si="31"/>
        <v>503880</v>
      </c>
      <c r="L980" s="8" t="s">
        <v>125</v>
      </c>
      <c r="M980" s="8" t="s">
        <v>96</v>
      </c>
    </row>
    <row r="981" spans="1:13" x14ac:dyDescent="0.25">
      <c r="A981" s="9">
        <v>962</v>
      </c>
      <c r="B981" s="11" t="s">
        <v>465</v>
      </c>
      <c r="C981" s="11" t="s">
        <v>101</v>
      </c>
      <c r="D981" s="11" t="s">
        <v>93</v>
      </c>
      <c r="E981" s="11" t="s">
        <v>79</v>
      </c>
      <c r="F981" s="11" t="s">
        <v>115</v>
      </c>
      <c r="G981" s="9">
        <v>8</v>
      </c>
      <c r="H981" s="9">
        <v>10100</v>
      </c>
      <c r="I981" s="9">
        <v>0</v>
      </c>
      <c r="J981" s="9">
        <f t="shared" si="30"/>
        <v>80800</v>
      </c>
      <c r="K981" s="9">
        <f t="shared" si="31"/>
        <v>80800</v>
      </c>
      <c r="L981" s="11" t="s">
        <v>76</v>
      </c>
      <c r="M981" s="11" t="s">
        <v>81</v>
      </c>
    </row>
    <row r="982" spans="1:13" x14ac:dyDescent="0.25">
      <c r="A982" s="6">
        <v>963</v>
      </c>
      <c r="B982" s="7">
        <v>45373</v>
      </c>
      <c r="C982" s="8" t="s">
        <v>101</v>
      </c>
      <c r="D982" s="8" t="s">
        <v>117</v>
      </c>
      <c r="E982" s="8" t="s">
        <v>102</v>
      </c>
      <c r="F982" s="8" t="s">
        <v>197</v>
      </c>
      <c r="G982" s="6">
        <v>24</v>
      </c>
      <c r="H982" s="6">
        <v>4000</v>
      </c>
      <c r="I982" s="6">
        <v>5</v>
      </c>
      <c r="J982" s="6">
        <f t="shared" si="30"/>
        <v>96000</v>
      </c>
      <c r="K982" s="6">
        <f t="shared" si="31"/>
        <v>91200</v>
      </c>
      <c r="L982" s="8" t="s">
        <v>86</v>
      </c>
      <c r="M982" s="8" t="s">
        <v>91</v>
      </c>
    </row>
    <row r="983" spans="1:13" x14ac:dyDescent="0.25">
      <c r="A983" s="9">
        <v>964</v>
      </c>
      <c r="B983" s="10">
        <v>45179</v>
      </c>
      <c r="C983" s="11" t="s">
        <v>106</v>
      </c>
      <c r="D983" s="11" t="s">
        <v>83</v>
      </c>
      <c r="E983" s="11" t="s">
        <v>79</v>
      </c>
      <c r="F983" s="11" t="s">
        <v>120</v>
      </c>
      <c r="G983" s="9">
        <v>44</v>
      </c>
      <c r="H983" s="9">
        <v>6300</v>
      </c>
      <c r="I983" s="9">
        <v>0</v>
      </c>
      <c r="J983" s="9">
        <f t="shared" si="30"/>
        <v>277200</v>
      </c>
      <c r="K983" s="9">
        <f t="shared" si="31"/>
        <v>277200</v>
      </c>
      <c r="L983" s="11" t="s">
        <v>76</v>
      </c>
      <c r="M983" s="11" t="s">
        <v>81</v>
      </c>
    </row>
    <row r="984" spans="1:13" x14ac:dyDescent="0.25">
      <c r="A984" s="6">
        <v>965</v>
      </c>
      <c r="B984" s="8" t="s">
        <v>466</v>
      </c>
      <c r="C984" s="8" t="s">
        <v>119</v>
      </c>
      <c r="D984" s="8" t="s">
        <v>109</v>
      </c>
      <c r="E984" s="8" t="s">
        <v>74</v>
      </c>
      <c r="F984" s="8" t="s">
        <v>75</v>
      </c>
      <c r="G984" s="6">
        <v>43</v>
      </c>
      <c r="H984" s="6">
        <v>23100</v>
      </c>
      <c r="I984" s="6">
        <v>0</v>
      </c>
      <c r="J984" s="6">
        <f t="shared" si="30"/>
        <v>993300</v>
      </c>
      <c r="K984" s="6">
        <f t="shared" si="31"/>
        <v>993300</v>
      </c>
      <c r="L984" s="8" t="s">
        <v>86</v>
      </c>
      <c r="M984" s="8" t="s">
        <v>77</v>
      </c>
    </row>
    <row r="985" spans="1:13" x14ac:dyDescent="0.25">
      <c r="A985" s="9">
        <v>966</v>
      </c>
      <c r="B985" s="11" t="s">
        <v>467</v>
      </c>
      <c r="C985" s="11" t="s">
        <v>114</v>
      </c>
      <c r="D985" s="11" t="s">
        <v>83</v>
      </c>
      <c r="E985" s="11" t="s">
        <v>213</v>
      </c>
      <c r="F985" s="11" t="s">
        <v>137</v>
      </c>
      <c r="G985" s="9">
        <v>13</v>
      </c>
      <c r="H985" s="9">
        <v>2300</v>
      </c>
      <c r="I985" s="9">
        <v>20</v>
      </c>
      <c r="J985" s="9">
        <f t="shared" si="30"/>
        <v>29900</v>
      </c>
      <c r="K985" s="9">
        <f t="shared" si="31"/>
        <v>23920</v>
      </c>
      <c r="L985" s="11" t="s">
        <v>107</v>
      </c>
      <c r="M985" s="11" t="s">
        <v>81</v>
      </c>
    </row>
    <row r="986" spans="1:13" x14ac:dyDescent="0.25">
      <c r="A986" s="6">
        <v>967</v>
      </c>
      <c r="B986" s="7">
        <v>45364</v>
      </c>
      <c r="C986" s="8" t="s">
        <v>101</v>
      </c>
      <c r="D986" s="8" t="s">
        <v>117</v>
      </c>
      <c r="E986" s="8" t="s">
        <v>102</v>
      </c>
      <c r="F986" s="8" t="s">
        <v>151</v>
      </c>
      <c r="G986" s="6">
        <v>47</v>
      </c>
      <c r="H986" s="6">
        <v>7800</v>
      </c>
      <c r="I986" s="6">
        <v>0</v>
      </c>
      <c r="J986" s="6">
        <f t="shared" si="30"/>
        <v>366600</v>
      </c>
      <c r="K986" s="6">
        <f t="shared" si="31"/>
        <v>366600</v>
      </c>
      <c r="L986" s="8" t="s">
        <v>76</v>
      </c>
      <c r="M986" s="8" t="s">
        <v>77</v>
      </c>
    </row>
    <row r="987" spans="1:13" x14ac:dyDescent="0.25">
      <c r="A987" s="9">
        <v>968</v>
      </c>
      <c r="B987" s="10">
        <v>45578</v>
      </c>
      <c r="C987" s="11" t="s">
        <v>124</v>
      </c>
      <c r="D987" s="11" t="s">
        <v>117</v>
      </c>
      <c r="E987" s="11" t="s">
        <v>84</v>
      </c>
      <c r="F987" s="11" t="s">
        <v>134</v>
      </c>
      <c r="G987" s="9">
        <v>48</v>
      </c>
      <c r="H987" s="9">
        <v>10400</v>
      </c>
      <c r="I987" s="9">
        <v>0</v>
      </c>
      <c r="J987" s="9">
        <f t="shared" si="30"/>
        <v>499200</v>
      </c>
      <c r="K987" s="9">
        <f t="shared" si="31"/>
        <v>499200</v>
      </c>
      <c r="L987" s="11" t="s">
        <v>76</v>
      </c>
      <c r="M987" s="11" t="s">
        <v>96</v>
      </c>
    </row>
    <row r="988" spans="1:13" x14ac:dyDescent="0.25">
      <c r="A988" s="6">
        <v>969</v>
      </c>
      <c r="B988" s="7">
        <v>45099</v>
      </c>
      <c r="C988" s="8" t="s">
        <v>119</v>
      </c>
      <c r="D988" s="8" t="s">
        <v>73</v>
      </c>
      <c r="E988" s="8" t="s">
        <v>79</v>
      </c>
      <c r="F988" s="8" t="s">
        <v>131</v>
      </c>
      <c r="G988" s="6">
        <v>27</v>
      </c>
      <c r="H988" s="6">
        <v>131200</v>
      </c>
      <c r="I988" s="6">
        <v>15</v>
      </c>
      <c r="J988" s="6">
        <f t="shared" si="30"/>
        <v>3542400</v>
      </c>
      <c r="K988" s="6">
        <f t="shared" si="31"/>
        <v>3011040</v>
      </c>
      <c r="L988" s="8" t="s">
        <v>76</v>
      </c>
      <c r="M988" s="8" t="s">
        <v>96</v>
      </c>
    </row>
    <row r="989" spans="1:13" x14ac:dyDescent="0.25">
      <c r="A989" s="9">
        <v>970</v>
      </c>
      <c r="B989" s="10">
        <v>45368</v>
      </c>
      <c r="C989" s="11" t="s">
        <v>108</v>
      </c>
      <c r="D989" s="11" t="s">
        <v>109</v>
      </c>
      <c r="E989" s="11" t="s">
        <v>74</v>
      </c>
      <c r="F989" s="11" t="s">
        <v>142</v>
      </c>
      <c r="G989" s="9">
        <v>13</v>
      </c>
      <c r="H989" s="9">
        <v>12900</v>
      </c>
      <c r="I989" s="9">
        <v>5</v>
      </c>
      <c r="J989" s="9">
        <f t="shared" si="30"/>
        <v>167700</v>
      </c>
      <c r="K989" s="9">
        <f t="shared" si="31"/>
        <v>159315</v>
      </c>
      <c r="L989" s="11" t="s">
        <v>76</v>
      </c>
      <c r="M989" s="11" t="s">
        <v>77</v>
      </c>
    </row>
    <row r="990" spans="1:13" x14ac:dyDescent="0.25">
      <c r="A990" s="6">
        <v>971</v>
      </c>
      <c r="B990" s="8" t="s">
        <v>468</v>
      </c>
      <c r="C990" s="8" t="s">
        <v>106</v>
      </c>
      <c r="D990" s="8" t="s">
        <v>109</v>
      </c>
      <c r="E990" s="8" t="s">
        <v>173</v>
      </c>
      <c r="F990" s="8" t="s">
        <v>206</v>
      </c>
      <c r="G990" s="6">
        <v>49</v>
      </c>
      <c r="H990" s="6">
        <v>15200</v>
      </c>
      <c r="I990" s="6">
        <v>5</v>
      </c>
      <c r="J990" s="6">
        <f t="shared" si="30"/>
        <v>744800</v>
      </c>
      <c r="K990" s="6">
        <f t="shared" si="31"/>
        <v>707560</v>
      </c>
      <c r="L990" s="8" t="s">
        <v>76</v>
      </c>
      <c r="M990" s="8" t="s">
        <v>91</v>
      </c>
    </row>
    <row r="991" spans="1:13" x14ac:dyDescent="0.25">
      <c r="A991" s="9">
        <v>972</v>
      </c>
      <c r="B991" s="10">
        <v>45568</v>
      </c>
      <c r="C991" s="11" t="s">
        <v>124</v>
      </c>
      <c r="D991" s="11" t="s">
        <v>73</v>
      </c>
      <c r="E991" s="11" t="s">
        <v>84</v>
      </c>
      <c r="F991" s="11" t="s">
        <v>150</v>
      </c>
      <c r="G991" s="9">
        <v>25</v>
      </c>
      <c r="H991" s="9">
        <v>5400</v>
      </c>
      <c r="I991" s="9">
        <v>0</v>
      </c>
      <c r="J991" s="9">
        <f t="shared" si="30"/>
        <v>135000</v>
      </c>
      <c r="K991" s="9">
        <f t="shared" si="31"/>
        <v>135000</v>
      </c>
      <c r="L991" s="11" t="s">
        <v>76</v>
      </c>
      <c r="M991" s="11" t="s">
        <v>77</v>
      </c>
    </row>
    <row r="992" spans="1:13" x14ac:dyDescent="0.25">
      <c r="A992" s="6">
        <v>973</v>
      </c>
      <c r="B992" s="7">
        <v>44957</v>
      </c>
      <c r="C992" s="8" t="s">
        <v>124</v>
      </c>
      <c r="D992" s="8" t="s">
        <v>109</v>
      </c>
      <c r="E992" s="8" t="s">
        <v>111</v>
      </c>
      <c r="F992" s="8" t="s">
        <v>159</v>
      </c>
      <c r="G992" s="6">
        <v>7</v>
      </c>
      <c r="H992" s="6">
        <v>12800</v>
      </c>
      <c r="I992" s="6">
        <v>20</v>
      </c>
      <c r="J992" s="6">
        <f t="shared" si="30"/>
        <v>89600</v>
      </c>
      <c r="K992" s="6">
        <f t="shared" si="31"/>
        <v>71680</v>
      </c>
      <c r="L992" s="8" t="s">
        <v>76</v>
      </c>
      <c r="M992" s="8" t="s">
        <v>96</v>
      </c>
    </row>
    <row r="993" spans="1:13" x14ac:dyDescent="0.25">
      <c r="A993" s="9">
        <v>974</v>
      </c>
      <c r="B993" s="10">
        <v>44934</v>
      </c>
      <c r="C993" s="11" t="s">
        <v>448</v>
      </c>
      <c r="D993" s="11" t="s">
        <v>73</v>
      </c>
      <c r="E993" s="11" t="s">
        <v>79</v>
      </c>
      <c r="F993" s="11" t="s">
        <v>80</v>
      </c>
      <c r="G993" s="9">
        <v>1</v>
      </c>
      <c r="H993" s="9">
        <v>8800</v>
      </c>
      <c r="I993" s="9">
        <v>5</v>
      </c>
      <c r="J993" s="9">
        <f t="shared" si="30"/>
        <v>8800</v>
      </c>
      <c r="K993" s="9">
        <f t="shared" si="31"/>
        <v>8360</v>
      </c>
      <c r="L993" s="11" t="s">
        <v>229</v>
      </c>
      <c r="M993" s="11" t="s">
        <v>96</v>
      </c>
    </row>
    <row r="994" spans="1:13" x14ac:dyDescent="0.25">
      <c r="A994" s="6">
        <v>975</v>
      </c>
      <c r="B994" s="8" t="s">
        <v>130</v>
      </c>
      <c r="C994" s="8" t="s">
        <v>88</v>
      </c>
      <c r="D994" s="8" t="s">
        <v>93</v>
      </c>
      <c r="E994" s="8" t="s">
        <v>111</v>
      </c>
      <c r="F994" s="8" t="s">
        <v>132</v>
      </c>
      <c r="G994" s="6">
        <v>22</v>
      </c>
      <c r="H994" s="6">
        <v>7400</v>
      </c>
      <c r="I994" s="6">
        <v>0</v>
      </c>
      <c r="J994" s="6">
        <f t="shared" si="30"/>
        <v>162800</v>
      </c>
      <c r="K994" s="6">
        <f t="shared" si="31"/>
        <v>162800</v>
      </c>
      <c r="L994" s="8" t="s">
        <v>125</v>
      </c>
      <c r="M994" s="8" t="s">
        <v>81</v>
      </c>
    </row>
    <row r="995" spans="1:13" x14ac:dyDescent="0.25">
      <c r="A995" s="9">
        <v>976</v>
      </c>
      <c r="B995" s="10">
        <v>45608</v>
      </c>
      <c r="C995" s="11" t="s">
        <v>114</v>
      </c>
      <c r="D995" s="11" t="s">
        <v>83</v>
      </c>
      <c r="E995" s="11" t="s">
        <v>102</v>
      </c>
      <c r="F995" s="11" t="s">
        <v>138</v>
      </c>
      <c r="G995" s="9">
        <v>22</v>
      </c>
      <c r="H995" s="9">
        <v>7400</v>
      </c>
      <c r="I995" s="9">
        <v>5</v>
      </c>
      <c r="J995" s="9">
        <f t="shared" si="30"/>
        <v>162800</v>
      </c>
      <c r="K995" s="9">
        <f t="shared" si="31"/>
        <v>154660</v>
      </c>
      <c r="L995" s="11" t="s">
        <v>86</v>
      </c>
      <c r="M995" s="11" t="s">
        <v>77</v>
      </c>
    </row>
    <row r="996" spans="1:13" x14ac:dyDescent="0.25">
      <c r="A996" s="6">
        <v>386</v>
      </c>
      <c r="B996" s="7">
        <v>45402</v>
      </c>
      <c r="C996" s="8" t="s">
        <v>82</v>
      </c>
      <c r="D996" s="8" t="s">
        <v>83</v>
      </c>
      <c r="E996" s="8" t="s">
        <v>79</v>
      </c>
      <c r="F996" s="8" t="s">
        <v>136</v>
      </c>
      <c r="G996" s="6">
        <v>32</v>
      </c>
      <c r="H996" s="6">
        <v>81600</v>
      </c>
      <c r="I996" s="6">
        <v>20</v>
      </c>
      <c r="J996" s="6">
        <f t="shared" si="30"/>
        <v>2611200</v>
      </c>
      <c r="K996" s="6">
        <f t="shared" si="31"/>
        <v>2088960</v>
      </c>
      <c r="L996" s="8" t="s">
        <v>76</v>
      </c>
      <c r="M996" s="8" t="s">
        <v>81</v>
      </c>
    </row>
    <row r="997" spans="1:13" x14ac:dyDescent="0.25">
      <c r="A997" s="9">
        <v>977</v>
      </c>
      <c r="B997" s="10">
        <v>45642</v>
      </c>
      <c r="C997" s="11" t="s">
        <v>414</v>
      </c>
      <c r="D997" s="11" t="s">
        <v>109</v>
      </c>
      <c r="E997" s="11" t="s">
        <v>79</v>
      </c>
      <c r="F997" s="11" t="s">
        <v>131</v>
      </c>
      <c r="G997" s="9">
        <v>18</v>
      </c>
      <c r="H997" s="9">
        <v>134100</v>
      </c>
      <c r="I997" s="9">
        <v>0</v>
      </c>
      <c r="J997" s="9">
        <f t="shared" si="30"/>
        <v>2413800</v>
      </c>
      <c r="K997" s="9">
        <f t="shared" si="31"/>
        <v>2413800</v>
      </c>
      <c r="L997" s="11" t="s">
        <v>125</v>
      </c>
      <c r="M997" s="11" t="s">
        <v>81</v>
      </c>
    </row>
    <row r="998" spans="1:13" x14ac:dyDescent="0.25">
      <c r="A998" s="6">
        <v>978</v>
      </c>
      <c r="B998" s="7">
        <v>45389</v>
      </c>
      <c r="C998" s="8" t="s">
        <v>124</v>
      </c>
      <c r="D998" s="8" t="s">
        <v>83</v>
      </c>
      <c r="E998" s="8" t="s">
        <v>102</v>
      </c>
      <c r="F998" s="8" t="s">
        <v>151</v>
      </c>
      <c r="G998" s="6">
        <v>1</v>
      </c>
      <c r="H998" s="6">
        <v>8000</v>
      </c>
      <c r="I998" s="6">
        <v>0</v>
      </c>
      <c r="J998" s="6">
        <f t="shared" si="30"/>
        <v>8000</v>
      </c>
      <c r="K998" s="6">
        <f t="shared" si="31"/>
        <v>8000</v>
      </c>
      <c r="L998" s="8" t="s">
        <v>125</v>
      </c>
      <c r="M998" s="8" t="s">
        <v>96</v>
      </c>
    </row>
    <row r="999" spans="1:13" x14ac:dyDescent="0.25">
      <c r="A999" s="9">
        <v>979</v>
      </c>
      <c r="B999" s="10">
        <v>45575</v>
      </c>
      <c r="C999" s="11" t="s">
        <v>88</v>
      </c>
      <c r="D999" s="11" t="s">
        <v>73</v>
      </c>
      <c r="E999" s="11" t="s">
        <v>74</v>
      </c>
      <c r="F999" s="11" t="s">
        <v>99</v>
      </c>
      <c r="G999" s="9">
        <v>32</v>
      </c>
      <c r="H999" s="9" t="s">
        <v>469</v>
      </c>
      <c r="I999" s="9">
        <v>0</v>
      </c>
      <c r="J999" s="9">
        <f t="shared" si="30"/>
        <v>108800</v>
      </c>
      <c r="K999" s="9">
        <f t="shared" si="31"/>
        <v>108800</v>
      </c>
      <c r="L999" s="11" t="s">
        <v>76</v>
      </c>
      <c r="M999" s="11" t="s">
        <v>77</v>
      </c>
    </row>
    <row r="1000" spans="1:13" x14ac:dyDescent="0.25">
      <c r="A1000" s="6">
        <v>980</v>
      </c>
      <c r="B1000" s="7">
        <v>45365</v>
      </c>
      <c r="C1000" s="8" t="s">
        <v>119</v>
      </c>
      <c r="D1000" s="8" t="s">
        <v>73</v>
      </c>
      <c r="E1000" s="8" t="s">
        <v>111</v>
      </c>
      <c r="F1000" s="8" t="s">
        <v>135</v>
      </c>
      <c r="G1000" s="6">
        <v>46</v>
      </c>
      <c r="H1000" s="6">
        <v>121000</v>
      </c>
      <c r="I1000" s="6">
        <v>0</v>
      </c>
      <c r="J1000" s="6">
        <f t="shared" si="30"/>
        <v>5566000</v>
      </c>
      <c r="K1000" s="6">
        <f t="shared" si="31"/>
        <v>5566000</v>
      </c>
      <c r="L1000" s="8" t="s">
        <v>76</v>
      </c>
      <c r="M1000" s="8" t="s">
        <v>77</v>
      </c>
    </row>
    <row r="1001" spans="1:13" x14ac:dyDescent="0.25">
      <c r="A1001" s="9">
        <v>981</v>
      </c>
      <c r="B1001" s="10">
        <v>45436</v>
      </c>
      <c r="C1001" s="11" t="s">
        <v>216</v>
      </c>
      <c r="D1001" s="11" t="s">
        <v>117</v>
      </c>
      <c r="E1001" s="11" t="s">
        <v>102</v>
      </c>
      <c r="F1001" s="11" t="s">
        <v>197</v>
      </c>
      <c r="G1001" s="9">
        <v>29</v>
      </c>
      <c r="H1001" s="9">
        <v>3600</v>
      </c>
      <c r="I1001" s="9">
        <v>15</v>
      </c>
      <c r="J1001" s="9">
        <f t="shared" si="30"/>
        <v>104400</v>
      </c>
      <c r="K1001" s="9">
        <f t="shared" si="31"/>
        <v>88740</v>
      </c>
      <c r="L1001" s="11" t="s">
        <v>125</v>
      </c>
      <c r="M1001" s="11" t="s">
        <v>91</v>
      </c>
    </row>
    <row r="1002" spans="1:13" x14ac:dyDescent="0.25">
      <c r="A1002" s="6">
        <v>982</v>
      </c>
      <c r="B1002" s="7">
        <v>45480</v>
      </c>
      <c r="C1002" s="8" t="s">
        <v>251</v>
      </c>
      <c r="D1002" s="8" t="s">
        <v>109</v>
      </c>
      <c r="E1002" s="8" t="s">
        <v>84</v>
      </c>
      <c r="F1002" s="8" t="s">
        <v>128</v>
      </c>
      <c r="G1002" s="6">
        <v>43</v>
      </c>
      <c r="H1002" s="6">
        <v>4600</v>
      </c>
      <c r="I1002" s="6">
        <v>5</v>
      </c>
      <c r="J1002" s="6">
        <f t="shared" si="30"/>
        <v>197800</v>
      </c>
      <c r="K1002" s="6">
        <f t="shared" si="31"/>
        <v>187910</v>
      </c>
      <c r="L1002" s="8" t="s">
        <v>86</v>
      </c>
      <c r="M1002" s="8" t="s">
        <v>77</v>
      </c>
    </row>
    <row r="1003" spans="1:13" x14ac:dyDescent="0.25">
      <c r="A1003" s="9">
        <v>983</v>
      </c>
      <c r="B1003" s="10">
        <v>44956</v>
      </c>
      <c r="C1003" s="11" t="s">
        <v>327</v>
      </c>
      <c r="D1003" s="11" t="s">
        <v>117</v>
      </c>
      <c r="E1003" s="11" t="s">
        <v>111</v>
      </c>
      <c r="F1003" s="11" t="s">
        <v>135</v>
      </c>
      <c r="G1003" s="9">
        <v>17</v>
      </c>
      <c r="H1003" s="9">
        <v>109800</v>
      </c>
      <c r="I1003" s="9">
        <v>15</v>
      </c>
      <c r="J1003" s="9">
        <f t="shared" si="30"/>
        <v>1866600</v>
      </c>
      <c r="K1003" s="9">
        <f t="shared" si="31"/>
        <v>1586610</v>
      </c>
      <c r="L1003" s="11" t="s">
        <v>86</v>
      </c>
      <c r="M1003" s="11"/>
    </row>
    <row r="1004" spans="1:13" x14ac:dyDescent="0.25">
      <c r="A1004" s="6">
        <v>984</v>
      </c>
      <c r="B1004" s="7">
        <v>45066</v>
      </c>
      <c r="C1004" s="8" t="s">
        <v>82</v>
      </c>
      <c r="D1004" s="8" t="s">
        <v>266</v>
      </c>
      <c r="E1004" s="8" t="s">
        <v>79</v>
      </c>
      <c r="F1004" s="8" t="s">
        <v>120</v>
      </c>
      <c r="G1004" s="6">
        <v>37</v>
      </c>
      <c r="H1004" s="6">
        <v>6700</v>
      </c>
      <c r="I1004" s="6">
        <v>15</v>
      </c>
      <c r="J1004" s="6">
        <f t="shared" si="30"/>
        <v>247900</v>
      </c>
      <c r="K1004" s="6">
        <f t="shared" si="31"/>
        <v>210715</v>
      </c>
      <c r="L1004" s="8" t="s">
        <v>86</v>
      </c>
      <c r="M1004" s="8" t="s">
        <v>77</v>
      </c>
    </row>
    <row r="1005" spans="1:13" x14ac:dyDescent="0.25">
      <c r="A1005" s="9">
        <v>985</v>
      </c>
      <c r="B1005" s="10">
        <v>45278</v>
      </c>
      <c r="C1005" s="11" t="s">
        <v>223</v>
      </c>
      <c r="D1005" s="11" t="s">
        <v>83</v>
      </c>
      <c r="E1005" s="11" t="s">
        <v>102</v>
      </c>
      <c r="F1005" s="11" t="s">
        <v>151</v>
      </c>
      <c r="G1005" s="9">
        <v>15</v>
      </c>
      <c r="H1005" s="9">
        <v>8300</v>
      </c>
      <c r="I1005" s="9">
        <v>0</v>
      </c>
      <c r="J1005" s="9">
        <f t="shared" si="30"/>
        <v>124500</v>
      </c>
      <c r="K1005" s="9">
        <f t="shared" si="31"/>
        <v>124500</v>
      </c>
      <c r="L1005" s="11" t="s">
        <v>76</v>
      </c>
      <c r="M1005" s="11" t="s">
        <v>96</v>
      </c>
    </row>
    <row r="1006" spans="1:13" x14ac:dyDescent="0.25">
      <c r="A1006" s="6">
        <v>986</v>
      </c>
      <c r="B1006" s="7">
        <v>45041</v>
      </c>
      <c r="C1006" s="8" t="s">
        <v>216</v>
      </c>
      <c r="D1006" s="8" t="s">
        <v>117</v>
      </c>
      <c r="E1006" s="8" t="s">
        <v>102</v>
      </c>
      <c r="F1006" s="8" t="s">
        <v>181</v>
      </c>
      <c r="G1006" s="6">
        <v>8</v>
      </c>
      <c r="H1006" s="6">
        <v>4900</v>
      </c>
      <c r="I1006" s="6">
        <v>20</v>
      </c>
      <c r="J1006" s="6">
        <f t="shared" si="30"/>
        <v>39200</v>
      </c>
      <c r="K1006" s="6">
        <f t="shared" si="31"/>
        <v>31360</v>
      </c>
      <c r="L1006" s="8" t="s">
        <v>76</v>
      </c>
      <c r="M1006" s="8" t="s">
        <v>81</v>
      </c>
    </row>
    <row r="1007" spans="1:13" x14ac:dyDescent="0.25">
      <c r="A1007" s="9">
        <v>987</v>
      </c>
      <c r="B1007" s="10">
        <v>45247</v>
      </c>
      <c r="C1007" s="11" t="s">
        <v>223</v>
      </c>
      <c r="D1007" s="11" t="s">
        <v>93</v>
      </c>
      <c r="E1007" s="11" t="s">
        <v>79</v>
      </c>
      <c r="F1007" s="11" t="s">
        <v>179</v>
      </c>
      <c r="G1007" s="9">
        <v>35</v>
      </c>
      <c r="H1007" s="9">
        <v>2300</v>
      </c>
      <c r="I1007" s="9">
        <v>5</v>
      </c>
      <c r="J1007" s="9">
        <f t="shared" si="30"/>
        <v>80500</v>
      </c>
      <c r="K1007" s="9">
        <f t="shared" si="31"/>
        <v>76475</v>
      </c>
      <c r="L1007" s="11" t="s">
        <v>76</v>
      </c>
      <c r="M1007" s="11" t="s">
        <v>91</v>
      </c>
    </row>
    <row r="1008" spans="1:13" x14ac:dyDescent="0.25">
      <c r="A1008" s="6">
        <v>988</v>
      </c>
      <c r="B1008" s="7">
        <v>45254</v>
      </c>
      <c r="C1008" s="8" t="s">
        <v>88</v>
      </c>
      <c r="D1008" s="8" t="s">
        <v>109</v>
      </c>
      <c r="E1008" s="8" t="s">
        <v>102</v>
      </c>
      <c r="F1008" s="8" t="s">
        <v>181</v>
      </c>
      <c r="G1008" s="6">
        <v>1</v>
      </c>
      <c r="H1008" s="6">
        <v>4200</v>
      </c>
      <c r="I1008" s="6">
        <v>0</v>
      </c>
      <c r="J1008" s="6">
        <f t="shared" si="30"/>
        <v>4200</v>
      </c>
      <c r="K1008" s="6">
        <f t="shared" si="31"/>
        <v>4200</v>
      </c>
      <c r="L1008" s="8" t="s">
        <v>76</v>
      </c>
      <c r="M1008" s="8" t="s">
        <v>91</v>
      </c>
    </row>
    <row r="1009" spans="1:13" x14ac:dyDescent="0.25">
      <c r="A1009" s="9">
        <v>989</v>
      </c>
      <c r="B1009" s="11" t="s">
        <v>470</v>
      </c>
      <c r="C1009" s="11" t="s">
        <v>101</v>
      </c>
      <c r="D1009" s="11"/>
      <c r="E1009" s="11" t="s">
        <v>111</v>
      </c>
      <c r="F1009" s="11" t="s">
        <v>159</v>
      </c>
      <c r="G1009" s="9">
        <v>19</v>
      </c>
      <c r="H1009" s="9">
        <v>11200</v>
      </c>
      <c r="I1009" s="9">
        <v>10</v>
      </c>
      <c r="J1009" s="9">
        <f t="shared" si="30"/>
        <v>212800</v>
      </c>
      <c r="K1009" s="9">
        <f t="shared" si="31"/>
        <v>191520</v>
      </c>
      <c r="L1009" s="11" t="s">
        <v>76</v>
      </c>
      <c r="M1009" s="11" t="s">
        <v>77</v>
      </c>
    </row>
    <row r="1010" spans="1:13" x14ac:dyDescent="0.25">
      <c r="A1010" s="6">
        <v>990</v>
      </c>
      <c r="B1010" s="7">
        <v>45254</v>
      </c>
      <c r="C1010" s="8" t="s">
        <v>101</v>
      </c>
      <c r="D1010" s="8" t="s">
        <v>93</v>
      </c>
      <c r="E1010" s="8" t="s">
        <v>79</v>
      </c>
      <c r="F1010" s="8" t="s">
        <v>179</v>
      </c>
      <c r="G1010" s="6">
        <v>46</v>
      </c>
      <c r="H1010" s="6">
        <v>2900</v>
      </c>
      <c r="I1010" s="6">
        <v>5</v>
      </c>
      <c r="J1010" s="6">
        <f t="shared" si="30"/>
        <v>133400</v>
      </c>
      <c r="K1010" s="6">
        <f t="shared" si="31"/>
        <v>126730</v>
      </c>
      <c r="L1010" s="8" t="s">
        <v>76</v>
      </c>
      <c r="M1010" s="8" t="s">
        <v>81</v>
      </c>
    </row>
    <row r="1011" spans="1:13" x14ac:dyDescent="0.25">
      <c r="A1011" s="9">
        <v>991</v>
      </c>
      <c r="B1011" s="10">
        <v>45225</v>
      </c>
      <c r="C1011" s="11" t="s">
        <v>114</v>
      </c>
      <c r="D1011" s="11" t="s">
        <v>73</v>
      </c>
      <c r="E1011" s="11" t="s">
        <v>74</v>
      </c>
      <c r="F1011" s="11" t="s">
        <v>142</v>
      </c>
      <c r="G1011" s="9">
        <v>14</v>
      </c>
      <c r="H1011" s="9">
        <v>13300</v>
      </c>
      <c r="I1011" s="9">
        <v>15</v>
      </c>
      <c r="J1011" s="9">
        <f t="shared" si="30"/>
        <v>186200</v>
      </c>
      <c r="K1011" s="9">
        <f t="shared" si="31"/>
        <v>158270</v>
      </c>
      <c r="L1011" s="11" t="s">
        <v>86</v>
      </c>
      <c r="M1011" s="11" t="s">
        <v>81</v>
      </c>
    </row>
    <row r="1012" spans="1:13" x14ac:dyDescent="0.25">
      <c r="A1012" s="6">
        <v>992</v>
      </c>
      <c r="B1012" s="7">
        <v>44980</v>
      </c>
      <c r="C1012" s="8" t="s">
        <v>108</v>
      </c>
      <c r="D1012" s="8" t="s">
        <v>83</v>
      </c>
      <c r="E1012" s="8" t="s">
        <v>111</v>
      </c>
      <c r="F1012" s="8" t="s">
        <v>135</v>
      </c>
      <c r="G1012" s="6">
        <v>43</v>
      </c>
      <c r="H1012" s="6">
        <v>131800</v>
      </c>
      <c r="I1012" s="6">
        <v>0</v>
      </c>
      <c r="J1012" s="6">
        <f t="shared" si="30"/>
        <v>5667400</v>
      </c>
      <c r="K1012" s="6">
        <f t="shared" si="31"/>
        <v>5667400</v>
      </c>
      <c r="L1012" s="8" t="s">
        <v>107</v>
      </c>
      <c r="M1012" s="8" t="s">
        <v>81</v>
      </c>
    </row>
    <row r="1013" spans="1:13" x14ac:dyDescent="0.25">
      <c r="A1013" s="9">
        <v>993</v>
      </c>
      <c r="B1013" s="10">
        <v>45488</v>
      </c>
      <c r="C1013" s="11" t="s">
        <v>114</v>
      </c>
      <c r="D1013" s="11" t="s">
        <v>117</v>
      </c>
      <c r="E1013" s="11" t="s">
        <v>111</v>
      </c>
      <c r="F1013" s="11" t="s">
        <v>159</v>
      </c>
      <c r="G1013" s="9">
        <v>49</v>
      </c>
      <c r="H1013" s="9">
        <v>13800</v>
      </c>
      <c r="I1013" s="9">
        <v>10</v>
      </c>
      <c r="J1013" s="9">
        <f t="shared" si="30"/>
        <v>676200</v>
      </c>
      <c r="K1013" s="9">
        <f t="shared" si="31"/>
        <v>608580</v>
      </c>
      <c r="L1013" s="11" t="s">
        <v>76</v>
      </c>
      <c r="M1013" s="11" t="s">
        <v>77</v>
      </c>
    </row>
    <row r="1014" spans="1:13" x14ac:dyDescent="0.25">
      <c r="A1014" s="6">
        <v>994</v>
      </c>
      <c r="B1014" s="7">
        <v>45216</v>
      </c>
      <c r="C1014" s="8" t="s">
        <v>101</v>
      </c>
      <c r="D1014" s="8" t="s">
        <v>109</v>
      </c>
      <c r="E1014" s="8" t="s">
        <v>102</v>
      </c>
      <c r="F1014" s="8" t="s">
        <v>151</v>
      </c>
      <c r="G1014" s="6">
        <v>21</v>
      </c>
      <c r="H1014" s="6">
        <v>6900</v>
      </c>
      <c r="I1014" s="6">
        <v>20</v>
      </c>
      <c r="J1014" s="6">
        <f t="shared" si="30"/>
        <v>144900</v>
      </c>
      <c r="K1014" s="6">
        <f t="shared" si="31"/>
        <v>115920</v>
      </c>
      <c r="L1014" s="8" t="s">
        <v>86</v>
      </c>
      <c r="M1014" s="8" t="s">
        <v>77</v>
      </c>
    </row>
    <row r="1015" spans="1:13" x14ac:dyDescent="0.25">
      <c r="A1015" s="9">
        <v>995</v>
      </c>
      <c r="B1015" s="11" t="s">
        <v>471</v>
      </c>
      <c r="C1015" s="11" t="s">
        <v>101</v>
      </c>
      <c r="D1015" s="11" t="s">
        <v>83</v>
      </c>
      <c r="E1015" s="11" t="s">
        <v>84</v>
      </c>
      <c r="F1015" s="11" t="s">
        <v>128</v>
      </c>
      <c r="G1015" s="9">
        <v>31</v>
      </c>
      <c r="H1015" s="9">
        <v>4200</v>
      </c>
      <c r="I1015" s="9">
        <v>0</v>
      </c>
      <c r="J1015" s="9">
        <f t="shared" si="30"/>
        <v>130200</v>
      </c>
      <c r="K1015" s="9">
        <f t="shared" si="31"/>
        <v>130200</v>
      </c>
      <c r="L1015" s="11" t="s">
        <v>76</v>
      </c>
      <c r="M1015" s="11" t="s">
        <v>81</v>
      </c>
    </row>
    <row r="1016" spans="1:13" x14ac:dyDescent="0.25">
      <c r="A1016" s="6">
        <v>996</v>
      </c>
      <c r="B1016" s="7">
        <v>45150</v>
      </c>
      <c r="C1016" s="8" t="s">
        <v>106</v>
      </c>
      <c r="D1016" s="8" t="s">
        <v>143</v>
      </c>
      <c r="E1016" s="8" t="s">
        <v>74</v>
      </c>
      <c r="F1016" s="8" t="s">
        <v>118</v>
      </c>
      <c r="G1016" s="6">
        <v>10</v>
      </c>
      <c r="H1016" s="6">
        <v>29900</v>
      </c>
      <c r="I1016" s="6">
        <v>15</v>
      </c>
      <c r="J1016" s="6">
        <f t="shared" si="30"/>
        <v>299000</v>
      </c>
      <c r="K1016" s="6">
        <f t="shared" si="31"/>
        <v>254150</v>
      </c>
      <c r="L1016" s="8" t="s">
        <v>76</v>
      </c>
      <c r="M1016" s="8" t="s">
        <v>91</v>
      </c>
    </row>
    <row r="1017" spans="1:13" x14ac:dyDescent="0.25">
      <c r="A1017" s="9">
        <v>997</v>
      </c>
      <c r="B1017" s="10">
        <v>45099</v>
      </c>
      <c r="C1017" s="11" t="s">
        <v>78</v>
      </c>
      <c r="D1017" s="11" t="s">
        <v>73</v>
      </c>
      <c r="E1017" s="11" t="s">
        <v>74</v>
      </c>
      <c r="F1017" s="11" t="s">
        <v>99</v>
      </c>
      <c r="G1017" s="9">
        <v>4</v>
      </c>
      <c r="H1017" s="9">
        <v>3300</v>
      </c>
      <c r="I1017" s="9">
        <v>10</v>
      </c>
      <c r="J1017" s="9">
        <f t="shared" si="30"/>
        <v>13200</v>
      </c>
      <c r="K1017" s="9">
        <f t="shared" si="31"/>
        <v>11880</v>
      </c>
      <c r="L1017" s="11" t="s">
        <v>129</v>
      </c>
      <c r="M1017" s="11" t="s">
        <v>96</v>
      </c>
    </row>
    <row r="1018" spans="1:13" x14ac:dyDescent="0.25">
      <c r="A1018" s="6">
        <v>998</v>
      </c>
      <c r="B1018" s="7">
        <v>45371</v>
      </c>
      <c r="C1018" s="8" t="s">
        <v>108</v>
      </c>
      <c r="D1018" s="8" t="s">
        <v>83</v>
      </c>
      <c r="E1018" s="8" t="s">
        <v>84</v>
      </c>
      <c r="F1018" s="8" t="s">
        <v>206</v>
      </c>
      <c r="G1018" s="6">
        <v>26</v>
      </c>
      <c r="H1018" s="6">
        <v>13000</v>
      </c>
      <c r="I1018" s="6">
        <v>15</v>
      </c>
      <c r="J1018" s="6">
        <f t="shared" si="30"/>
        <v>338000</v>
      </c>
      <c r="K1018" s="6">
        <f t="shared" si="31"/>
        <v>287300</v>
      </c>
      <c r="L1018" s="8" t="s">
        <v>76</v>
      </c>
      <c r="M1018" s="8" t="s">
        <v>81</v>
      </c>
    </row>
    <row r="1019" spans="1:13" x14ac:dyDescent="0.25">
      <c r="A1019" s="9">
        <v>999</v>
      </c>
      <c r="B1019" s="10">
        <v>45311</v>
      </c>
      <c r="C1019" s="11" t="s">
        <v>97</v>
      </c>
      <c r="D1019" s="11" t="s">
        <v>83</v>
      </c>
      <c r="E1019" s="11" t="s">
        <v>111</v>
      </c>
      <c r="F1019" s="11" t="s">
        <v>135</v>
      </c>
      <c r="G1019" s="9">
        <v>29</v>
      </c>
      <c r="H1019" s="9">
        <v>121700</v>
      </c>
      <c r="I1019" s="9">
        <v>0</v>
      </c>
      <c r="J1019" s="9">
        <f t="shared" si="30"/>
        <v>3529300</v>
      </c>
      <c r="K1019" s="9">
        <f t="shared" si="31"/>
        <v>3529300</v>
      </c>
      <c r="L1019" s="11" t="s">
        <v>76</v>
      </c>
      <c r="M1019" s="11" t="s">
        <v>77</v>
      </c>
    </row>
    <row r="1020" spans="1:13" x14ac:dyDescent="0.25">
      <c r="A1020" s="6">
        <v>1000</v>
      </c>
      <c r="B1020" s="7">
        <v>45011</v>
      </c>
      <c r="C1020" s="8" t="s">
        <v>97</v>
      </c>
      <c r="D1020" s="8" t="s">
        <v>83</v>
      </c>
      <c r="E1020" s="8" t="s">
        <v>102</v>
      </c>
      <c r="F1020" s="8" t="s">
        <v>181</v>
      </c>
      <c r="G1020" s="6">
        <v>37</v>
      </c>
      <c r="H1020" s="6">
        <v>4100</v>
      </c>
      <c r="I1020" s="6">
        <v>0</v>
      </c>
      <c r="J1020" s="6">
        <f t="shared" si="30"/>
        <v>151700</v>
      </c>
      <c r="K1020" s="6">
        <f t="shared" si="31"/>
        <v>151700</v>
      </c>
      <c r="L1020" s="8" t="s">
        <v>125</v>
      </c>
      <c r="M1020" s="8" t="s">
        <v>91</v>
      </c>
    </row>
    <row r="1021" spans="1:13" x14ac:dyDescent="0.25">
      <c r="A1021" s="9">
        <v>1001</v>
      </c>
      <c r="B1021" s="10">
        <v>45637</v>
      </c>
      <c r="C1021" s="11" t="s">
        <v>97</v>
      </c>
      <c r="D1021" s="11" t="s">
        <v>93</v>
      </c>
      <c r="E1021" s="11" t="s">
        <v>84</v>
      </c>
      <c r="F1021" s="11" t="s">
        <v>148</v>
      </c>
      <c r="G1021" s="9">
        <v>42</v>
      </c>
      <c r="H1021" s="9">
        <v>4900</v>
      </c>
      <c r="I1021" s="9">
        <v>10</v>
      </c>
      <c r="J1021" s="9">
        <f t="shared" si="30"/>
        <v>205800</v>
      </c>
      <c r="K1021" s="9">
        <f t="shared" si="31"/>
        <v>185220</v>
      </c>
      <c r="L1021" s="11" t="s">
        <v>86</v>
      </c>
      <c r="M1021" s="11" t="s">
        <v>96</v>
      </c>
    </row>
    <row r="1022" spans="1:13" x14ac:dyDescent="0.25">
      <c r="A1022" s="6">
        <v>1002</v>
      </c>
      <c r="B1022" s="8" t="s">
        <v>472</v>
      </c>
      <c r="C1022" s="8" t="s">
        <v>97</v>
      </c>
      <c r="D1022" s="8" t="s">
        <v>117</v>
      </c>
      <c r="E1022" s="8" t="s">
        <v>79</v>
      </c>
      <c r="F1022" s="8" t="s">
        <v>122</v>
      </c>
      <c r="G1022" s="6">
        <v>45</v>
      </c>
      <c r="H1022" s="6">
        <v>18000</v>
      </c>
      <c r="I1022" s="6">
        <v>0</v>
      </c>
      <c r="J1022" s="6">
        <f t="shared" si="30"/>
        <v>810000</v>
      </c>
      <c r="K1022" s="6">
        <f t="shared" si="31"/>
        <v>810000</v>
      </c>
      <c r="L1022" s="8" t="s">
        <v>76</v>
      </c>
      <c r="M1022" s="8" t="s">
        <v>91</v>
      </c>
    </row>
    <row r="1023" spans="1:13" x14ac:dyDescent="0.25">
      <c r="A1023" s="9">
        <v>1003</v>
      </c>
      <c r="B1023" s="10">
        <v>45458</v>
      </c>
      <c r="C1023" s="11" t="s">
        <v>124</v>
      </c>
      <c r="D1023" s="11" t="s">
        <v>93</v>
      </c>
      <c r="E1023" s="11" t="s">
        <v>79</v>
      </c>
      <c r="F1023" s="11" t="s">
        <v>80</v>
      </c>
      <c r="G1023" s="9">
        <v>8</v>
      </c>
      <c r="H1023" s="9">
        <v>9700</v>
      </c>
      <c r="I1023" s="9">
        <v>0</v>
      </c>
      <c r="J1023" s="9">
        <f t="shared" si="30"/>
        <v>77600</v>
      </c>
      <c r="K1023" s="9">
        <f t="shared" si="31"/>
        <v>77600</v>
      </c>
      <c r="L1023" s="11" t="s">
        <v>76</v>
      </c>
      <c r="M1023" s="11" t="s">
        <v>81</v>
      </c>
    </row>
    <row r="1024" spans="1:13" x14ac:dyDescent="0.25">
      <c r="A1024" s="6">
        <v>1004</v>
      </c>
      <c r="B1024" s="7">
        <v>45495</v>
      </c>
      <c r="C1024" s="8" t="s">
        <v>119</v>
      </c>
      <c r="D1024" s="8" t="s">
        <v>117</v>
      </c>
      <c r="E1024" s="8" t="s">
        <v>79</v>
      </c>
      <c r="F1024" s="8" t="s">
        <v>136</v>
      </c>
      <c r="G1024" s="6">
        <v>14</v>
      </c>
      <c r="H1024" s="6">
        <v>79200</v>
      </c>
      <c r="I1024" s="6">
        <v>10</v>
      </c>
      <c r="J1024" s="6">
        <f t="shared" si="30"/>
        <v>1108800</v>
      </c>
      <c r="K1024" s="6">
        <f t="shared" si="31"/>
        <v>997920</v>
      </c>
      <c r="L1024" s="8" t="s">
        <v>86</v>
      </c>
      <c r="M1024" s="8" t="s">
        <v>77</v>
      </c>
    </row>
    <row r="1025" spans="1:13" x14ac:dyDescent="0.25">
      <c r="A1025" s="9">
        <v>1005</v>
      </c>
      <c r="B1025" s="10">
        <v>45189</v>
      </c>
      <c r="C1025" s="11" t="s">
        <v>78</v>
      </c>
      <c r="D1025" s="11" t="s">
        <v>73</v>
      </c>
      <c r="E1025" s="11" t="s">
        <v>79</v>
      </c>
      <c r="F1025" s="11" t="s">
        <v>179</v>
      </c>
      <c r="G1025" s="9">
        <v>35</v>
      </c>
      <c r="H1025" s="9">
        <v>2500</v>
      </c>
      <c r="I1025" s="9">
        <v>0</v>
      </c>
      <c r="J1025" s="9">
        <f t="shared" si="30"/>
        <v>87500</v>
      </c>
      <c r="K1025" s="9">
        <f t="shared" si="31"/>
        <v>87500</v>
      </c>
      <c r="L1025" s="11" t="s">
        <v>76</v>
      </c>
      <c r="M1025" s="11" t="s">
        <v>77</v>
      </c>
    </row>
    <row r="1026" spans="1:13" x14ac:dyDescent="0.25">
      <c r="A1026" s="6">
        <v>1006</v>
      </c>
      <c r="B1026" s="8" t="s">
        <v>473</v>
      </c>
      <c r="C1026" s="8" t="s">
        <v>78</v>
      </c>
      <c r="D1026" s="8" t="s">
        <v>93</v>
      </c>
      <c r="E1026" s="8" t="s">
        <v>74</v>
      </c>
      <c r="F1026" s="8" t="s">
        <v>99</v>
      </c>
      <c r="G1026" s="6">
        <v>32</v>
      </c>
      <c r="H1026" s="6">
        <v>3300</v>
      </c>
      <c r="I1026" s="6">
        <v>10</v>
      </c>
      <c r="J1026" s="6">
        <f t="shared" ref="J1026:J1089" si="32">G1026*H1026</f>
        <v>105600</v>
      </c>
      <c r="K1026" s="6">
        <f t="shared" ref="K1026:K1089" si="33">J1026*(1-I1026/100)</f>
        <v>95040</v>
      </c>
      <c r="L1026" s="8" t="s">
        <v>86</v>
      </c>
      <c r="M1026" s="8" t="s">
        <v>96</v>
      </c>
    </row>
    <row r="1027" spans="1:13" x14ac:dyDescent="0.25">
      <c r="A1027" s="9">
        <v>1007</v>
      </c>
      <c r="B1027" s="10">
        <v>45478</v>
      </c>
      <c r="C1027" s="11" t="s">
        <v>82</v>
      </c>
      <c r="D1027" s="11" t="s">
        <v>109</v>
      </c>
      <c r="E1027" s="11" t="s">
        <v>79</v>
      </c>
      <c r="F1027" s="11" t="s">
        <v>136</v>
      </c>
      <c r="G1027" s="9">
        <v>13</v>
      </c>
      <c r="H1027" s="9">
        <v>81500</v>
      </c>
      <c r="I1027" s="9">
        <v>0</v>
      </c>
      <c r="J1027" s="9">
        <f t="shared" si="32"/>
        <v>1059500</v>
      </c>
      <c r="K1027" s="9">
        <f t="shared" si="33"/>
        <v>1059500</v>
      </c>
      <c r="L1027" s="11" t="s">
        <v>76</v>
      </c>
      <c r="M1027" s="11" t="s">
        <v>81</v>
      </c>
    </row>
    <row r="1028" spans="1:13" x14ac:dyDescent="0.25">
      <c r="A1028" s="6">
        <v>1008</v>
      </c>
      <c r="B1028" s="7">
        <v>45543</v>
      </c>
      <c r="C1028" s="8" t="s">
        <v>82</v>
      </c>
      <c r="D1028" s="8" t="s">
        <v>109</v>
      </c>
      <c r="E1028" s="8" t="s">
        <v>102</v>
      </c>
      <c r="F1028" s="8" t="s">
        <v>157</v>
      </c>
      <c r="G1028" s="6">
        <v>47</v>
      </c>
      <c r="H1028" s="6">
        <v>11600</v>
      </c>
      <c r="I1028" s="6">
        <v>10</v>
      </c>
      <c r="J1028" s="6">
        <f t="shared" si="32"/>
        <v>545200</v>
      </c>
      <c r="K1028" s="6">
        <f t="shared" si="33"/>
        <v>490680</v>
      </c>
      <c r="L1028" s="8" t="s">
        <v>76</v>
      </c>
      <c r="M1028" s="8" t="s">
        <v>77</v>
      </c>
    </row>
    <row r="1029" spans="1:13" x14ac:dyDescent="0.25">
      <c r="A1029" s="9">
        <v>1009</v>
      </c>
      <c r="B1029" s="10">
        <v>45188</v>
      </c>
      <c r="C1029" s="11" t="s">
        <v>101</v>
      </c>
      <c r="D1029" s="11" t="s">
        <v>83</v>
      </c>
      <c r="E1029" s="11" t="s">
        <v>173</v>
      </c>
      <c r="F1029" s="11" t="s">
        <v>148</v>
      </c>
      <c r="G1029" s="9">
        <v>17</v>
      </c>
      <c r="H1029" s="9">
        <v>4900</v>
      </c>
      <c r="I1029" s="9">
        <v>10</v>
      </c>
      <c r="J1029" s="9">
        <f t="shared" si="32"/>
        <v>83300</v>
      </c>
      <c r="K1029" s="9">
        <f t="shared" si="33"/>
        <v>74970</v>
      </c>
      <c r="L1029" s="11" t="s">
        <v>86</v>
      </c>
      <c r="M1029" s="11" t="s">
        <v>81</v>
      </c>
    </row>
    <row r="1030" spans="1:13" x14ac:dyDescent="0.25">
      <c r="A1030" s="6">
        <v>1010</v>
      </c>
      <c r="B1030" s="7">
        <v>45135</v>
      </c>
      <c r="C1030" s="8" t="s">
        <v>97</v>
      </c>
      <c r="D1030" s="8" t="s">
        <v>117</v>
      </c>
      <c r="E1030" s="8" t="s">
        <v>84</v>
      </c>
      <c r="F1030" s="8" t="s">
        <v>200</v>
      </c>
      <c r="G1030" s="6">
        <v>42</v>
      </c>
      <c r="H1030" s="6">
        <v>3300</v>
      </c>
      <c r="I1030" s="6">
        <v>5</v>
      </c>
      <c r="J1030" s="6">
        <f t="shared" si="32"/>
        <v>138600</v>
      </c>
      <c r="K1030" s="6">
        <f t="shared" si="33"/>
        <v>131670</v>
      </c>
      <c r="L1030" s="8" t="s">
        <v>86</v>
      </c>
      <c r="M1030" s="8" t="s">
        <v>81</v>
      </c>
    </row>
    <row r="1031" spans="1:13" x14ac:dyDescent="0.25">
      <c r="A1031" s="9">
        <v>1011</v>
      </c>
      <c r="B1031" s="10">
        <v>45084</v>
      </c>
      <c r="C1031" s="11" t="s">
        <v>88</v>
      </c>
      <c r="D1031" s="11" t="s">
        <v>83</v>
      </c>
      <c r="E1031" s="11" t="s">
        <v>111</v>
      </c>
      <c r="F1031" s="11" t="s">
        <v>192</v>
      </c>
      <c r="G1031" s="9">
        <v>16</v>
      </c>
      <c r="H1031" s="9">
        <v>108400</v>
      </c>
      <c r="I1031" s="9">
        <v>10</v>
      </c>
      <c r="J1031" s="9">
        <f t="shared" si="32"/>
        <v>1734400</v>
      </c>
      <c r="K1031" s="9">
        <f t="shared" si="33"/>
        <v>1560960</v>
      </c>
      <c r="L1031" s="11" t="s">
        <v>76</v>
      </c>
      <c r="M1031" s="11" t="s">
        <v>77</v>
      </c>
    </row>
    <row r="1032" spans="1:13" x14ac:dyDescent="0.25">
      <c r="A1032" s="6">
        <v>1012</v>
      </c>
      <c r="B1032" s="7">
        <v>45039</v>
      </c>
      <c r="C1032" s="8" t="s">
        <v>82</v>
      </c>
      <c r="D1032" s="8" t="s">
        <v>83</v>
      </c>
      <c r="E1032" s="8" t="s">
        <v>79</v>
      </c>
      <c r="F1032" s="8" t="s">
        <v>120</v>
      </c>
      <c r="G1032" s="6">
        <v>24</v>
      </c>
      <c r="H1032" s="6" t="s">
        <v>474</v>
      </c>
      <c r="I1032" s="6">
        <v>0</v>
      </c>
      <c r="J1032" s="6" t="e">
        <f t="shared" si="32"/>
        <v>#VALUE!</v>
      </c>
      <c r="K1032" s="6" t="e">
        <f t="shared" si="33"/>
        <v>#VALUE!</v>
      </c>
      <c r="L1032" s="8" t="s">
        <v>107</v>
      </c>
      <c r="M1032" s="8" t="s">
        <v>96</v>
      </c>
    </row>
    <row r="1033" spans="1:13" x14ac:dyDescent="0.25">
      <c r="A1033" s="9">
        <v>1013</v>
      </c>
      <c r="B1033" s="10">
        <v>45158</v>
      </c>
      <c r="C1033" s="11" t="s">
        <v>101</v>
      </c>
      <c r="D1033" s="11" t="s">
        <v>73</v>
      </c>
      <c r="E1033" s="11" t="s">
        <v>79</v>
      </c>
      <c r="F1033" s="11" t="s">
        <v>115</v>
      </c>
      <c r="G1033" s="9">
        <v>15</v>
      </c>
      <c r="H1033" s="9">
        <v>10300</v>
      </c>
      <c r="I1033" s="9">
        <v>20</v>
      </c>
      <c r="J1033" s="9">
        <f t="shared" si="32"/>
        <v>154500</v>
      </c>
      <c r="K1033" s="9">
        <f t="shared" si="33"/>
        <v>123600</v>
      </c>
      <c r="L1033" s="11" t="s">
        <v>76</v>
      </c>
      <c r="M1033" s="11" t="s">
        <v>77</v>
      </c>
    </row>
    <row r="1034" spans="1:13" x14ac:dyDescent="0.25">
      <c r="A1034" s="6">
        <v>1014</v>
      </c>
      <c r="B1034" s="7">
        <v>45053</v>
      </c>
      <c r="C1034" s="8" t="s">
        <v>108</v>
      </c>
      <c r="D1034" s="8" t="s">
        <v>93</v>
      </c>
      <c r="E1034" s="8" t="s">
        <v>74</v>
      </c>
      <c r="F1034" s="8" t="s">
        <v>99</v>
      </c>
      <c r="G1034" s="6">
        <v>23</v>
      </c>
      <c r="H1034" s="6">
        <v>3200</v>
      </c>
      <c r="I1034" s="6"/>
      <c r="J1034" s="6">
        <f t="shared" si="32"/>
        <v>73600</v>
      </c>
      <c r="K1034" s="6">
        <f t="shared" si="33"/>
        <v>73600</v>
      </c>
      <c r="L1034" s="8" t="s">
        <v>86</v>
      </c>
      <c r="M1034" s="8" t="s">
        <v>96</v>
      </c>
    </row>
    <row r="1035" spans="1:13" x14ac:dyDescent="0.25">
      <c r="A1035" s="9">
        <v>1015</v>
      </c>
      <c r="B1035" s="10">
        <v>45204</v>
      </c>
      <c r="C1035" s="11" t="s">
        <v>124</v>
      </c>
      <c r="D1035" s="11" t="s">
        <v>268</v>
      </c>
      <c r="E1035" s="11" t="s">
        <v>79</v>
      </c>
      <c r="F1035" s="11" t="s">
        <v>122</v>
      </c>
      <c r="G1035" s="9">
        <v>49</v>
      </c>
      <c r="H1035" s="9">
        <v>17600</v>
      </c>
      <c r="I1035" s="9">
        <v>20</v>
      </c>
      <c r="J1035" s="9">
        <f t="shared" si="32"/>
        <v>862400</v>
      </c>
      <c r="K1035" s="9">
        <f t="shared" si="33"/>
        <v>689920</v>
      </c>
      <c r="L1035" s="11" t="s">
        <v>76</v>
      </c>
      <c r="M1035" s="11" t="s">
        <v>96</v>
      </c>
    </row>
    <row r="1036" spans="1:13" x14ac:dyDescent="0.25">
      <c r="A1036" s="6">
        <v>1016</v>
      </c>
      <c r="B1036" s="8" t="s">
        <v>475</v>
      </c>
      <c r="C1036" s="8" t="s">
        <v>82</v>
      </c>
      <c r="D1036" s="8" t="s">
        <v>93</v>
      </c>
      <c r="E1036" s="8" t="s">
        <v>102</v>
      </c>
      <c r="F1036" s="8" t="s">
        <v>151</v>
      </c>
      <c r="G1036" s="6">
        <v>9</v>
      </c>
      <c r="H1036" s="6">
        <v>7600</v>
      </c>
      <c r="I1036" s="6">
        <v>15</v>
      </c>
      <c r="J1036" s="6">
        <f t="shared" si="32"/>
        <v>68400</v>
      </c>
      <c r="K1036" s="6">
        <f t="shared" si="33"/>
        <v>58140</v>
      </c>
      <c r="L1036" s="8" t="s">
        <v>76</v>
      </c>
      <c r="M1036" s="8" t="s">
        <v>81</v>
      </c>
    </row>
    <row r="1037" spans="1:13" x14ac:dyDescent="0.25">
      <c r="A1037" s="9">
        <v>1017</v>
      </c>
      <c r="B1037" s="10">
        <v>45056</v>
      </c>
      <c r="C1037" s="11" t="s">
        <v>108</v>
      </c>
      <c r="D1037" s="11" t="s">
        <v>83</v>
      </c>
      <c r="E1037" s="11" t="s">
        <v>102</v>
      </c>
      <c r="F1037" s="11" t="s">
        <v>110</v>
      </c>
      <c r="G1037" s="9">
        <v>47</v>
      </c>
      <c r="H1037" s="9">
        <v>20100</v>
      </c>
      <c r="I1037" s="9">
        <v>15</v>
      </c>
      <c r="J1037" s="9">
        <f t="shared" si="32"/>
        <v>944700</v>
      </c>
      <c r="K1037" s="9">
        <f t="shared" si="33"/>
        <v>802995</v>
      </c>
      <c r="L1037" s="11" t="s">
        <v>76</v>
      </c>
      <c r="M1037" s="11" t="s">
        <v>96</v>
      </c>
    </row>
    <row r="1038" spans="1:13" x14ac:dyDescent="0.25">
      <c r="A1038" s="6">
        <v>1018</v>
      </c>
      <c r="B1038" s="7">
        <v>45182</v>
      </c>
      <c r="C1038" s="8" t="s">
        <v>124</v>
      </c>
      <c r="D1038" s="8" t="s">
        <v>83</v>
      </c>
      <c r="E1038" s="8" t="s">
        <v>111</v>
      </c>
      <c r="F1038" s="8" t="s">
        <v>166</v>
      </c>
      <c r="G1038" s="6">
        <v>23</v>
      </c>
      <c r="H1038" s="6" t="s">
        <v>476</v>
      </c>
      <c r="I1038" s="6">
        <v>0</v>
      </c>
      <c r="J1038" s="6" t="e">
        <f t="shared" si="32"/>
        <v>#VALUE!</v>
      </c>
      <c r="K1038" s="6" t="e">
        <f t="shared" si="33"/>
        <v>#VALUE!</v>
      </c>
      <c r="L1038" s="8" t="s">
        <v>86</v>
      </c>
      <c r="M1038" s="8" t="s">
        <v>96</v>
      </c>
    </row>
    <row r="1039" spans="1:13" x14ac:dyDescent="0.25">
      <c r="A1039" s="9">
        <v>1019</v>
      </c>
      <c r="B1039" s="10">
        <v>45365</v>
      </c>
      <c r="C1039" s="11" t="s">
        <v>82</v>
      </c>
      <c r="D1039" s="11" t="s">
        <v>109</v>
      </c>
      <c r="E1039" s="11" t="s">
        <v>74</v>
      </c>
      <c r="F1039" s="11" t="s">
        <v>118</v>
      </c>
      <c r="G1039" s="9">
        <v>27</v>
      </c>
      <c r="H1039" s="9">
        <v>31800</v>
      </c>
      <c r="I1039" s="9">
        <v>15</v>
      </c>
      <c r="J1039" s="9">
        <f t="shared" si="32"/>
        <v>858600</v>
      </c>
      <c r="K1039" s="9">
        <f t="shared" si="33"/>
        <v>729810</v>
      </c>
      <c r="L1039" s="11" t="s">
        <v>86</v>
      </c>
      <c r="M1039" s="11" t="s">
        <v>77</v>
      </c>
    </row>
    <row r="1040" spans="1:13" x14ac:dyDescent="0.25">
      <c r="A1040" s="6">
        <v>1020</v>
      </c>
      <c r="B1040" s="7">
        <v>45008</v>
      </c>
      <c r="C1040" s="8" t="s">
        <v>97</v>
      </c>
      <c r="D1040" s="8" t="s">
        <v>109</v>
      </c>
      <c r="E1040" s="8" t="s">
        <v>79</v>
      </c>
      <c r="F1040" s="8" t="s">
        <v>122</v>
      </c>
      <c r="G1040" s="6">
        <v>6</v>
      </c>
      <c r="H1040" s="6">
        <v>18800</v>
      </c>
      <c r="I1040" s="6">
        <v>20</v>
      </c>
      <c r="J1040" s="6">
        <f t="shared" si="32"/>
        <v>112800</v>
      </c>
      <c r="K1040" s="6">
        <f t="shared" si="33"/>
        <v>90240</v>
      </c>
      <c r="L1040" s="8" t="s">
        <v>187</v>
      </c>
      <c r="M1040" s="8" t="s">
        <v>91</v>
      </c>
    </row>
    <row r="1041" spans="1:13" x14ac:dyDescent="0.25">
      <c r="A1041" s="9">
        <v>1021</v>
      </c>
      <c r="B1041" s="10">
        <v>44937</v>
      </c>
      <c r="C1041" s="11" t="s">
        <v>114</v>
      </c>
      <c r="D1041" s="11" t="s">
        <v>261</v>
      </c>
      <c r="E1041" s="11" t="s">
        <v>84</v>
      </c>
      <c r="F1041" s="11" t="s">
        <v>85</v>
      </c>
      <c r="G1041" s="9">
        <v>44</v>
      </c>
      <c r="H1041" s="9">
        <v>5500</v>
      </c>
      <c r="I1041" s="9">
        <v>5</v>
      </c>
      <c r="J1041" s="9">
        <f t="shared" si="32"/>
        <v>242000</v>
      </c>
      <c r="K1041" s="9">
        <f t="shared" si="33"/>
        <v>229900</v>
      </c>
      <c r="L1041" s="11" t="s">
        <v>125</v>
      </c>
      <c r="M1041" s="11" t="s">
        <v>77</v>
      </c>
    </row>
    <row r="1042" spans="1:13" x14ac:dyDescent="0.25">
      <c r="A1042" s="6">
        <v>1022</v>
      </c>
      <c r="B1042" s="7">
        <v>44941</v>
      </c>
      <c r="C1042" s="8" t="s">
        <v>124</v>
      </c>
      <c r="D1042" s="8" t="s">
        <v>109</v>
      </c>
      <c r="E1042" s="8" t="s">
        <v>79</v>
      </c>
      <c r="F1042" s="8" t="s">
        <v>115</v>
      </c>
      <c r="G1042" s="6">
        <v>48</v>
      </c>
      <c r="H1042" s="6">
        <v>9700</v>
      </c>
      <c r="I1042" s="6">
        <v>10</v>
      </c>
      <c r="J1042" s="6">
        <f t="shared" si="32"/>
        <v>465600</v>
      </c>
      <c r="K1042" s="6">
        <f t="shared" si="33"/>
        <v>419040</v>
      </c>
      <c r="L1042" s="8" t="s">
        <v>76</v>
      </c>
      <c r="M1042" s="8" t="s">
        <v>77</v>
      </c>
    </row>
    <row r="1043" spans="1:13" x14ac:dyDescent="0.25">
      <c r="A1043" s="9">
        <v>1023</v>
      </c>
      <c r="B1043" s="10">
        <v>45386</v>
      </c>
      <c r="C1043" s="11" t="s">
        <v>108</v>
      </c>
      <c r="D1043" s="11" t="s">
        <v>93</v>
      </c>
      <c r="E1043" s="11" t="s">
        <v>84</v>
      </c>
      <c r="F1043" s="11" t="s">
        <v>128</v>
      </c>
      <c r="G1043" s="9">
        <v>9</v>
      </c>
      <c r="H1043" s="9">
        <v>3900</v>
      </c>
      <c r="I1043" s="9">
        <v>5</v>
      </c>
      <c r="J1043" s="9">
        <f t="shared" si="32"/>
        <v>35100</v>
      </c>
      <c r="K1043" s="9">
        <f t="shared" si="33"/>
        <v>33345</v>
      </c>
      <c r="L1043" s="11" t="s">
        <v>76</v>
      </c>
      <c r="M1043" s="11" t="s">
        <v>77</v>
      </c>
    </row>
    <row r="1044" spans="1:13" x14ac:dyDescent="0.25">
      <c r="A1044" s="6">
        <v>1024</v>
      </c>
      <c r="B1044" s="7">
        <v>45434</v>
      </c>
      <c r="C1044" s="8" t="s">
        <v>114</v>
      </c>
      <c r="D1044" s="8" t="s">
        <v>109</v>
      </c>
      <c r="E1044" s="8" t="s">
        <v>74</v>
      </c>
      <c r="F1044" s="8" t="s">
        <v>118</v>
      </c>
      <c r="G1044" s="6">
        <v>44</v>
      </c>
      <c r="H1044" s="6">
        <v>27600</v>
      </c>
      <c r="I1044" s="6">
        <v>0</v>
      </c>
      <c r="J1044" s="6">
        <f t="shared" si="32"/>
        <v>1214400</v>
      </c>
      <c r="K1044" s="6">
        <f t="shared" si="33"/>
        <v>1214400</v>
      </c>
      <c r="L1044" s="8" t="s">
        <v>76</v>
      </c>
      <c r="M1044" s="8" t="s">
        <v>77</v>
      </c>
    </row>
    <row r="1045" spans="1:13" x14ac:dyDescent="0.25">
      <c r="A1045" s="9">
        <v>1025</v>
      </c>
      <c r="B1045" s="10">
        <v>45233</v>
      </c>
      <c r="C1045" s="11" t="s">
        <v>119</v>
      </c>
      <c r="D1045" s="11" t="s">
        <v>117</v>
      </c>
      <c r="E1045" s="11" t="s">
        <v>74</v>
      </c>
      <c r="F1045" s="11" t="s">
        <v>75</v>
      </c>
      <c r="G1045" s="9">
        <v>41</v>
      </c>
      <c r="H1045" s="9">
        <v>19800</v>
      </c>
      <c r="I1045" s="9">
        <v>0</v>
      </c>
      <c r="J1045" s="9">
        <f t="shared" si="32"/>
        <v>811800</v>
      </c>
      <c r="K1045" s="9">
        <f t="shared" si="33"/>
        <v>811800</v>
      </c>
      <c r="L1045" s="11" t="s">
        <v>76</v>
      </c>
      <c r="M1045" s="11" t="s">
        <v>81</v>
      </c>
    </row>
    <row r="1046" spans="1:13" x14ac:dyDescent="0.25">
      <c r="A1046" s="6">
        <v>1026</v>
      </c>
      <c r="B1046" s="7">
        <v>45585</v>
      </c>
      <c r="C1046" s="8" t="s">
        <v>82</v>
      </c>
      <c r="D1046" s="8" t="s">
        <v>73</v>
      </c>
      <c r="E1046" s="8" t="s">
        <v>111</v>
      </c>
      <c r="F1046" s="8" t="s">
        <v>159</v>
      </c>
      <c r="G1046" s="6">
        <v>1</v>
      </c>
      <c r="H1046" s="6">
        <v>11000</v>
      </c>
      <c r="I1046" s="6">
        <v>0</v>
      </c>
      <c r="J1046" s="6">
        <f t="shared" si="32"/>
        <v>11000</v>
      </c>
      <c r="K1046" s="6">
        <f t="shared" si="33"/>
        <v>11000</v>
      </c>
      <c r="L1046" s="8" t="s">
        <v>76</v>
      </c>
      <c r="M1046" s="8" t="s">
        <v>96</v>
      </c>
    </row>
    <row r="1047" spans="1:13" x14ac:dyDescent="0.25">
      <c r="A1047" s="9">
        <v>1027</v>
      </c>
      <c r="B1047" s="10">
        <v>45289</v>
      </c>
      <c r="C1047" s="11" t="s">
        <v>97</v>
      </c>
      <c r="D1047" s="11" t="s">
        <v>73</v>
      </c>
      <c r="E1047" s="11" t="s">
        <v>74</v>
      </c>
      <c r="F1047" s="11" t="s">
        <v>142</v>
      </c>
      <c r="G1047" s="9">
        <v>1</v>
      </c>
      <c r="H1047" s="9">
        <v>12000</v>
      </c>
      <c r="I1047" s="9">
        <v>0</v>
      </c>
      <c r="J1047" s="9">
        <f t="shared" si="32"/>
        <v>12000</v>
      </c>
      <c r="K1047" s="9">
        <f t="shared" si="33"/>
        <v>12000</v>
      </c>
      <c r="L1047" s="11" t="s">
        <v>76</v>
      </c>
      <c r="M1047" s="11" t="s">
        <v>91</v>
      </c>
    </row>
    <row r="1048" spans="1:13" x14ac:dyDescent="0.25">
      <c r="A1048" s="6">
        <v>1028</v>
      </c>
      <c r="B1048" s="7">
        <v>45013</v>
      </c>
      <c r="C1048" s="8" t="s">
        <v>82</v>
      </c>
      <c r="D1048" s="8" t="s">
        <v>93</v>
      </c>
      <c r="E1048" s="8" t="s">
        <v>84</v>
      </c>
      <c r="F1048" s="8" t="s">
        <v>148</v>
      </c>
      <c r="G1048" s="6">
        <v>32</v>
      </c>
      <c r="H1048" s="6">
        <v>4500</v>
      </c>
      <c r="I1048" s="6">
        <v>0</v>
      </c>
      <c r="J1048" s="6">
        <f t="shared" si="32"/>
        <v>144000</v>
      </c>
      <c r="K1048" s="6">
        <f t="shared" si="33"/>
        <v>144000</v>
      </c>
      <c r="L1048" s="8" t="s">
        <v>76</v>
      </c>
      <c r="M1048" s="8" t="s">
        <v>96</v>
      </c>
    </row>
    <row r="1049" spans="1:13" x14ac:dyDescent="0.25">
      <c r="A1049" s="9">
        <v>1029</v>
      </c>
      <c r="B1049" s="10">
        <v>45408</v>
      </c>
      <c r="C1049" s="11" t="s">
        <v>114</v>
      </c>
      <c r="D1049" s="11" t="s">
        <v>117</v>
      </c>
      <c r="E1049" s="11" t="s">
        <v>74</v>
      </c>
      <c r="F1049" s="11" t="s">
        <v>212</v>
      </c>
      <c r="G1049" s="9">
        <v>12</v>
      </c>
      <c r="H1049" s="9">
        <v>8100</v>
      </c>
      <c r="I1049" s="9">
        <v>0</v>
      </c>
      <c r="J1049" s="9">
        <f t="shared" si="32"/>
        <v>97200</v>
      </c>
      <c r="K1049" s="9">
        <f t="shared" si="33"/>
        <v>97200</v>
      </c>
      <c r="L1049" s="11" t="s">
        <v>76</v>
      </c>
      <c r="M1049" s="11" t="s">
        <v>96</v>
      </c>
    </row>
    <row r="1050" spans="1:13" x14ac:dyDescent="0.25">
      <c r="A1050" s="6">
        <v>1030</v>
      </c>
      <c r="B1050" s="7">
        <v>45376</v>
      </c>
      <c r="C1050" s="8" t="s">
        <v>119</v>
      </c>
      <c r="D1050" s="8" t="s">
        <v>109</v>
      </c>
      <c r="E1050" s="8" t="s">
        <v>162</v>
      </c>
      <c r="F1050" s="8" t="s">
        <v>200</v>
      </c>
      <c r="G1050" s="6">
        <v>1</v>
      </c>
      <c r="H1050" s="6">
        <v>3500</v>
      </c>
      <c r="I1050" s="6"/>
      <c r="J1050" s="6">
        <f t="shared" si="32"/>
        <v>3500</v>
      </c>
      <c r="K1050" s="6">
        <f t="shared" si="33"/>
        <v>3500</v>
      </c>
      <c r="L1050" s="8" t="s">
        <v>76</v>
      </c>
      <c r="M1050" s="8" t="s">
        <v>81</v>
      </c>
    </row>
    <row r="1051" spans="1:13" x14ac:dyDescent="0.25">
      <c r="A1051" s="9">
        <v>1031</v>
      </c>
      <c r="B1051" s="10">
        <v>45121</v>
      </c>
      <c r="C1051" s="11" t="s">
        <v>101</v>
      </c>
      <c r="D1051" s="11" t="s">
        <v>73</v>
      </c>
      <c r="E1051" s="11" t="s">
        <v>84</v>
      </c>
      <c r="F1051" s="11" t="s">
        <v>148</v>
      </c>
      <c r="G1051" s="9">
        <v>22</v>
      </c>
      <c r="H1051" s="9">
        <v>4800</v>
      </c>
      <c r="I1051" s="9">
        <v>15</v>
      </c>
      <c r="J1051" s="9">
        <f t="shared" si="32"/>
        <v>105600</v>
      </c>
      <c r="K1051" s="9">
        <f t="shared" si="33"/>
        <v>89760</v>
      </c>
      <c r="L1051" s="11" t="s">
        <v>107</v>
      </c>
      <c r="M1051" s="11" t="s">
        <v>81</v>
      </c>
    </row>
    <row r="1052" spans="1:13" x14ac:dyDescent="0.25">
      <c r="A1052" s="6">
        <v>1032</v>
      </c>
      <c r="B1052" s="7">
        <v>45130</v>
      </c>
      <c r="C1052" s="8" t="s">
        <v>119</v>
      </c>
      <c r="D1052" s="8" t="s">
        <v>117</v>
      </c>
      <c r="E1052" s="8" t="s">
        <v>292</v>
      </c>
      <c r="F1052" s="8" t="s">
        <v>115</v>
      </c>
      <c r="G1052" s="6">
        <v>32</v>
      </c>
      <c r="H1052" s="6">
        <v>9200</v>
      </c>
      <c r="I1052" s="6">
        <v>0</v>
      </c>
      <c r="J1052" s="6">
        <f t="shared" si="32"/>
        <v>294400</v>
      </c>
      <c r="K1052" s="6">
        <f t="shared" si="33"/>
        <v>294400</v>
      </c>
      <c r="L1052" s="8" t="s">
        <v>86</v>
      </c>
      <c r="M1052" s="8" t="s">
        <v>81</v>
      </c>
    </row>
    <row r="1053" spans="1:13" x14ac:dyDescent="0.25">
      <c r="A1053" s="9">
        <v>1033</v>
      </c>
      <c r="B1053" s="10">
        <v>45336</v>
      </c>
      <c r="C1053" s="11" t="s">
        <v>82</v>
      </c>
      <c r="D1053" s="11" t="s">
        <v>83</v>
      </c>
      <c r="E1053" s="11" t="s">
        <v>84</v>
      </c>
      <c r="F1053" s="11" t="s">
        <v>150</v>
      </c>
      <c r="G1053" s="9">
        <v>2</v>
      </c>
      <c r="H1053" s="9">
        <v>6300</v>
      </c>
      <c r="I1053" s="9">
        <v>10</v>
      </c>
      <c r="J1053" s="9">
        <f t="shared" si="32"/>
        <v>12600</v>
      </c>
      <c r="K1053" s="9">
        <f t="shared" si="33"/>
        <v>11340</v>
      </c>
      <c r="L1053" s="11" t="s">
        <v>76</v>
      </c>
      <c r="M1053" s="11" t="s">
        <v>96</v>
      </c>
    </row>
    <row r="1054" spans="1:13" x14ac:dyDescent="0.25">
      <c r="A1054" s="6">
        <v>1034</v>
      </c>
      <c r="B1054" s="7">
        <v>44940</v>
      </c>
      <c r="C1054" s="8" t="s">
        <v>106</v>
      </c>
      <c r="D1054" s="8" t="s">
        <v>73</v>
      </c>
      <c r="E1054" s="8" t="s">
        <v>74</v>
      </c>
      <c r="F1054" s="8" t="s">
        <v>140</v>
      </c>
      <c r="G1054" s="6">
        <v>48</v>
      </c>
      <c r="H1054" s="6">
        <v>5100</v>
      </c>
      <c r="I1054" s="6">
        <v>0</v>
      </c>
      <c r="J1054" s="6">
        <f t="shared" si="32"/>
        <v>244800</v>
      </c>
      <c r="K1054" s="6">
        <f t="shared" si="33"/>
        <v>244800</v>
      </c>
      <c r="L1054" s="8" t="s">
        <v>76</v>
      </c>
      <c r="M1054" s="8" t="s">
        <v>91</v>
      </c>
    </row>
    <row r="1055" spans="1:13" x14ac:dyDescent="0.25">
      <c r="A1055" s="9">
        <v>1035</v>
      </c>
      <c r="B1055" s="11" t="s">
        <v>477</v>
      </c>
      <c r="C1055" s="11" t="s">
        <v>119</v>
      </c>
      <c r="D1055" s="11" t="s">
        <v>268</v>
      </c>
      <c r="E1055" s="11" t="s">
        <v>111</v>
      </c>
      <c r="F1055" s="11" t="s">
        <v>156</v>
      </c>
      <c r="G1055" s="9">
        <v>47</v>
      </c>
      <c r="H1055" s="9">
        <v>44300</v>
      </c>
      <c r="I1055" s="9">
        <v>0</v>
      </c>
      <c r="J1055" s="9">
        <f t="shared" si="32"/>
        <v>2082100</v>
      </c>
      <c r="K1055" s="9">
        <f t="shared" si="33"/>
        <v>2082100</v>
      </c>
      <c r="L1055" s="11" t="s">
        <v>76</v>
      </c>
      <c r="M1055" s="11" t="s">
        <v>81</v>
      </c>
    </row>
    <row r="1056" spans="1:13" x14ac:dyDescent="0.25">
      <c r="A1056" s="6">
        <v>1036</v>
      </c>
      <c r="B1056" s="7">
        <v>45044</v>
      </c>
      <c r="C1056" s="8" t="s">
        <v>101</v>
      </c>
      <c r="D1056" s="8" t="s">
        <v>104</v>
      </c>
      <c r="E1056" s="8" t="s">
        <v>111</v>
      </c>
      <c r="F1056" s="8" t="s">
        <v>156</v>
      </c>
      <c r="G1056" s="6">
        <v>7</v>
      </c>
      <c r="H1056" s="6">
        <v>42800</v>
      </c>
      <c r="I1056" s="6">
        <v>0</v>
      </c>
      <c r="J1056" s="6">
        <f t="shared" si="32"/>
        <v>299600</v>
      </c>
      <c r="K1056" s="6">
        <f t="shared" si="33"/>
        <v>299600</v>
      </c>
      <c r="L1056" s="8" t="s">
        <v>86</v>
      </c>
      <c r="M1056" s="8" t="s">
        <v>81</v>
      </c>
    </row>
    <row r="1057" spans="1:13" x14ac:dyDescent="0.25">
      <c r="A1057" s="9">
        <v>1037</v>
      </c>
      <c r="B1057" s="11" t="s">
        <v>478</v>
      </c>
      <c r="C1057" s="11" t="s">
        <v>327</v>
      </c>
      <c r="D1057" s="11" t="s">
        <v>109</v>
      </c>
      <c r="E1057" s="11" t="s">
        <v>79</v>
      </c>
      <c r="F1057" s="11" t="s">
        <v>122</v>
      </c>
      <c r="G1057" s="9">
        <v>18</v>
      </c>
      <c r="H1057" s="9">
        <v>18000</v>
      </c>
      <c r="I1057" s="9">
        <v>5</v>
      </c>
      <c r="J1057" s="9">
        <f t="shared" si="32"/>
        <v>324000</v>
      </c>
      <c r="K1057" s="9">
        <f t="shared" si="33"/>
        <v>307800</v>
      </c>
      <c r="L1057" s="11" t="s">
        <v>125</v>
      </c>
      <c r="M1057" s="11" t="s">
        <v>81</v>
      </c>
    </row>
    <row r="1058" spans="1:13" x14ac:dyDescent="0.25">
      <c r="A1058" s="6">
        <v>1038</v>
      </c>
      <c r="B1058" s="7">
        <v>44945</v>
      </c>
      <c r="C1058" s="8" t="s">
        <v>124</v>
      </c>
      <c r="D1058" s="8" t="s">
        <v>109</v>
      </c>
      <c r="E1058" s="8" t="s">
        <v>79</v>
      </c>
      <c r="F1058" s="8" t="s">
        <v>136</v>
      </c>
      <c r="G1058" s="6">
        <v>34</v>
      </c>
      <c r="H1058" s="6">
        <v>84600</v>
      </c>
      <c r="I1058" s="6">
        <v>0</v>
      </c>
      <c r="J1058" s="6">
        <f t="shared" si="32"/>
        <v>2876400</v>
      </c>
      <c r="K1058" s="6">
        <f t="shared" si="33"/>
        <v>2876400</v>
      </c>
      <c r="L1058" s="8" t="s">
        <v>76</v>
      </c>
      <c r="M1058" s="8" t="s">
        <v>81</v>
      </c>
    </row>
    <row r="1059" spans="1:13" x14ac:dyDescent="0.25">
      <c r="A1059" s="9">
        <v>209</v>
      </c>
      <c r="B1059" s="10">
        <v>45554</v>
      </c>
      <c r="C1059" s="11" t="s">
        <v>88</v>
      </c>
      <c r="D1059" s="11" t="s">
        <v>109</v>
      </c>
      <c r="E1059" s="11" t="s">
        <v>111</v>
      </c>
      <c r="F1059" s="11" t="s">
        <v>135</v>
      </c>
      <c r="G1059" s="9">
        <v>33</v>
      </c>
      <c r="H1059" s="9">
        <v>120600</v>
      </c>
      <c r="I1059" s="9">
        <v>15</v>
      </c>
      <c r="J1059" s="9">
        <f t="shared" si="32"/>
        <v>3979800</v>
      </c>
      <c r="K1059" s="9">
        <f t="shared" si="33"/>
        <v>3382830</v>
      </c>
      <c r="L1059" s="11" t="s">
        <v>86</v>
      </c>
      <c r="M1059" s="11" t="s">
        <v>91</v>
      </c>
    </row>
    <row r="1060" spans="1:13" x14ac:dyDescent="0.25">
      <c r="A1060" s="6">
        <v>1039</v>
      </c>
      <c r="B1060" s="7">
        <v>45271</v>
      </c>
      <c r="C1060" s="8" t="s">
        <v>114</v>
      </c>
      <c r="D1060" s="8" t="s">
        <v>83</v>
      </c>
      <c r="E1060" s="8" t="s">
        <v>79</v>
      </c>
      <c r="F1060" s="8" t="s">
        <v>115</v>
      </c>
      <c r="G1060" s="6">
        <v>20</v>
      </c>
      <c r="H1060" s="6" t="s">
        <v>258</v>
      </c>
      <c r="I1060" s="6">
        <v>0</v>
      </c>
      <c r="J1060" s="6" t="e">
        <f t="shared" si="32"/>
        <v>#VALUE!</v>
      </c>
      <c r="K1060" s="6" t="e">
        <f t="shared" si="33"/>
        <v>#VALUE!</v>
      </c>
      <c r="L1060" s="8" t="s">
        <v>76</v>
      </c>
      <c r="M1060" s="8" t="s">
        <v>96</v>
      </c>
    </row>
    <row r="1061" spans="1:13" x14ac:dyDescent="0.25">
      <c r="A1061" s="9">
        <v>1040</v>
      </c>
      <c r="B1061" s="10">
        <v>45286</v>
      </c>
      <c r="C1061" s="11" t="s">
        <v>114</v>
      </c>
      <c r="D1061" s="11" t="s">
        <v>109</v>
      </c>
      <c r="E1061" s="11" t="s">
        <v>74</v>
      </c>
      <c r="F1061" s="11" t="s">
        <v>94</v>
      </c>
      <c r="G1061" s="9">
        <v>1</v>
      </c>
      <c r="H1061" s="9">
        <v>33100</v>
      </c>
      <c r="I1061" s="9">
        <v>0</v>
      </c>
      <c r="J1061" s="9">
        <f t="shared" si="32"/>
        <v>33100</v>
      </c>
      <c r="K1061" s="9">
        <f t="shared" si="33"/>
        <v>33100</v>
      </c>
      <c r="L1061" s="11" t="s">
        <v>76</v>
      </c>
      <c r="M1061" s="11" t="s">
        <v>96</v>
      </c>
    </row>
    <row r="1062" spans="1:13" x14ac:dyDescent="0.25">
      <c r="A1062" s="6">
        <v>1041</v>
      </c>
      <c r="B1062" s="7">
        <v>45219</v>
      </c>
      <c r="C1062" s="8" t="s">
        <v>119</v>
      </c>
      <c r="D1062" s="8" t="s">
        <v>117</v>
      </c>
      <c r="E1062" s="8" t="s">
        <v>102</v>
      </c>
      <c r="F1062" s="8" t="s">
        <v>137</v>
      </c>
      <c r="G1062" s="6">
        <v>17</v>
      </c>
      <c r="H1062" s="6">
        <v>2200</v>
      </c>
      <c r="I1062" s="6">
        <v>0</v>
      </c>
      <c r="J1062" s="6">
        <f t="shared" si="32"/>
        <v>37400</v>
      </c>
      <c r="K1062" s="6">
        <f t="shared" si="33"/>
        <v>37400</v>
      </c>
      <c r="L1062" s="8" t="s">
        <v>125</v>
      </c>
      <c r="M1062" s="8" t="s">
        <v>96</v>
      </c>
    </row>
    <row r="1063" spans="1:13" x14ac:dyDescent="0.25">
      <c r="A1063" s="9">
        <v>1042</v>
      </c>
      <c r="B1063" s="10">
        <v>45238</v>
      </c>
      <c r="C1063" s="11" t="s">
        <v>97</v>
      </c>
      <c r="D1063" s="11" t="s">
        <v>73</v>
      </c>
      <c r="E1063" s="11" t="s">
        <v>79</v>
      </c>
      <c r="F1063" s="11" t="s">
        <v>122</v>
      </c>
      <c r="G1063" s="9">
        <v>48</v>
      </c>
      <c r="H1063" s="9">
        <v>17700</v>
      </c>
      <c r="I1063" s="9">
        <v>0</v>
      </c>
      <c r="J1063" s="9">
        <f t="shared" si="32"/>
        <v>849600</v>
      </c>
      <c r="K1063" s="9">
        <f t="shared" si="33"/>
        <v>849600</v>
      </c>
      <c r="L1063" s="11" t="s">
        <v>86</v>
      </c>
      <c r="M1063" s="11" t="s">
        <v>96</v>
      </c>
    </row>
    <row r="1064" spans="1:13" x14ac:dyDescent="0.25">
      <c r="A1064" s="6">
        <v>1043</v>
      </c>
      <c r="B1064" s="7">
        <v>45592</v>
      </c>
      <c r="C1064" s="8" t="s">
        <v>101</v>
      </c>
      <c r="D1064" s="8" t="s">
        <v>109</v>
      </c>
      <c r="E1064" s="8" t="s">
        <v>102</v>
      </c>
      <c r="F1064" s="8" t="s">
        <v>151</v>
      </c>
      <c r="G1064" s="6">
        <v>7</v>
      </c>
      <c r="H1064" s="6">
        <v>6900</v>
      </c>
      <c r="I1064" s="6">
        <v>0</v>
      </c>
      <c r="J1064" s="6">
        <f t="shared" si="32"/>
        <v>48300</v>
      </c>
      <c r="K1064" s="6">
        <f t="shared" si="33"/>
        <v>48300</v>
      </c>
      <c r="L1064" s="8" t="s">
        <v>76</v>
      </c>
      <c r="M1064" s="8" t="s">
        <v>77</v>
      </c>
    </row>
    <row r="1065" spans="1:13" x14ac:dyDescent="0.25">
      <c r="A1065" s="9">
        <v>1044</v>
      </c>
      <c r="B1065" s="10">
        <v>45527</v>
      </c>
      <c r="C1065" s="11" t="s">
        <v>106</v>
      </c>
      <c r="D1065" s="11" t="s">
        <v>109</v>
      </c>
      <c r="E1065" s="11" t="s">
        <v>111</v>
      </c>
      <c r="F1065" s="11" t="s">
        <v>112</v>
      </c>
      <c r="G1065" s="9">
        <v>35</v>
      </c>
      <c r="H1065" s="9">
        <v>59700</v>
      </c>
      <c r="I1065" s="9">
        <v>15</v>
      </c>
      <c r="J1065" s="9">
        <f t="shared" si="32"/>
        <v>2089500</v>
      </c>
      <c r="K1065" s="9">
        <f t="shared" si="33"/>
        <v>1776075</v>
      </c>
      <c r="L1065" s="11" t="s">
        <v>76</v>
      </c>
      <c r="M1065" s="11" t="s">
        <v>96</v>
      </c>
    </row>
    <row r="1066" spans="1:13" x14ac:dyDescent="0.25">
      <c r="A1066" s="6">
        <v>1045</v>
      </c>
      <c r="B1066" s="7">
        <v>45412</v>
      </c>
      <c r="C1066" s="8" t="s">
        <v>106</v>
      </c>
      <c r="D1066" s="8" t="s">
        <v>93</v>
      </c>
      <c r="E1066" s="8" t="s">
        <v>84</v>
      </c>
      <c r="F1066" s="8" t="s">
        <v>206</v>
      </c>
      <c r="G1066" s="6">
        <v>27</v>
      </c>
      <c r="H1066" s="6">
        <v>13000</v>
      </c>
      <c r="I1066" s="6">
        <v>20</v>
      </c>
      <c r="J1066" s="6">
        <f t="shared" si="32"/>
        <v>351000</v>
      </c>
      <c r="K1066" s="6">
        <f t="shared" si="33"/>
        <v>280800</v>
      </c>
      <c r="L1066" s="8" t="s">
        <v>76</v>
      </c>
      <c r="M1066" s="8" t="s">
        <v>96</v>
      </c>
    </row>
    <row r="1067" spans="1:13" x14ac:dyDescent="0.25">
      <c r="A1067" s="9">
        <v>1046</v>
      </c>
      <c r="B1067" s="10">
        <v>45500</v>
      </c>
      <c r="C1067" s="11" t="s">
        <v>88</v>
      </c>
      <c r="D1067" s="11" t="s">
        <v>117</v>
      </c>
      <c r="E1067" s="11" t="s">
        <v>111</v>
      </c>
      <c r="F1067" s="11" t="s">
        <v>112</v>
      </c>
      <c r="G1067" s="9">
        <v>5</v>
      </c>
      <c r="H1067" s="9">
        <v>73300</v>
      </c>
      <c r="I1067" s="9">
        <v>0</v>
      </c>
      <c r="J1067" s="9">
        <f t="shared" si="32"/>
        <v>366500</v>
      </c>
      <c r="K1067" s="9">
        <f t="shared" si="33"/>
        <v>366500</v>
      </c>
      <c r="L1067" s="11" t="s">
        <v>129</v>
      </c>
      <c r="M1067" s="11" t="s">
        <v>77</v>
      </c>
    </row>
    <row r="1068" spans="1:13" x14ac:dyDescent="0.25">
      <c r="A1068" s="6">
        <v>1047</v>
      </c>
      <c r="B1068" s="7">
        <v>45540</v>
      </c>
      <c r="C1068" s="8" t="s">
        <v>101</v>
      </c>
      <c r="D1068" s="8" t="s">
        <v>109</v>
      </c>
      <c r="E1068" s="8" t="s">
        <v>74</v>
      </c>
      <c r="F1068" s="8" t="s">
        <v>94</v>
      </c>
      <c r="G1068" s="6">
        <v>4</v>
      </c>
      <c r="H1068" s="6">
        <v>39900</v>
      </c>
      <c r="I1068" s="6">
        <v>15</v>
      </c>
      <c r="J1068" s="6">
        <f t="shared" si="32"/>
        <v>159600</v>
      </c>
      <c r="K1068" s="6">
        <f t="shared" si="33"/>
        <v>135660</v>
      </c>
      <c r="L1068" s="8" t="s">
        <v>187</v>
      </c>
      <c r="M1068" s="8" t="s">
        <v>81</v>
      </c>
    </row>
    <row r="1069" spans="1:13" x14ac:dyDescent="0.25">
      <c r="A1069" s="9">
        <v>1048</v>
      </c>
      <c r="B1069" s="10">
        <v>45334</v>
      </c>
      <c r="C1069" s="11" t="s">
        <v>119</v>
      </c>
      <c r="D1069" s="11" t="s">
        <v>93</v>
      </c>
      <c r="E1069" s="11" t="s">
        <v>102</v>
      </c>
      <c r="F1069" s="11" t="s">
        <v>137</v>
      </c>
      <c r="G1069" s="9">
        <v>49</v>
      </c>
      <c r="H1069" s="9">
        <v>2100</v>
      </c>
      <c r="I1069" s="9">
        <v>5</v>
      </c>
      <c r="J1069" s="9">
        <f t="shared" si="32"/>
        <v>102900</v>
      </c>
      <c r="K1069" s="9">
        <f t="shared" si="33"/>
        <v>97755</v>
      </c>
      <c r="L1069" s="11" t="s">
        <v>76</v>
      </c>
      <c r="M1069" s="11" t="s">
        <v>91</v>
      </c>
    </row>
    <row r="1070" spans="1:13" x14ac:dyDescent="0.25">
      <c r="A1070" s="6">
        <v>1049</v>
      </c>
      <c r="B1070" s="7">
        <v>45548</v>
      </c>
      <c r="C1070" s="8" t="s">
        <v>101</v>
      </c>
      <c r="D1070" s="8"/>
      <c r="E1070" s="8" t="s">
        <v>84</v>
      </c>
      <c r="F1070" s="8" t="s">
        <v>206</v>
      </c>
      <c r="G1070" s="6">
        <v>14</v>
      </c>
      <c r="H1070" s="6">
        <v>13200</v>
      </c>
      <c r="I1070" s="6">
        <v>20</v>
      </c>
      <c r="J1070" s="6">
        <f t="shared" si="32"/>
        <v>184800</v>
      </c>
      <c r="K1070" s="6">
        <f t="shared" si="33"/>
        <v>147840</v>
      </c>
      <c r="L1070" s="8" t="s">
        <v>76</v>
      </c>
      <c r="M1070" s="8" t="s">
        <v>77</v>
      </c>
    </row>
    <row r="1071" spans="1:13" x14ac:dyDescent="0.25">
      <c r="A1071" s="9">
        <v>1050</v>
      </c>
      <c r="B1071" s="10">
        <v>45452</v>
      </c>
      <c r="C1071" s="11" t="s">
        <v>119</v>
      </c>
      <c r="D1071" s="11" t="s">
        <v>93</v>
      </c>
      <c r="E1071" s="11" t="s">
        <v>102</v>
      </c>
      <c r="F1071" s="11" t="s">
        <v>110</v>
      </c>
      <c r="G1071" s="9">
        <v>15</v>
      </c>
      <c r="H1071" s="9">
        <v>21500</v>
      </c>
      <c r="I1071" s="9"/>
      <c r="J1071" s="9">
        <f t="shared" si="32"/>
        <v>322500</v>
      </c>
      <c r="K1071" s="9">
        <f t="shared" si="33"/>
        <v>322500</v>
      </c>
      <c r="L1071" s="11" t="s">
        <v>76</v>
      </c>
      <c r="M1071" s="11" t="s">
        <v>96</v>
      </c>
    </row>
    <row r="1072" spans="1:13" x14ac:dyDescent="0.25">
      <c r="A1072" s="6">
        <v>1051</v>
      </c>
      <c r="B1072" s="7">
        <v>45048</v>
      </c>
      <c r="C1072" s="8" t="s">
        <v>108</v>
      </c>
      <c r="D1072" s="8" t="s">
        <v>109</v>
      </c>
      <c r="E1072" s="8" t="s">
        <v>79</v>
      </c>
      <c r="F1072" s="8" t="s">
        <v>80</v>
      </c>
      <c r="G1072" s="6">
        <v>41</v>
      </c>
      <c r="H1072" s="6">
        <v>8300</v>
      </c>
      <c r="I1072" s="6">
        <v>0</v>
      </c>
      <c r="J1072" s="6">
        <f t="shared" si="32"/>
        <v>340300</v>
      </c>
      <c r="K1072" s="6">
        <f t="shared" si="33"/>
        <v>340300</v>
      </c>
      <c r="L1072" s="8" t="s">
        <v>76</v>
      </c>
      <c r="M1072" s="8"/>
    </row>
    <row r="1073" spans="1:13" x14ac:dyDescent="0.25">
      <c r="A1073" s="9">
        <v>1052</v>
      </c>
      <c r="B1073" s="10">
        <v>45203</v>
      </c>
      <c r="C1073" s="11" t="s">
        <v>78</v>
      </c>
      <c r="D1073" s="11" t="s">
        <v>109</v>
      </c>
      <c r="E1073" s="11" t="s">
        <v>84</v>
      </c>
      <c r="F1073" s="11" t="s">
        <v>150</v>
      </c>
      <c r="G1073" s="9">
        <v>23</v>
      </c>
      <c r="H1073" s="9">
        <v>5000</v>
      </c>
      <c r="I1073" s="9">
        <v>0</v>
      </c>
      <c r="J1073" s="9">
        <f t="shared" si="32"/>
        <v>115000</v>
      </c>
      <c r="K1073" s="9">
        <f t="shared" si="33"/>
        <v>115000</v>
      </c>
      <c r="L1073" s="11" t="s">
        <v>76</v>
      </c>
      <c r="M1073" s="11" t="s">
        <v>96</v>
      </c>
    </row>
    <row r="1074" spans="1:13" x14ac:dyDescent="0.25">
      <c r="A1074" s="6">
        <v>1053</v>
      </c>
      <c r="B1074" s="7">
        <v>45012</v>
      </c>
      <c r="C1074" s="8" t="s">
        <v>82</v>
      </c>
      <c r="D1074" s="8" t="s">
        <v>117</v>
      </c>
      <c r="E1074" s="8" t="s">
        <v>176</v>
      </c>
      <c r="F1074" s="8" t="s">
        <v>148</v>
      </c>
      <c r="G1074" s="6">
        <v>19</v>
      </c>
      <c r="H1074" s="6">
        <v>5400</v>
      </c>
      <c r="I1074" s="6">
        <v>15</v>
      </c>
      <c r="J1074" s="6">
        <f t="shared" si="32"/>
        <v>102600</v>
      </c>
      <c r="K1074" s="6">
        <f t="shared" si="33"/>
        <v>87210</v>
      </c>
      <c r="L1074" s="8" t="s">
        <v>76</v>
      </c>
      <c r="M1074" s="8" t="s">
        <v>77</v>
      </c>
    </row>
    <row r="1075" spans="1:13" x14ac:dyDescent="0.25">
      <c r="A1075" s="9">
        <v>1054</v>
      </c>
      <c r="B1075" s="10">
        <v>44937</v>
      </c>
      <c r="C1075" s="11" t="s">
        <v>88</v>
      </c>
      <c r="D1075" s="11" t="s">
        <v>109</v>
      </c>
      <c r="E1075" s="11" t="s">
        <v>74</v>
      </c>
      <c r="F1075" s="11" t="s">
        <v>142</v>
      </c>
      <c r="G1075" s="9">
        <v>2</v>
      </c>
      <c r="H1075" s="9">
        <v>11600</v>
      </c>
      <c r="I1075" s="9">
        <v>15</v>
      </c>
      <c r="J1075" s="9">
        <f t="shared" si="32"/>
        <v>23200</v>
      </c>
      <c r="K1075" s="9">
        <f t="shared" si="33"/>
        <v>19720</v>
      </c>
      <c r="L1075" s="11" t="s">
        <v>76</v>
      </c>
      <c r="M1075" s="11" t="s">
        <v>77</v>
      </c>
    </row>
    <row r="1076" spans="1:13" x14ac:dyDescent="0.25">
      <c r="A1076" s="6">
        <v>1055</v>
      </c>
      <c r="B1076" s="8" t="s">
        <v>479</v>
      </c>
      <c r="C1076" s="8" t="s">
        <v>114</v>
      </c>
      <c r="D1076" s="8" t="s">
        <v>117</v>
      </c>
      <c r="E1076" s="8" t="s">
        <v>102</v>
      </c>
      <c r="F1076" s="8" t="s">
        <v>181</v>
      </c>
      <c r="G1076" s="6">
        <v>15</v>
      </c>
      <c r="H1076" s="6">
        <v>5000</v>
      </c>
      <c r="I1076" s="6">
        <v>10</v>
      </c>
      <c r="J1076" s="6">
        <f t="shared" si="32"/>
        <v>75000</v>
      </c>
      <c r="K1076" s="6">
        <f t="shared" si="33"/>
        <v>67500</v>
      </c>
      <c r="L1076" s="8" t="s">
        <v>76</v>
      </c>
      <c r="M1076" s="8" t="s">
        <v>81</v>
      </c>
    </row>
    <row r="1077" spans="1:13" x14ac:dyDescent="0.25">
      <c r="A1077" s="9">
        <v>1056</v>
      </c>
      <c r="B1077" s="10">
        <v>45571</v>
      </c>
      <c r="C1077" s="11" t="s">
        <v>114</v>
      </c>
      <c r="D1077" s="11" t="s">
        <v>109</v>
      </c>
      <c r="E1077" s="11" t="s">
        <v>111</v>
      </c>
      <c r="F1077" s="11" t="s">
        <v>156</v>
      </c>
      <c r="G1077" s="9">
        <v>28</v>
      </c>
      <c r="H1077" s="9">
        <v>45500</v>
      </c>
      <c r="I1077" s="9">
        <v>0</v>
      </c>
      <c r="J1077" s="9">
        <f t="shared" si="32"/>
        <v>1274000</v>
      </c>
      <c r="K1077" s="9">
        <f t="shared" si="33"/>
        <v>1274000</v>
      </c>
      <c r="L1077" s="11" t="s">
        <v>76</v>
      </c>
      <c r="M1077" s="11" t="s">
        <v>91</v>
      </c>
    </row>
    <row r="1078" spans="1:13" x14ac:dyDescent="0.25">
      <c r="A1078" s="6">
        <v>186</v>
      </c>
      <c r="B1078" s="7">
        <v>45323</v>
      </c>
      <c r="C1078" s="8" t="s">
        <v>82</v>
      </c>
      <c r="D1078" s="8" t="s">
        <v>73</v>
      </c>
      <c r="E1078" s="8" t="s">
        <v>74</v>
      </c>
      <c r="F1078" s="8" t="s">
        <v>190</v>
      </c>
      <c r="G1078" s="6">
        <v>14</v>
      </c>
      <c r="H1078" s="6">
        <v>34400</v>
      </c>
      <c r="I1078" s="6">
        <v>15</v>
      </c>
      <c r="J1078" s="6">
        <f t="shared" si="32"/>
        <v>481600</v>
      </c>
      <c r="K1078" s="6">
        <f t="shared" si="33"/>
        <v>409360</v>
      </c>
      <c r="L1078" s="8" t="s">
        <v>125</v>
      </c>
      <c r="M1078" s="8" t="s">
        <v>96</v>
      </c>
    </row>
    <row r="1079" spans="1:13" x14ac:dyDescent="0.25">
      <c r="A1079" s="9">
        <v>1057</v>
      </c>
      <c r="B1079" s="10">
        <v>45434</v>
      </c>
      <c r="C1079" s="11" t="s">
        <v>108</v>
      </c>
      <c r="D1079" s="11" t="s">
        <v>83</v>
      </c>
      <c r="E1079" s="11" t="s">
        <v>84</v>
      </c>
      <c r="F1079" s="11" t="s">
        <v>128</v>
      </c>
      <c r="G1079" s="9">
        <v>32</v>
      </c>
      <c r="H1079" s="9">
        <v>4000</v>
      </c>
      <c r="I1079" s="9">
        <v>15</v>
      </c>
      <c r="J1079" s="9">
        <f t="shared" si="32"/>
        <v>128000</v>
      </c>
      <c r="K1079" s="9">
        <f t="shared" si="33"/>
        <v>108800</v>
      </c>
      <c r="L1079" s="11" t="s">
        <v>125</v>
      </c>
      <c r="M1079" s="11" t="s">
        <v>81</v>
      </c>
    </row>
    <row r="1080" spans="1:13" x14ac:dyDescent="0.25">
      <c r="A1080" s="6">
        <v>1058</v>
      </c>
      <c r="B1080" s="7">
        <v>45215</v>
      </c>
      <c r="C1080" s="8" t="s">
        <v>78</v>
      </c>
      <c r="D1080" s="8" t="s">
        <v>313</v>
      </c>
      <c r="E1080" s="8" t="s">
        <v>84</v>
      </c>
      <c r="F1080" s="8" t="s">
        <v>128</v>
      </c>
      <c r="G1080" s="6">
        <v>44</v>
      </c>
      <c r="H1080" s="6">
        <v>4600</v>
      </c>
      <c r="I1080" s="6">
        <v>0</v>
      </c>
      <c r="J1080" s="6">
        <f t="shared" si="32"/>
        <v>202400</v>
      </c>
      <c r="K1080" s="6">
        <f t="shared" si="33"/>
        <v>202400</v>
      </c>
      <c r="L1080" s="8" t="s">
        <v>76</v>
      </c>
      <c r="M1080" s="8" t="s">
        <v>77</v>
      </c>
    </row>
    <row r="1081" spans="1:13" x14ac:dyDescent="0.25">
      <c r="A1081" s="9">
        <v>1059</v>
      </c>
      <c r="B1081" s="10">
        <v>45000</v>
      </c>
      <c r="C1081" s="11" t="s">
        <v>114</v>
      </c>
      <c r="D1081" s="11" t="s">
        <v>109</v>
      </c>
      <c r="E1081" s="11" t="s">
        <v>111</v>
      </c>
      <c r="F1081" s="11" t="s">
        <v>165</v>
      </c>
      <c r="G1081" s="9">
        <v>34</v>
      </c>
      <c r="H1081" s="9">
        <v>16700</v>
      </c>
      <c r="I1081" s="9">
        <v>10</v>
      </c>
      <c r="J1081" s="9">
        <f t="shared" si="32"/>
        <v>567800</v>
      </c>
      <c r="K1081" s="9">
        <f t="shared" si="33"/>
        <v>511020</v>
      </c>
      <c r="L1081" s="11" t="s">
        <v>76</v>
      </c>
      <c r="M1081" s="11" t="s">
        <v>77</v>
      </c>
    </row>
    <row r="1082" spans="1:13" x14ac:dyDescent="0.25">
      <c r="A1082" s="6">
        <v>1060</v>
      </c>
      <c r="B1082" s="7">
        <v>45029</v>
      </c>
      <c r="C1082" s="8" t="s">
        <v>114</v>
      </c>
      <c r="D1082" s="8" t="s">
        <v>83</v>
      </c>
      <c r="E1082" s="8" t="s">
        <v>79</v>
      </c>
      <c r="F1082" s="8" t="s">
        <v>131</v>
      </c>
      <c r="G1082" s="6">
        <v>49</v>
      </c>
      <c r="H1082" s="6">
        <v>132800</v>
      </c>
      <c r="I1082" s="6">
        <v>0</v>
      </c>
      <c r="J1082" s="6">
        <f t="shared" si="32"/>
        <v>6507200</v>
      </c>
      <c r="K1082" s="6">
        <f t="shared" si="33"/>
        <v>6507200</v>
      </c>
      <c r="L1082" s="8" t="s">
        <v>86</v>
      </c>
      <c r="M1082" s="8" t="s">
        <v>77</v>
      </c>
    </row>
    <row r="1083" spans="1:13" x14ac:dyDescent="0.25">
      <c r="A1083" s="9">
        <v>1061</v>
      </c>
      <c r="B1083" s="11" t="s">
        <v>480</v>
      </c>
      <c r="C1083" s="11" t="s">
        <v>97</v>
      </c>
      <c r="D1083" s="11" t="s">
        <v>117</v>
      </c>
      <c r="E1083" s="11" t="s">
        <v>84</v>
      </c>
      <c r="F1083" s="11" t="s">
        <v>206</v>
      </c>
      <c r="G1083" s="9">
        <v>1</v>
      </c>
      <c r="H1083" s="9">
        <v>15400</v>
      </c>
      <c r="I1083" s="9">
        <v>10</v>
      </c>
      <c r="J1083" s="9">
        <f t="shared" si="32"/>
        <v>15400</v>
      </c>
      <c r="K1083" s="9">
        <f t="shared" si="33"/>
        <v>13860</v>
      </c>
      <c r="L1083" s="11" t="s">
        <v>125</v>
      </c>
      <c r="M1083" s="11" t="s">
        <v>77</v>
      </c>
    </row>
    <row r="1084" spans="1:13" x14ac:dyDescent="0.25">
      <c r="A1084" s="6">
        <v>175</v>
      </c>
      <c r="B1084" s="7">
        <v>44972</v>
      </c>
      <c r="C1084" s="8" t="s">
        <v>88</v>
      </c>
      <c r="D1084" s="8" t="s">
        <v>93</v>
      </c>
      <c r="E1084" s="8" t="s">
        <v>74</v>
      </c>
      <c r="F1084" s="8" t="s">
        <v>142</v>
      </c>
      <c r="G1084" s="6">
        <v>44</v>
      </c>
      <c r="H1084" s="6">
        <v>13300</v>
      </c>
      <c r="I1084" s="6">
        <v>15</v>
      </c>
      <c r="J1084" s="6">
        <f t="shared" si="32"/>
        <v>585200</v>
      </c>
      <c r="K1084" s="6">
        <f t="shared" si="33"/>
        <v>497420</v>
      </c>
      <c r="L1084" s="8" t="s">
        <v>76</v>
      </c>
      <c r="M1084" s="8" t="s">
        <v>91</v>
      </c>
    </row>
    <row r="1085" spans="1:13" x14ac:dyDescent="0.25">
      <c r="A1085" s="9">
        <v>1062</v>
      </c>
      <c r="B1085" s="10">
        <v>45273</v>
      </c>
      <c r="C1085" s="11" t="s">
        <v>274</v>
      </c>
      <c r="D1085" s="11" t="s">
        <v>109</v>
      </c>
      <c r="E1085" s="11" t="s">
        <v>84</v>
      </c>
      <c r="F1085" s="11" t="s">
        <v>85</v>
      </c>
      <c r="G1085" s="9">
        <v>29</v>
      </c>
      <c r="H1085" s="9">
        <v>5900</v>
      </c>
      <c r="I1085" s="9">
        <v>0</v>
      </c>
      <c r="J1085" s="9">
        <f t="shared" si="32"/>
        <v>171100</v>
      </c>
      <c r="K1085" s="9">
        <f t="shared" si="33"/>
        <v>171100</v>
      </c>
      <c r="L1085" s="11" t="s">
        <v>86</v>
      </c>
      <c r="M1085" s="11" t="s">
        <v>96</v>
      </c>
    </row>
    <row r="1086" spans="1:13" x14ac:dyDescent="0.25">
      <c r="A1086" s="6">
        <v>1063</v>
      </c>
      <c r="B1086" s="7">
        <v>45417</v>
      </c>
      <c r="C1086" s="8" t="s">
        <v>108</v>
      </c>
      <c r="D1086" s="8" t="s">
        <v>109</v>
      </c>
      <c r="E1086" s="8" t="s">
        <v>79</v>
      </c>
      <c r="F1086" s="8" t="s">
        <v>179</v>
      </c>
      <c r="G1086" s="6">
        <v>8</v>
      </c>
      <c r="H1086" s="6">
        <v>2600</v>
      </c>
      <c r="I1086" s="6">
        <v>0</v>
      </c>
      <c r="J1086" s="6">
        <f t="shared" si="32"/>
        <v>20800</v>
      </c>
      <c r="K1086" s="6">
        <f t="shared" si="33"/>
        <v>20800</v>
      </c>
      <c r="L1086" s="8" t="s">
        <v>76</v>
      </c>
      <c r="M1086" s="8" t="s">
        <v>77</v>
      </c>
    </row>
    <row r="1087" spans="1:13" x14ac:dyDescent="0.25">
      <c r="A1087" s="9">
        <v>1064</v>
      </c>
      <c r="B1087" s="11" t="s">
        <v>481</v>
      </c>
      <c r="C1087" s="11" t="s">
        <v>101</v>
      </c>
      <c r="D1087" s="11" t="s">
        <v>73</v>
      </c>
      <c r="E1087" s="11" t="s">
        <v>102</v>
      </c>
      <c r="F1087" s="11" t="s">
        <v>151</v>
      </c>
      <c r="G1087" s="9">
        <v>15</v>
      </c>
      <c r="H1087" s="9">
        <v>7000</v>
      </c>
      <c r="I1087" s="9">
        <v>5</v>
      </c>
      <c r="J1087" s="9">
        <f t="shared" si="32"/>
        <v>105000</v>
      </c>
      <c r="K1087" s="9">
        <f t="shared" si="33"/>
        <v>99750</v>
      </c>
      <c r="L1087" s="11" t="s">
        <v>76</v>
      </c>
      <c r="M1087" s="11" t="s">
        <v>91</v>
      </c>
    </row>
    <row r="1088" spans="1:13" x14ac:dyDescent="0.25">
      <c r="A1088" s="6">
        <v>163</v>
      </c>
      <c r="B1088" s="7">
        <v>45473</v>
      </c>
      <c r="C1088" s="8" t="s">
        <v>106</v>
      </c>
      <c r="D1088" s="8" t="s">
        <v>117</v>
      </c>
      <c r="E1088" s="8" t="s">
        <v>111</v>
      </c>
      <c r="F1088" s="8" t="s">
        <v>156</v>
      </c>
      <c r="G1088" s="6">
        <v>37</v>
      </c>
      <c r="H1088" s="6">
        <v>41700</v>
      </c>
      <c r="I1088" s="6">
        <v>20</v>
      </c>
      <c r="J1088" s="6">
        <f t="shared" si="32"/>
        <v>1542900</v>
      </c>
      <c r="K1088" s="6">
        <f t="shared" si="33"/>
        <v>1234320</v>
      </c>
      <c r="L1088" s="8" t="s">
        <v>125</v>
      </c>
      <c r="M1088" s="8" t="s">
        <v>91</v>
      </c>
    </row>
    <row r="1089" spans="1:13" x14ac:dyDescent="0.25">
      <c r="A1089" s="9">
        <v>1065</v>
      </c>
      <c r="B1089" s="10">
        <v>45077</v>
      </c>
      <c r="C1089" s="11" t="s">
        <v>88</v>
      </c>
      <c r="D1089" s="11" t="s">
        <v>117</v>
      </c>
      <c r="E1089" s="11" t="s">
        <v>84</v>
      </c>
      <c r="F1089" s="11" t="s">
        <v>148</v>
      </c>
      <c r="G1089" s="9">
        <v>46</v>
      </c>
      <c r="H1089" s="9">
        <v>5100</v>
      </c>
      <c r="I1089" s="9">
        <v>5</v>
      </c>
      <c r="J1089" s="9">
        <f t="shared" si="32"/>
        <v>234600</v>
      </c>
      <c r="K1089" s="9">
        <f t="shared" si="33"/>
        <v>222870</v>
      </c>
      <c r="L1089" s="11" t="s">
        <v>86</v>
      </c>
      <c r="M1089" s="11" t="s">
        <v>77</v>
      </c>
    </row>
    <row r="1090" spans="1:13" x14ac:dyDescent="0.25">
      <c r="A1090" s="6">
        <v>1066</v>
      </c>
      <c r="B1090" s="7">
        <v>45100</v>
      </c>
      <c r="C1090" s="8" t="s">
        <v>97</v>
      </c>
      <c r="D1090" s="8" t="s">
        <v>109</v>
      </c>
      <c r="E1090" s="8" t="s">
        <v>79</v>
      </c>
      <c r="F1090" s="8" t="s">
        <v>179</v>
      </c>
      <c r="G1090" s="6">
        <v>40</v>
      </c>
      <c r="H1090" s="6" t="s">
        <v>372</v>
      </c>
      <c r="I1090" s="6">
        <v>0</v>
      </c>
      <c r="J1090" s="6" t="e">
        <f t="shared" ref="J1090:J1153" si="34">G1090*H1090</f>
        <v>#VALUE!</v>
      </c>
      <c r="K1090" s="6" t="e">
        <f t="shared" ref="K1090:K1153" si="35">J1090*(1-I1090/100)</f>
        <v>#VALUE!</v>
      </c>
      <c r="L1090" s="8" t="s">
        <v>164</v>
      </c>
      <c r="M1090" s="8" t="s">
        <v>96</v>
      </c>
    </row>
    <row r="1091" spans="1:13" x14ac:dyDescent="0.25">
      <c r="A1091" s="9">
        <v>1067</v>
      </c>
      <c r="B1091" s="11" t="s">
        <v>482</v>
      </c>
      <c r="C1091" s="11" t="s">
        <v>124</v>
      </c>
      <c r="D1091" s="11" t="s">
        <v>109</v>
      </c>
      <c r="E1091" s="11" t="s">
        <v>84</v>
      </c>
      <c r="F1091" s="11" t="s">
        <v>148</v>
      </c>
      <c r="G1091" s="9">
        <v>39</v>
      </c>
      <c r="H1091" s="9">
        <v>5000</v>
      </c>
      <c r="I1091" s="9">
        <v>0</v>
      </c>
      <c r="J1091" s="9">
        <f t="shared" si="34"/>
        <v>195000</v>
      </c>
      <c r="K1091" s="9">
        <f t="shared" si="35"/>
        <v>195000</v>
      </c>
      <c r="L1091" s="11" t="s">
        <v>76</v>
      </c>
      <c r="M1091" s="11" t="s">
        <v>91</v>
      </c>
    </row>
    <row r="1092" spans="1:13" x14ac:dyDescent="0.25">
      <c r="A1092" s="6">
        <v>1068</v>
      </c>
      <c r="B1092" s="7">
        <v>45610</v>
      </c>
      <c r="C1092" s="8" t="s">
        <v>169</v>
      </c>
      <c r="D1092" s="8" t="s">
        <v>93</v>
      </c>
      <c r="E1092" s="8" t="s">
        <v>74</v>
      </c>
      <c r="F1092" s="8" t="s">
        <v>212</v>
      </c>
      <c r="G1092" s="6">
        <v>18</v>
      </c>
      <c r="H1092" s="6">
        <v>9000</v>
      </c>
      <c r="I1092" s="6">
        <v>0</v>
      </c>
      <c r="J1092" s="6">
        <f t="shared" si="34"/>
        <v>162000</v>
      </c>
      <c r="K1092" s="6">
        <f t="shared" si="35"/>
        <v>162000</v>
      </c>
      <c r="L1092" s="8" t="s">
        <v>107</v>
      </c>
      <c r="M1092" s="8" t="s">
        <v>96</v>
      </c>
    </row>
    <row r="1093" spans="1:13" x14ac:dyDescent="0.25">
      <c r="A1093" s="9">
        <v>1069</v>
      </c>
      <c r="B1093" s="10">
        <v>45655</v>
      </c>
      <c r="C1093" s="11" t="s">
        <v>97</v>
      </c>
      <c r="D1093" s="11" t="s">
        <v>73</v>
      </c>
      <c r="E1093" s="11" t="s">
        <v>84</v>
      </c>
      <c r="F1093" s="11" t="s">
        <v>128</v>
      </c>
      <c r="G1093" s="9">
        <v>25</v>
      </c>
      <c r="H1093" s="9">
        <v>4100</v>
      </c>
      <c r="I1093" s="9">
        <v>20</v>
      </c>
      <c r="J1093" s="9">
        <f t="shared" si="34"/>
        <v>102500</v>
      </c>
      <c r="K1093" s="9">
        <f t="shared" si="35"/>
        <v>82000</v>
      </c>
      <c r="L1093" s="11" t="s">
        <v>76</v>
      </c>
      <c r="M1093" s="11" t="s">
        <v>91</v>
      </c>
    </row>
    <row r="1094" spans="1:13" x14ac:dyDescent="0.25">
      <c r="A1094" s="6">
        <v>1070</v>
      </c>
      <c r="B1094" s="7">
        <v>44995</v>
      </c>
      <c r="C1094" s="8" t="s">
        <v>97</v>
      </c>
      <c r="D1094" s="8"/>
      <c r="E1094" s="8" t="s">
        <v>111</v>
      </c>
      <c r="F1094" s="8" t="s">
        <v>135</v>
      </c>
      <c r="G1094" s="6">
        <v>21</v>
      </c>
      <c r="H1094" s="6">
        <v>107700</v>
      </c>
      <c r="I1094" s="6">
        <v>20</v>
      </c>
      <c r="J1094" s="6">
        <f t="shared" si="34"/>
        <v>2261700</v>
      </c>
      <c r="K1094" s="6">
        <f t="shared" si="35"/>
        <v>1809360</v>
      </c>
      <c r="L1094" s="8" t="s">
        <v>125</v>
      </c>
      <c r="M1094" s="8" t="s">
        <v>81</v>
      </c>
    </row>
    <row r="1095" spans="1:13" x14ac:dyDescent="0.25">
      <c r="A1095" s="9">
        <v>1071</v>
      </c>
      <c r="B1095" s="10">
        <v>45321</v>
      </c>
      <c r="C1095" s="11" t="s">
        <v>88</v>
      </c>
      <c r="D1095" s="11" t="s">
        <v>117</v>
      </c>
      <c r="E1095" s="11" t="s">
        <v>111</v>
      </c>
      <c r="F1095" s="11" t="s">
        <v>165</v>
      </c>
      <c r="G1095" s="9">
        <v>27</v>
      </c>
      <c r="H1095" s="9">
        <v>18400</v>
      </c>
      <c r="I1095" s="9">
        <v>0</v>
      </c>
      <c r="J1095" s="9">
        <f t="shared" si="34"/>
        <v>496800</v>
      </c>
      <c r="K1095" s="9">
        <f t="shared" si="35"/>
        <v>496800</v>
      </c>
      <c r="L1095" s="11" t="s">
        <v>76</v>
      </c>
      <c r="M1095" s="11" t="s">
        <v>96</v>
      </c>
    </row>
    <row r="1096" spans="1:13" x14ac:dyDescent="0.25">
      <c r="A1096" s="6">
        <v>1072</v>
      </c>
      <c r="B1096" s="8" t="s">
        <v>483</v>
      </c>
      <c r="C1096" s="8" t="s">
        <v>106</v>
      </c>
      <c r="D1096" s="8" t="s">
        <v>83</v>
      </c>
      <c r="E1096" s="8" t="s">
        <v>263</v>
      </c>
      <c r="F1096" s="8" t="s">
        <v>159</v>
      </c>
      <c r="G1096" s="6">
        <v>32</v>
      </c>
      <c r="H1096" s="6">
        <v>12400</v>
      </c>
      <c r="I1096" s="6">
        <v>5</v>
      </c>
      <c r="J1096" s="6">
        <f t="shared" si="34"/>
        <v>396800</v>
      </c>
      <c r="K1096" s="6">
        <f t="shared" si="35"/>
        <v>376960</v>
      </c>
      <c r="L1096" s="8" t="s">
        <v>76</v>
      </c>
      <c r="M1096" s="8" t="s">
        <v>81</v>
      </c>
    </row>
    <row r="1097" spans="1:13" x14ac:dyDescent="0.25">
      <c r="A1097" s="9">
        <v>1073</v>
      </c>
      <c r="B1097" s="11" t="s">
        <v>484</v>
      </c>
      <c r="C1097" s="11" t="s">
        <v>124</v>
      </c>
      <c r="D1097" s="11" t="s">
        <v>83</v>
      </c>
      <c r="E1097" s="11" t="s">
        <v>102</v>
      </c>
      <c r="F1097" s="11" t="s">
        <v>181</v>
      </c>
      <c r="G1097" s="9">
        <v>16</v>
      </c>
      <c r="H1097" s="9">
        <v>4800</v>
      </c>
      <c r="I1097" s="9">
        <v>20</v>
      </c>
      <c r="J1097" s="9">
        <f t="shared" si="34"/>
        <v>76800</v>
      </c>
      <c r="K1097" s="9">
        <f t="shared" si="35"/>
        <v>61440</v>
      </c>
      <c r="L1097" s="11" t="s">
        <v>76</v>
      </c>
      <c r="M1097" s="11" t="s">
        <v>81</v>
      </c>
    </row>
    <row r="1098" spans="1:13" x14ac:dyDescent="0.25">
      <c r="A1098" s="6">
        <v>1074</v>
      </c>
      <c r="B1098" s="7">
        <v>44944</v>
      </c>
      <c r="C1098" s="8" t="s">
        <v>88</v>
      </c>
      <c r="D1098" s="8" t="s">
        <v>93</v>
      </c>
      <c r="E1098" s="8" t="s">
        <v>111</v>
      </c>
      <c r="F1098" s="8" t="s">
        <v>166</v>
      </c>
      <c r="G1098" s="6">
        <v>4</v>
      </c>
      <c r="H1098" s="6">
        <v>31600</v>
      </c>
      <c r="I1098" s="6">
        <v>20</v>
      </c>
      <c r="J1098" s="6">
        <f t="shared" si="34"/>
        <v>126400</v>
      </c>
      <c r="K1098" s="6">
        <f t="shared" si="35"/>
        <v>101120</v>
      </c>
      <c r="L1098" s="8" t="s">
        <v>107</v>
      </c>
      <c r="M1098" s="8" t="s">
        <v>96</v>
      </c>
    </row>
    <row r="1099" spans="1:13" x14ac:dyDescent="0.25">
      <c r="A1099" s="9">
        <v>1075</v>
      </c>
      <c r="B1099" s="10">
        <v>45069</v>
      </c>
      <c r="C1099" s="11" t="s">
        <v>101</v>
      </c>
      <c r="D1099" s="11" t="s">
        <v>83</v>
      </c>
      <c r="E1099" s="11" t="s">
        <v>84</v>
      </c>
      <c r="F1099" s="11" t="s">
        <v>148</v>
      </c>
      <c r="G1099" s="9">
        <v>15</v>
      </c>
      <c r="H1099" s="9">
        <v>4600</v>
      </c>
      <c r="I1099" s="9">
        <v>0</v>
      </c>
      <c r="J1099" s="9">
        <f t="shared" si="34"/>
        <v>69000</v>
      </c>
      <c r="K1099" s="9">
        <f t="shared" si="35"/>
        <v>69000</v>
      </c>
      <c r="L1099" s="11" t="s">
        <v>76</v>
      </c>
      <c r="M1099" s="11" t="s">
        <v>81</v>
      </c>
    </row>
    <row r="1100" spans="1:13" x14ac:dyDescent="0.25">
      <c r="A1100" s="6">
        <v>1076</v>
      </c>
      <c r="B1100" s="7">
        <v>45639</v>
      </c>
      <c r="C1100" s="8" t="s">
        <v>108</v>
      </c>
      <c r="D1100" s="8" t="s">
        <v>83</v>
      </c>
      <c r="E1100" s="8" t="s">
        <v>79</v>
      </c>
      <c r="F1100" s="8" t="s">
        <v>115</v>
      </c>
      <c r="G1100" s="6">
        <v>45</v>
      </c>
      <c r="H1100" s="6">
        <v>8900</v>
      </c>
      <c r="I1100" s="6">
        <v>5</v>
      </c>
      <c r="J1100" s="6">
        <f t="shared" si="34"/>
        <v>400500</v>
      </c>
      <c r="K1100" s="6">
        <f t="shared" si="35"/>
        <v>380475</v>
      </c>
      <c r="L1100" s="8" t="s">
        <v>76</v>
      </c>
      <c r="M1100" s="8" t="s">
        <v>77</v>
      </c>
    </row>
    <row r="1101" spans="1:13" x14ac:dyDescent="0.25">
      <c r="A1101" s="9">
        <v>1077</v>
      </c>
      <c r="B1101" s="11" t="s">
        <v>485</v>
      </c>
      <c r="C1101" s="11" t="s">
        <v>160</v>
      </c>
      <c r="D1101" s="11" t="s">
        <v>73</v>
      </c>
      <c r="E1101" s="11" t="s">
        <v>84</v>
      </c>
      <c r="F1101" s="11" t="s">
        <v>200</v>
      </c>
      <c r="G1101" s="9">
        <v>16</v>
      </c>
      <c r="H1101" s="9">
        <v>3000</v>
      </c>
      <c r="I1101" s="9">
        <v>0</v>
      </c>
      <c r="J1101" s="9">
        <f t="shared" si="34"/>
        <v>48000</v>
      </c>
      <c r="K1101" s="9">
        <f t="shared" si="35"/>
        <v>48000</v>
      </c>
      <c r="L1101" s="11" t="s">
        <v>229</v>
      </c>
      <c r="M1101" s="11" t="s">
        <v>91</v>
      </c>
    </row>
    <row r="1102" spans="1:13" x14ac:dyDescent="0.25">
      <c r="A1102" s="6">
        <v>1078</v>
      </c>
      <c r="B1102" s="7">
        <v>45113</v>
      </c>
      <c r="C1102" s="8" t="s">
        <v>119</v>
      </c>
      <c r="D1102" s="8" t="s">
        <v>109</v>
      </c>
      <c r="E1102" s="8" t="s">
        <v>102</v>
      </c>
      <c r="F1102" s="8" t="s">
        <v>110</v>
      </c>
      <c r="G1102" s="6">
        <v>47</v>
      </c>
      <c r="H1102" s="6">
        <v>22400</v>
      </c>
      <c r="I1102" s="6">
        <v>0</v>
      </c>
      <c r="J1102" s="6">
        <f t="shared" si="34"/>
        <v>1052800</v>
      </c>
      <c r="K1102" s="6">
        <f t="shared" si="35"/>
        <v>1052800</v>
      </c>
      <c r="L1102" s="8" t="s">
        <v>76</v>
      </c>
      <c r="M1102" s="8" t="s">
        <v>77</v>
      </c>
    </row>
    <row r="1103" spans="1:13" x14ac:dyDescent="0.25">
      <c r="A1103" s="9">
        <v>1079</v>
      </c>
      <c r="B1103" s="10">
        <v>45040</v>
      </c>
      <c r="C1103" s="11" t="s">
        <v>108</v>
      </c>
      <c r="D1103" s="11" t="s">
        <v>73</v>
      </c>
      <c r="E1103" s="11" t="s">
        <v>79</v>
      </c>
      <c r="F1103" s="11" t="s">
        <v>122</v>
      </c>
      <c r="G1103" s="9">
        <v>1</v>
      </c>
      <c r="H1103" s="9">
        <v>18500</v>
      </c>
      <c r="I1103" s="9">
        <v>15</v>
      </c>
      <c r="J1103" s="9">
        <f t="shared" si="34"/>
        <v>18500</v>
      </c>
      <c r="K1103" s="9">
        <f t="shared" si="35"/>
        <v>15725</v>
      </c>
      <c r="L1103" s="11" t="s">
        <v>76</v>
      </c>
      <c r="M1103" s="11" t="s">
        <v>91</v>
      </c>
    </row>
    <row r="1104" spans="1:13" x14ac:dyDescent="0.25">
      <c r="A1104" s="6">
        <v>1080</v>
      </c>
      <c r="B1104" s="7">
        <v>45392</v>
      </c>
      <c r="C1104" s="8" t="s">
        <v>82</v>
      </c>
      <c r="D1104" s="8" t="s">
        <v>117</v>
      </c>
      <c r="E1104" s="8" t="s">
        <v>102</v>
      </c>
      <c r="F1104" s="8" t="s">
        <v>110</v>
      </c>
      <c r="G1104" s="6">
        <v>28</v>
      </c>
      <c r="H1104" s="6">
        <v>23700</v>
      </c>
      <c r="I1104" s="6">
        <v>0</v>
      </c>
      <c r="J1104" s="6">
        <f t="shared" si="34"/>
        <v>663600</v>
      </c>
      <c r="K1104" s="6">
        <f t="shared" si="35"/>
        <v>663600</v>
      </c>
      <c r="L1104" s="8" t="s">
        <v>125</v>
      </c>
      <c r="M1104" s="8" t="s">
        <v>96</v>
      </c>
    </row>
    <row r="1105" spans="1:13" x14ac:dyDescent="0.25">
      <c r="A1105" s="9">
        <v>1081</v>
      </c>
      <c r="B1105" s="10">
        <v>45461</v>
      </c>
      <c r="C1105" s="11" t="s">
        <v>114</v>
      </c>
      <c r="D1105" s="11" t="s">
        <v>109</v>
      </c>
      <c r="E1105" s="11" t="s">
        <v>84</v>
      </c>
      <c r="F1105" s="11" t="s">
        <v>148</v>
      </c>
      <c r="G1105" s="9">
        <v>15</v>
      </c>
      <c r="H1105" s="9">
        <v>5100</v>
      </c>
      <c r="I1105" s="9">
        <v>20</v>
      </c>
      <c r="J1105" s="9">
        <f t="shared" si="34"/>
        <v>76500</v>
      </c>
      <c r="K1105" s="9">
        <f t="shared" si="35"/>
        <v>61200</v>
      </c>
      <c r="L1105" s="11" t="s">
        <v>76</v>
      </c>
      <c r="M1105" s="11" t="s">
        <v>77</v>
      </c>
    </row>
    <row r="1106" spans="1:13" x14ac:dyDescent="0.25">
      <c r="A1106" s="6">
        <v>1082</v>
      </c>
      <c r="B1106" s="7">
        <v>45636</v>
      </c>
      <c r="C1106" s="8" t="s">
        <v>119</v>
      </c>
      <c r="D1106" s="8" t="s">
        <v>83</v>
      </c>
      <c r="E1106" s="8" t="s">
        <v>74</v>
      </c>
      <c r="F1106" s="8" t="s">
        <v>140</v>
      </c>
      <c r="G1106" s="6">
        <v>11</v>
      </c>
      <c r="H1106" s="6">
        <v>5000</v>
      </c>
      <c r="I1106" s="6">
        <v>15</v>
      </c>
      <c r="J1106" s="6">
        <f t="shared" si="34"/>
        <v>55000</v>
      </c>
      <c r="K1106" s="6">
        <f t="shared" si="35"/>
        <v>46750</v>
      </c>
      <c r="L1106" s="8" t="s">
        <v>76</v>
      </c>
      <c r="M1106" s="8" t="s">
        <v>96</v>
      </c>
    </row>
    <row r="1107" spans="1:13" x14ac:dyDescent="0.25">
      <c r="A1107" s="9">
        <v>1083</v>
      </c>
      <c r="B1107" s="10">
        <v>45361</v>
      </c>
      <c r="C1107" s="11" t="s">
        <v>106</v>
      </c>
      <c r="D1107" s="11" t="s">
        <v>117</v>
      </c>
      <c r="E1107" s="11" t="s">
        <v>79</v>
      </c>
      <c r="F1107" s="11" t="s">
        <v>131</v>
      </c>
      <c r="G1107" s="9">
        <v>39</v>
      </c>
      <c r="H1107" s="9">
        <v>110300</v>
      </c>
      <c r="I1107" s="9">
        <v>0</v>
      </c>
      <c r="J1107" s="9">
        <f t="shared" si="34"/>
        <v>4301700</v>
      </c>
      <c r="K1107" s="9">
        <f t="shared" si="35"/>
        <v>4301700</v>
      </c>
      <c r="L1107" s="11" t="s">
        <v>86</v>
      </c>
      <c r="M1107" s="11" t="s">
        <v>96</v>
      </c>
    </row>
    <row r="1108" spans="1:13" x14ac:dyDescent="0.25">
      <c r="A1108" s="6">
        <v>1084</v>
      </c>
      <c r="B1108" s="7">
        <v>45172</v>
      </c>
      <c r="C1108" s="8" t="s">
        <v>101</v>
      </c>
      <c r="D1108" s="8" t="s">
        <v>178</v>
      </c>
      <c r="E1108" s="8" t="s">
        <v>102</v>
      </c>
      <c r="F1108" s="8" t="s">
        <v>137</v>
      </c>
      <c r="G1108" s="6">
        <v>39</v>
      </c>
      <c r="H1108" s="6">
        <v>2000</v>
      </c>
      <c r="I1108" s="6">
        <v>0</v>
      </c>
      <c r="J1108" s="6">
        <f t="shared" si="34"/>
        <v>78000</v>
      </c>
      <c r="K1108" s="6">
        <f t="shared" si="35"/>
        <v>78000</v>
      </c>
      <c r="L1108" s="8" t="s">
        <v>76</v>
      </c>
      <c r="M1108" s="8"/>
    </row>
    <row r="1109" spans="1:13" x14ac:dyDescent="0.25">
      <c r="A1109" s="9">
        <v>1085</v>
      </c>
      <c r="B1109" s="11" t="s">
        <v>486</v>
      </c>
      <c r="C1109" s="11" t="s">
        <v>106</v>
      </c>
      <c r="D1109" s="11" t="s">
        <v>73</v>
      </c>
      <c r="E1109" s="11" t="s">
        <v>84</v>
      </c>
      <c r="F1109" s="11" t="s">
        <v>134</v>
      </c>
      <c r="G1109" s="9">
        <v>37</v>
      </c>
      <c r="H1109" s="9">
        <v>8800</v>
      </c>
      <c r="I1109" s="9">
        <v>0</v>
      </c>
      <c r="J1109" s="9">
        <f t="shared" si="34"/>
        <v>325600</v>
      </c>
      <c r="K1109" s="9">
        <f t="shared" si="35"/>
        <v>325600</v>
      </c>
      <c r="L1109" s="11" t="s">
        <v>76</v>
      </c>
      <c r="M1109" s="11" t="s">
        <v>91</v>
      </c>
    </row>
    <row r="1110" spans="1:13" x14ac:dyDescent="0.25">
      <c r="A1110" s="6">
        <v>1086</v>
      </c>
      <c r="B1110" s="7">
        <v>44976</v>
      </c>
      <c r="C1110" s="8" t="s">
        <v>88</v>
      </c>
      <c r="D1110" s="8" t="s">
        <v>73</v>
      </c>
      <c r="E1110" s="8" t="s">
        <v>74</v>
      </c>
      <c r="F1110" s="8" t="s">
        <v>94</v>
      </c>
      <c r="G1110" s="6">
        <v>49</v>
      </c>
      <c r="H1110" s="6">
        <v>40100</v>
      </c>
      <c r="I1110" s="6">
        <v>10</v>
      </c>
      <c r="J1110" s="6">
        <f t="shared" si="34"/>
        <v>1964900</v>
      </c>
      <c r="K1110" s="6">
        <f t="shared" si="35"/>
        <v>1768410</v>
      </c>
      <c r="L1110" s="8" t="s">
        <v>76</v>
      </c>
      <c r="M1110" s="8"/>
    </row>
    <row r="1111" spans="1:13" x14ac:dyDescent="0.25">
      <c r="A1111" s="9">
        <v>1087</v>
      </c>
      <c r="B1111" s="11" t="s">
        <v>487</v>
      </c>
      <c r="C1111" s="11" t="s">
        <v>88</v>
      </c>
      <c r="D1111" s="11" t="s">
        <v>83</v>
      </c>
      <c r="E1111" s="11" t="s">
        <v>74</v>
      </c>
      <c r="F1111" s="11" t="s">
        <v>142</v>
      </c>
      <c r="G1111" s="9">
        <v>7</v>
      </c>
      <c r="H1111" s="9">
        <v>12900</v>
      </c>
      <c r="I1111" s="9">
        <v>10</v>
      </c>
      <c r="J1111" s="9">
        <f t="shared" si="34"/>
        <v>90300</v>
      </c>
      <c r="K1111" s="9">
        <f t="shared" si="35"/>
        <v>81270</v>
      </c>
      <c r="L1111" s="11" t="s">
        <v>76</v>
      </c>
      <c r="M1111" s="11" t="s">
        <v>77</v>
      </c>
    </row>
    <row r="1112" spans="1:13" x14ac:dyDescent="0.25">
      <c r="A1112" s="6">
        <v>1088</v>
      </c>
      <c r="B1112" s="7">
        <v>45080</v>
      </c>
      <c r="C1112" s="8" t="s">
        <v>260</v>
      </c>
      <c r="D1112" s="8" t="s">
        <v>93</v>
      </c>
      <c r="E1112" s="8" t="s">
        <v>111</v>
      </c>
      <c r="F1112" s="8" t="s">
        <v>159</v>
      </c>
      <c r="G1112" s="6">
        <v>3</v>
      </c>
      <c r="H1112" s="6">
        <v>12600</v>
      </c>
      <c r="I1112" s="6">
        <v>15</v>
      </c>
      <c r="J1112" s="6">
        <f t="shared" si="34"/>
        <v>37800</v>
      </c>
      <c r="K1112" s="6">
        <f t="shared" si="35"/>
        <v>32130</v>
      </c>
      <c r="L1112" s="8" t="s">
        <v>76</v>
      </c>
      <c r="M1112" s="8" t="s">
        <v>81</v>
      </c>
    </row>
    <row r="1113" spans="1:13" x14ac:dyDescent="0.25">
      <c r="A1113" s="9">
        <v>1089</v>
      </c>
      <c r="B1113" s="10">
        <v>45401</v>
      </c>
      <c r="C1113" s="11" t="s">
        <v>97</v>
      </c>
      <c r="D1113" s="11" t="s">
        <v>73</v>
      </c>
      <c r="E1113" s="11" t="s">
        <v>84</v>
      </c>
      <c r="F1113" s="11" t="s">
        <v>90</v>
      </c>
      <c r="G1113" s="9">
        <v>42</v>
      </c>
      <c r="H1113" s="9">
        <v>2000</v>
      </c>
      <c r="I1113" s="9">
        <v>10</v>
      </c>
      <c r="J1113" s="9">
        <f t="shared" si="34"/>
        <v>84000</v>
      </c>
      <c r="K1113" s="9">
        <f t="shared" si="35"/>
        <v>75600</v>
      </c>
      <c r="L1113" s="11" t="s">
        <v>76</v>
      </c>
      <c r="M1113" s="11" t="s">
        <v>81</v>
      </c>
    </row>
    <row r="1114" spans="1:13" x14ac:dyDescent="0.25">
      <c r="A1114" s="6">
        <v>1090</v>
      </c>
      <c r="B1114" s="7">
        <v>45455</v>
      </c>
      <c r="C1114" s="8" t="s">
        <v>124</v>
      </c>
      <c r="D1114" s="8" t="s">
        <v>93</v>
      </c>
      <c r="E1114" s="8" t="s">
        <v>74</v>
      </c>
      <c r="F1114" s="8" t="s">
        <v>99</v>
      </c>
      <c r="G1114" s="6">
        <v>22</v>
      </c>
      <c r="H1114" s="6">
        <v>3800</v>
      </c>
      <c r="I1114" s="6">
        <v>0</v>
      </c>
      <c r="J1114" s="6">
        <f t="shared" si="34"/>
        <v>83600</v>
      </c>
      <c r="K1114" s="6">
        <f t="shared" si="35"/>
        <v>83600</v>
      </c>
      <c r="L1114" s="8" t="s">
        <v>76</v>
      </c>
      <c r="M1114" s="8" t="s">
        <v>91</v>
      </c>
    </row>
    <row r="1115" spans="1:13" x14ac:dyDescent="0.25">
      <c r="A1115" s="9">
        <v>1091</v>
      </c>
      <c r="B1115" s="10">
        <v>45656</v>
      </c>
      <c r="C1115" s="11" t="s">
        <v>114</v>
      </c>
      <c r="D1115" s="11" t="s">
        <v>109</v>
      </c>
      <c r="E1115" s="11" t="s">
        <v>84</v>
      </c>
      <c r="F1115" s="11" t="s">
        <v>150</v>
      </c>
      <c r="G1115" s="9">
        <v>37</v>
      </c>
      <c r="H1115" s="9">
        <v>6300</v>
      </c>
      <c r="I1115" s="9">
        <v>0</v>
      </c>
      <c r="J1115" s="9">
        <f t="shared" si="34"/>
        <v>233100</v>
      </c>
      <c r="K1115" s="9">
        <f t="shared" si="35"/>
        <v>233100</v>
      </c>
      <c r="L1115" s="11" t="s">
        <v>164</v>
      </c>
      <c r="M1115" s="11" t="s">
        <v>91</v>
      </c>
    </row>
    <row r="1116" spans="1:13" x14ac:dyDescent="0.25">
      <c r="A1116" s="6">
        <v>1092</v>
      </c>
      <c r="B1116" s="7">
        <v>44942</v>
      </c>
      <c r="C1116" s="8" t="s">
        <v>108</v>
      </c>
      <c r="D1116" s="8" t="s">
        <v>117</v>
      </c>
      <c r="E1116" s="8" t="s">
        <v>102</v>
      </c>
      <c r="F1116" s="8" t="s">
        <v>137</v>
      </c>
      <c r="G1116" s="6">
        <v>30</v>
      </c>
      <c r="H1116" s="6">
        <v>2300</v>
      </c>
      <c r="I1116" s="6">
        <v>0</v>
      </c>
      <c r="J1116" s="6">
        <f t="shared" si="34"/>
        <v>69000</v>
      </c>
      <c r="K1116" s="6">
        <f t="shared" si="35"/>
        <v>69000</v>
      </c>
      <c r="L1116" s="8" t="s">
        <v>76</v>
      </c>
      <c r="M1116" s="8" t="s">
        <v>96</v>
      </c>
    </row>
    <row r="1117" spans="1:13" x14ac:dyDescent="0.25">
      <c r="A1117" s="9">
        <v>1093</v>
      </c>
      <c r="B1117" s="11" t="s">
        <v>488</v>
      </c>
      <c r="C1117" s="11" t="s">
        <v>101</v>
      </c>
      <c r="D1117" s="11" t="s">
        <v>93</v>
      </c>
      <c r="E1117" s="11" t="s">
        <v>74</v>
      </c>
      <c r="F1117" s="11" t="s">
        <v>212</v>
      </c>
      <c r="G1117" s="9">
        <v>12</v>
      </c>
      <c r="H1117" s="9">
        <v>7400</v>
      </c>
      <c r="I1117" s="9">
        <v>0</v>
      </c>
      <c r="J1117" s="9">
        <f t="shared" si="34"/>
        <v>88800</v>
      </c>
      <c r="K1117" s="9">
        <f t="shared" si="35"/>
        <v>88800</v>
      </c>
      <c r="L1117" s="11" t="s">
        <v>86</v>
      </c>
      <c r="M1117" s="11" t="s">
        <v>91</v>
      </c>
    </row>
    <row r="1118" spans="1:13" x14ac:dyDescent="0.25">
      <c r="A1118" s="6">
        <v>1094</v>
      </c>
      <c r="B1118" s="7">
        <v>45411</v>
      </c>
      <c r="C1118" s="8" t="s">
        <v>101</v>
      </c>
      <c r="D1118" s="8" t="s">
        <v>83</v>
      </c>
      <c r="E1118" s="8" t="s">
        <v>84</v>
      </c>
      <c r="F1118" s="8" t="s">
        <v>150</v>
      </c>
      <c r="G1118" s="6">
        <v>32</v>
      </c>
      <c r="H1118" s="6" t="s">
        <v>373</v>
      </c>
      <c r="I1118" s="6">
        <v>5</v>
      </c>
      <c r="J1118" s="6">
        <f t="shared" si="34"/>
        <v>201600</v>
      </c>
      <c r="K1118" s="6">
        <f t="shared" si="35"/>
        <v>191520</v>
      </c>
      <c r="L1118" s="8" t="s">
        <v>76</v>
      </c>
      <c r="M1118" s="8" t="s">
        <v>96</v>
      </c>
    </row>
    <row r="1119" spans="1:13" x14ac:dyDescent="0.25">
      <c r="A1119" s="9">
        <v>1095</v>
      </c>
      <c r="B1119" s="10">
        <v>45345</v>
      </c>
      <c r="C1119" s="11" t="s">
        <v>238</v>
      </c>
      <c r="D1119" s="11" t="s">
        <v>109</v>
      </c>
      <c r="E1119" s="11" t="s">
        <v>111</v>
      </c>
      <c r="F1119" s="11" t="s">
        <v>132</v>
      </c>
      <c r="G1119" s="9">
        <v>40</v>
      </c>
      <c r="H1119" s="9">
        <v>7700</v>
      </c>
      <c r="I1119" s="9">
        <v>0</v>
      </c>
      <c r="J1119" s="9">
        <f t="shared" si="34"/>
        <v>308000</v>
      </c>
      <c r="K1119" s="9">
        <f t="shared" si="35"/>
        <v>308000</v>
      </c>
      <c r="L1119" s="11" t="s">
        <v>125</v>
      </c>
      <c r="M1119" s="11" t="s">
        <v>96</v>
      </c>
    </row>
    <row r="1120" spans="1:13" x14ac:dyDescent="0.25">
      <c r="A1120" s="6">
        <v>1096</v>
      </c>
      <c r="B1120" s="7">
        <v>45625</v>
      </c>
      <c r="C1120" s="8" t="s">
        <v>223</v>
      </c>
      <c r="D1120" s="8" t="s">
        <v>93</v>
      </c>
      <c r="E1120" s="8" t="s">
        <v>111</v>
      </c>
      <c r="F1120" s="8" t="s">
        <v>135</v>
      </c>
      <c r="G1120" s="6">
        <v>44</v>
      </c>
      <c r="H1120" s="6">
        <v>128700</v>
      </c>
      <c r="I1120" s="6">
        <v>15</v>
      </c>
      <c r="J1120" s="6">
        <f t="shared" si="34"/>
        <v>5662800</v>
      </c>
      <c r="K1120" s="6">
        <f t="shared" si="35"/>
        <v>4813380</v>
      </c>
      <c r="L1120" s="8" t="s">
        <v>76</v>
      </c>
      <c r="M1120" s="8" t="s">
        <v>77</v>
      </c>
    </row>
    <row r="1121" spans="1:13" x14ac:dyDescent="0.25">
      <c r="A1121" s="9">
        <v>1097</v>
      </c>
      <c r="B1121" s="10">
        <v>45177</v>
      </c>
      <c r="C1121" s="11" t="s">
        <v>82</v>
      </c>
      <c r="D1121" s="11" t="s">
        <v>73</v>
      </c>
      <c r="E1121" s="11" t="s">
        <v>133</v>
      </c>
      <c r="F1121" s="11" t="s">
        <v>150</v>
      </c>
      <c r="G1121" s="9">
        <v>11</v>
      </c>
      <c r="H1121" s="9">
        <v>5300</v>
      </c>
      <c r="I1121" s="9">
        <v>0</v>
      </c>
      <c r="J1121" s="9">
        <f t="shared" si="34"/>
        <v>58300</v>
      </c>
      <c r="K1121" s="9">
        <f t="shared" si="35"/>
        <v>58300</v>
      </c>
      <c r="L1121" s="11" t="s">
        <v>76</v>
      </c>
      <c r="M1121" s="11" t="s">
        <v>77</v>
      </c>
    </row>
    <row r="1122" spans="1:13" x14ac:dyDescent="0.25">
      <c r="A1122" s="6">
        <v>1098</v>
      </c>
      <c r="B1122" s="7">
        <v>45324</v>
      </c>
      <c r="C1122" s="8" t="s">
        <v>119</v>
      </c>
      <c r="D1122" s="8" t="s">
        <v>127</v>
      </c>
      <c r="E1122" s="8" t="s">
        <v>74</v>
      </c>
      <c r="F1122" s="8" t="s">
        <v>99</v>
      </c>
      <c r="G1122" s="6">
        <v>35</v>
      </c>
      <c r="H1122" s="6">
        <v>3600</v>
      </c>
      <c r="I1122" s="6">
        <v>0</v>
      </c>
      <c r="J1122" s="6">
        <f t="shared" si="34"/>
        <v>126000</v>
      </c>
      <c r="K1122" s="6">
        <f t="shared" si="35"/>
        <v>126000</v>
      </c>
      <c r="L1122" s="8" t="s">
        <v>107</v>
      </c>
      <c r="M1122" s="8" t="s">
        <v>91</v>
      </c>
    </row>
    <row r="1123" spans="1:13" x14ac:dyDescent="0.25">
      <c r="A1123" s="9">
        <v>1099</v>
      </c>
      <c r="B1123" s="10">
        <v>45014</v>
      </c>
      <c r="C1123" s="11" t="s">
        <v>327</v>
      </c>
      <c r="D1123" s="11" t="s">
        <v>73</v>
      </c>
      <c r="E1123" s="11" t="s">
        <v>111</v>
      </c>
      <c r="F1123" s="11" t="s">
        <v>165</v>
      </c>
      <c r="G1123" s="9">
        <v>22</v>
      </c>
      <c r="H1123" s="9">
        <v>17100</v>
      </c>
      <c r="I1123" s="9">
        <v>10</v>
      </c>
      <c r="J1123" s="9">
        <f t="shared" si="34"/>
        <v>376200</v>
      </c>
      <c r="K1123" s="9">
        <f t="shared" si="35"/>
        <v>338580</v>
      </c>
      <c r="L1123" s="11" t="s">
        <v>76</v>
      </c>
      <c r="M1123" s="11" t="s">
        <v>96</v>
      </c>
    </row>
    <row r="1124" spans="1:13" x14ac:dyDescent="0.25">
      <c r="A1124" s="6">
        <v>1100</v>
      </c>
      <c r="B1124" s="7">
        <v>45424</v>
      </c>
      <c r="C1124" s="8" t="s">
        <v>106</v>
      </c>
      <c r="D1124" s="8" t="s">
        <v>83</v>
      </c>
      <c r="E1124" s="8" t="s">
        <v>79</v>
      </c>
      <c r="F1124" s="8" t="s">
        <v>179</v>
      </c>
      <c r="G1124" s="6">
        <v>35</v>
      </c>
      <c r="H1124" s="6">
        <v>2500</v>
      </c>
      <c r="I1124" s="6">
        <v>0</v>
      </c>
      <c r="J1124" s="6">
        <f t="shared" si="34"/>
        <v>87500</v>
      </c>
      <c r="K1124" s="6">
        <f t="shared" si="35"/>
        <v>87500</v>
      </c>
      <c r="L1124" s="8" t="s">
        <v>229</v>
      </c>
      <c r="M1124" s="8" t="s">
        <v>91</v>
      </c>
    </row>
    <row r="1125" spans="1:13" x14ac:dyDescent="0.25">
      <c r="A1125" s="9">
        <v>1101</v>
      </c>
      <c r="B1125" s="10">
        <v>45582</v>
      </c>
      <c r="C1125" s="11" t="s">
        <v>106</v>
      </c>
      <c r="D1125" s="11" t="s">
        <v>117</v>
      </c>
      <c r="E1125" s="11" t="s">
        <v>102</v>
      </c>
      <c r="F1125" s="11" t="s">
        <v>138</v>
      </c>
      <c r="G1125" s="9">
        <v>50</v>
      </c>
      <c r="H1125" s="9">
        <v>7500</v>
      </c>
      <c r="I1125" s="9">
        <v>20</v>
      </c>
      <c r="J1125" s="9">
        <f t="shared" si="34"/>
        <v>375000</v>
      </c>
      <c r="K1125" s="9">
        <f t="shared" si="35"/>
        <v>300000</v>
      </c>
      <c r="L1125" s="11" t="s">
        <v>76</v>
      </c>
      <c r="M1125" s="11" t="s">
        <v>96</v>
      </c>
    </row>
    <row r="1126" spans="1:13" x14ac:dyDescent="0.25">
      <c r="A1126" s="6">
        <v>1102</v>
      </c>
      <c r="B1126" s="7">
        <v>45367</v>
      </c>
      <c r="C1126" s="8" t="s">
        <v>119</v>
      </c>
      <c r="D1126" s="8" t="s">
        <v>109</v>
      </c>
      <c r="E1126" s="8" t="s">
        <v>79</v>
      </c>
      <c r="F1126" s="8" t="s">
        <v>80</v>
      </c>
      <c r="G1126" s="6">
        <v>49</v>
      </c>
      <c r="H1126" s="6">
        <v>9500</v>
      </c>
      <c r="I1126" s="6">
        <v>0</v>
      </c>
      <c r="J1126" s="6">
        <f t="shared" si="34"/>
        <v>465500</v>
      </c>
      <c r="K1126" s="6">
        <f t="shared" si="35"/>
        <v>465500</v>
      </c>
      <c r="L1126" s="8" t="s">
        <v>86</v>
      </c>
      <c r="M1126" s="8" t="s">
        <v>96</v>
      </c>
    </row>
    <row r="1127" spans="1:13" x14ac:dyDescent="0.25">
      <c r="A1127" s="9">
        <v>1103</v>
      </c>
      <c r="B1127" s="10">
        <v>45577</v>
      </c>
      <c r="C1127" s="11" t="s">
        <v>108</v>
      </c>
      <c r="D1127" s="11" t="s">
        <v>73</v>
      </c>
      <c r="E1127" s="11" t="s">
        <v>84</v>
      </c>
      <c r="F1127" s="11" t="s">
        <v>150</v>
      </c>
      <c r="G1127" s="9">
        <v>6</v>
      </c>
      <c r="H1127" s="9">
        <v>5300</v>
      </c>
      <c r="I1127" s="9">
        <v>20</v>
      </c>
      <c r="J1127" s="9">
        <f t="shared" si="34"/>
        <v>31800</v>
      </c>
      <c r="K1127" s="9">
        <f t="shared" si="35"/>
        <v>25440</v>
      </c>
      <c r="L1127" s="11" t="s">
        <v>76</v>
      </c>
      <c r="M1127" s="11" t="s">
        <v>91</v>
      </c>
    </row>
    <row r="1128" spans="1:13" x14ac:dyDescent="0.25">
      <c r="A1128" s="6">
        <v>1104</v>
      </c>
      <c r="B1128" s="7">
        <v>45356</v>
      </c>
      <c r="C1128" s="8" t="s">
        <v>82</v>
      </c>
      <c r="D1128" s="8" t="s">
        <v>109</v>
      </c>
      <c r="E1128" s="8" t="s">
        <v>74</v>
      </c>
      <c r="F1128" s="8" t="s">
        <v>142</v>
      </c>
      <c r="G1128" s="6">
        <v>6</v>
      </c>
      <c r="H1128" s="6" t="s">
        <v>489</v>
      </c>
      <c r="I1128" s="6">
        <v>0</v>
      </c>
      <c r="J1128" s="6" t="e">
        <f t="shared" si="34"/>
        <v>#VALUE!</v>
      </c>
      <c r="K1128" s="6" t="e">
        <f t="shared" si="35"/>
        <v>#VALUE!</v>
      </c>
      <c r="L1128" s="8" t="s">
        <v>107</v>
      </c>
      <c r="M1128" s="8" t="s">
        <v>91</v>
      </c>
    </row>
    <row r="1129" spans="1:13" x14ac:dyDescent="0.25">
      <c r="A1129" s="9">
        <v>1105</v>
      </c>
      <c r="B1129" s="10">
        <v>45231</v>
      </c>
      <c r="C1129" s="11" t="s">
        <v>108</v>
      </c>
      <c r="D1129" s="11" t="s">
        <v>109</v>
      </c>
      <c r="E1129" s="11" t="s">
        <v>74</v>
      </c>
      <c r="F1129" s="11" t="s">
        <v>140</v>
      </c>
      <c r="G1129" s="9">
        <v>35</v>
      </c>
      <c r="H1129" s="9">
        <v>4600</v>
      </c>
      <c r="I1129" s="9">
        <v>15</v>
      </c>
      <c r="J1129" s="9">
        <f t="shared" si="34"/>
        <v>161000</v>
      </c>
      <c r="K1129" s="9">
        <f t="shared" si="35"/>
        <v>136850</v>
      </c>
      <c r="L1129" s="11" t="s">
        <v>86</v>
      </c>
      <c r="M1129" s="11" t="s">
        <v>81</v>
      </c>
    </row>
    <row r="1130" spans="1:13" x14ac:dyDescent="0.25">
      <c r="A1130" s="6">
        <v>1106</v>
      </c>
      <c r="B1130" s="7">
        <v>45374</v>
      </c>
      <c r="C1130" s="8" t="s">
        <v>88</v>
      </c>
      <c r="D1130" s="8" t="s">
        <v>93</v>
      </c>
      <c r="E1130" s="8" t="s">
        <v>111</v>
      </c>
      <c r="F1130" s="8" t="s">
        <v>192</v>
      </c>
      <c r="G1130" s="6">
        <v>39</v>
      </c>
      <c r="H1130" s="6">
        <v>98800</v>
      </c>
      <c r="I1130" s="6">
        <v>0</v>
      </c>
      <c r="J1130" s="6">
        <f t="shared" si="34"/>
        <v>3853200</v>
      </c>
      <c r="K1130" s="6">
        <f t="shared" si="35"/>
        <v>3853200</v>
      </c>
      <c r="L1130" s="8" t="s">
        <v>76</v>
      </c>
      <c r="M1130" s="8" t="s">
        <v>81</v>
      </c>
    </row>
    <row r="1131" spans="1:13" x14ac:dyDescent="0.25">
      <c r="A1131" s="9">
        <v>1107</v>
      </c>
      <c r="B1131" s="11" t="s">
        <v>490</v>
      </c>
      <c r="C1131" s="11" t="s">
        <v>88</v>
      </c>
      <c r="D1131" s="11" t="s">
        <v>73</v>
      </c>
      <c r="E1131" s="11" t="s">
        <v>84</v>
      </c>
      <c r="F1131" s="11" t="s">
        <v>85</v>
      </c>
      <c r="G1131" s="9">
        <v>32</v>
      </c>
      <c r="H1131" s="9">
        <v>6100</v>
      </c>
      <c r="I1131" s="9">
        <v>20</v>
      </c>
      <c r="J1131" s="9">
        <f t="shared" si="34"/>
        <v>195200</v>
      </c>
      <c r="K1131" s="9">
        <f t="shared" si="35"/>
        <v>156160</v>
      </c>
      <c r="L1131" s="11" t="s">
        <v>107</v>
      </c>
      <c r="M1131" s="11" t="s">
        <v>77</v>
      </c>
    </row>
    <row r="1132" spans="1:13" x14ac:dyDescent="0.25">
      <c r="A1132" s="6">
        <v>1108</v>
      </c>
      <c r="B1132" s="7">
        <v>45617</v>
      </c>
      <c r="C1132" s="8" t="s">
        <v>114</v>
      </c>
      <c r="D1132" s="8" t="s">
        <v>117</v>
      </c>
      <c r="E1132" s="8" t="s">
        <v>102</v>
      </c>
      <c r="F1132" s="8" t="s">
        <v>138</v>
      </c>
      <c r="G1132" s="6">
        <v>9</v>
      </c>
      <c r="H1132" s="6">
        <v>7500</v>
      </c>
      <c r="I1132" s="6">
        <v>0</v>
      </c>
      <c r="J1132" s="6">
        <f t="shared" si="34"/>
        <v>67500</v>
      </c>
      <c r="K1132" s="6">
        <f t="shared" si="35"/>
        <v>67500</v>
      </c>
      <c r="L1132" s="8" t="s">
        <v>76</v>
      </c>
      <c r="M1132" s="8" t="s">
        <v>77</v>
      </c>
    </row>
    <row r="1133" spans="1:13" x14ac:dyDescent="0.25">
      <c r="A1133" s="9">
        <v>1109</v>
      </c>
      <c r="B1133" s="11" t="s">
        <v>491</v>
      </c>
      <c r="C1133" s="11" t="s">
        <v>106</v>
      </c>
      <c r="D1133" s="11" t="s">
        <v>83</v>
      </c>
      <c r="E1133" s="11" t="s">
        <v>102</v>
      </c>
      <c r="F1133" s="11" t="s">
        <v>103</v>
      </c>
      <c r="G1133" s="9">
        <v>14</v>
      </c>
      <c r="H1133" s="9">
        <v>10300</v>
      </c>
      <c r="I1133" s="9">
        <v>15</v>
      </c>
      <c r="J1133" s="9">
        <f t="shared" si="34"/>
        <v>144200</v>
      </c>
      <c r="K1133" s="9">
        <f t="shared" si="35"/>
        <v>122570</v>
      </c>
      <c r="L1133" s="11" t="s">
        <v>76</v>
      </c>
      <c r="M1133" s="11" t="s">
        <v>81</v>
      </c>
    </row>
    <row r="1134" spans="1:13" x14ac:dyDescent="0.25">
      <c r="A1134" s="6">
        <v>1110</v>
      </c>
      <c r="B1134" s="7">
        <v>45517</v>
      </c>
      <c r="C1134" s="8" t="s">
        <v>78</v>
      </c>
      <c r="D1134" s="8" t="s">
        <v>117</v>
      </c>
      <c r="E1134" s="8" t="s">
        <v>74</v>
      </c>
      <c r="F1134" s="8" t="s">
        <v>94</v>
      </c>
      <c r="G1134" s="6">
        <v>20</v>
      </c>
      <c r="H1134" s="6">
        <v>34100</v>
      </c>
      <c r="I1134" s="6">
        <v>15</v>
      </c>
      <c r="J1134" s="6">
        <f t="shared" si="34"/>
        <v>682000</v>
      </c>
      <c r="K1134" s="6">
        <f t="shared" si="35"/>
        <v>579700</v>
      </c>
      <c r="L1134" s="8" t="s">
        <v>76</v>
      </c>
      <c r="M1134" s="8" t="s">
        <v>77</v>
      </c>
    </row>
    <row r="1135" spans="1:13" x14ac:dyDescent="0.25">
      <c r="A1135" s="9">
        <v>1111</v>
      </c>
      <c r="B1135" s="10">
        <v>45438</v>
      </c>
      <c r="C1135" s="11" t="s">
        <v>119</v>
      </c>
      <c r="D1135" s="11" t="s">
        <v>83</v>
      </c>
      <c r="E1135" s="11" t="s">
        <v>111</v>
      </c>
      <c r="F1135" s="11" t="s">
        <v>132</v>
      </c>
      <c r="G1135" s="9">
        <v>35</v>
      </c>
      <c r="H1135" s="9">
        <v>7400</v>
      </c>
      <c r="I1135" s="9">
        <v>0</v>
      </c>
      <c r="J1135" s="9">
        <f t="shared" si="34"/>
        <v>259000</v>
      </c>
      <c r="K1135" s="9">
        <f t="shared" si="35"/>
        <v>259000</v>
      </c>
      <c r="L1135" s="11" t="s">
        <v>76</v>
      </c>
      <c r="M1135" s="11" t="s">
        <v>96</v>
      </c>
    </row>
    <row r="1136" spans="1:13" x14ac:dyDescent="0.25">
      <c r="A1136" s="6">
        <v>1112</v>
      </c>
      <c r="B1136" s="7">
        <v>45107</v>
      </c>
      <c r="C1136" s="8" t="s">
        <v>119</v>
      </c>
      <c r="D1136" s="8" t="s">
        <v>83</v>
      </c>
      <c r="E1136" s="8" t="s">
        <v>149</v>
      </c>
      <c r="F1136" s="8" t="s">
        <v>142</v>
      </c>
      <c r="G1136" s="6">
        <v>11</v>
      </c>
      <c r="H1136" s="6">
        <v>12500</v>
      </c>
      <c r="I1136" s="6">
        <v>0</v>
      </c>
      <c r="J1136" s="6">
        <f t="shared" si="34"/>
        <v>137500</v>
      </c>
      <c r="K1136" s="6">
        <f t="shared" si="35"/>
        <v>137500</v>
      </c>
      <c r="L1136" s="8" t="s">
        <v>76</v>
      </c>
      <c r="M1136" s="8" t="s">
        <v>91</v>
      </c>
    </row>
    <row r="1137" spans="1:13" x14ac:dyDescent="0.25">
      <c r="A1137" s="9">
        <v>1113</v>
      </c>
      <c r="B1137" s="10">
        <v>45602</v>
      </c>
      <c r="C1137" s="11" t="s">
        <v>114</v>
      </c>
      <c r="D1137" s="11" t="s">
        <v>117</v>
      </c>
      <c r="E1137" s="11" t="s">
        <v>145</v>
      </c>
      <c r="F1137" s="11" t="s">
        <v>137</v>
      </c>
      <c r="G1137" s="9">
        <v>7</v>
      </c>
      <c r="H1137" s="9">
        <v>2500</v>
      </c>
      <c r="I1137" s="9">
        <v>10</v>
      </c>
      <c r="J1137" s="9">
        <f t="shared" si="34"/>
        <v>17500</v>
      </c>
      <c r="K1137" s="9">
        <f t="shared" si="35"/>
        <v>15750</v>
      </c>
      <c r="L1137" s="11" t="s">
        <v>76</v>
      </c>
      <c r="M1137" s="11" t="s">
        <v>77</v>
      </c>
    </row>
    <row r="1138" spans="1:13" x14ac:dyDescent="0.25">
      <c r="A1138" s="6">
        <v>1114</v>
      </c>
      <c r="B1138" s="7">
        <v>45348</v>
      </c>
      <c r="C1138" s="8" t="s">
        <v>97</v>
      </c>
      <c r="D1138" s="8" t="s">
        <v>83</v>
      </c>
      <c r="E1138" s="8" t="s">
        <v>102</v>
      </c>
      <c r="F1138" s="8" t="s">
        <v>137</v>
      </c>
      <c r="G1138" s="6">
        <v>33</v>
      </c>
      <c r="H1138" s="6">
        <v>2300</v>
      </c>
      <c r="I1138" s="6">
        <v>15</v>
      </c>
      <c r="J1138" s="6">
        <f t="shared" si="34"/>
        <v>75900</v>
      </c>
      <c r="K1138" s="6">
        <f t="shared" si="35"/>
        <v>64515</v>
      </c>
      <c r="L1138" s="8" t="s">
        <v>76</v>
      </c>
      <c r="M1138" s="8" t="s">
        <v>77</v>
      </c>
    </row>
    <row r="1139" spans="1:13" x14ac:dyDescent="0.25">
      <c r="A1139" s="9">
        <v>1115</v>
      </c>
      <c r="B1139" s="10">
        <v>45223</v>
      </c>
      <c r="C1139" s="11" t="s">
        <v>114</v>
      </c>
      <c r="D1139" s="11" t="s">
        <v>109</v>
      </c>
      <c r="E1139" s="11" t="s">
        <v>84</v>
      </c>
      <c r="F1139" s="11" t="s">
        <v>85</v>
      </c>
      <c r="G1139" s="9">
        <v>8</v>
      </c>
      <c r="H1139" s="9" t="s">
        <v>492</v>
      </c>
      <c r="I1139" s="9">
        <v>0</v>
      </c>
      <c r="J1139" s="9" t="e">
        <f t="shared" si="34"/>
        <v>#VALUE!</v>
      </c>
      <c r="K1139" s="9" t="e">
        <f t="shared" si="35"/>
        <v>#VALUE!</v>
      </c>
      <c r="L1139" s="11" t="s">
        <v>76</v>
      </c>
      <c r="M1139" s="11" t="s">
        <v>91</v>
      </c>
    </row>
    <row r="1140" spans="1:13" x14ac:dyDescent="0.25">
      <c r="A1140" s="6">
        <v>1116</v>
      </c>
      <c r="B1140" s="7">
        <v>45286</v>
      </c>
      <c r="C1140" s="8" t="s">
        <v>119</v>
      </c>
      <c r="D1140" s="8" t="s">
        <v>83</v>
      </c>
      <c r="E1140" s="8" t="s">
        <v>111</v>
      </c>
      <c r="F1140" s="8" t="s">
        <v>192</v>
      </c>
      <c r="G1140" s="6">
        <v>15</v>
      </c>
      <c r="H1140" s="6">
        <v>107800</v>
      </c>
      <c r="I1140" s="6">
        <v>15</v>
      </c>
      <c r="J1140" s="6">
        <f t="shared" si="34"/>
        <v>1617000</v>
      </c>
      <c r="K1140" s="6">
        <f t="shared" si="35"/>
        <v>1374450</v>
      </c>
      <c r="L1140" s="8" t="s">
        <v>76</v>
      </c>
      <c r="M1140" s="8" t="s">
        <v>96</v>
      </c>
    </row>
    <row r="1141" spans="1:13" x14ac:dyDescent="0.25">
      <c r="A1141" s="9">
        <v>1117</v>
      </c>
      <c r="B1141" s="10">
        <v>45197</v>
      </c>
      <c r="C1141" s="11" t="s">
        <v>101</v>
      </c>
      <c r="D1141" s="11" t="s">
        <v>83</v>
      </c>
      <c r="E1141" s="11" t="s">
        <v>84</v>
      </c>
      <c r="F1141" s="11" t="s">
        <v>206</v>
      </c>
      <c r="G1141" s="9">
        <v>27</v>
      </c>
      <c r="H1141" s="9">
        <v>15800</v>
      </c>
      <c r="I1141" s="9">
        <v>0</v>
      </c>
      <c r="J1141" s="9">
        <f t="shared" si="34"/>
        <v>426600</v>
      </c>
      <c r="K1141" s="9">
        <f t="shared" si="35"/>
        <v>426600</v>
      </c>
      <c r="L1141" s="11" t="s">
        <v>129</v>
      </c>
      <c r="M1141" s="11" t="s">
        <v>77</v>
      </c>
    </row>
    <row r="1142" spans="1:13" x14ac:dyDescent="0.25">
      <c r="A1142" s="6">
        <v>1118</v>
      </c>
      <c r="B1142" s="7">
        <v>45310</v>
      </c>
      <c r="C1142" s="8" t="s">
        <v>82</v>
      </c>
      <c r="D1142" s="8" t="s">
        <v>93</v>
      </c>
      <c r="E1142" s="8" t="s">
        <v>74</v>
      </c>
      <c r="F1142" s="8" t="s">
        <v>212</v>
      </c>
      <c r="G1142" s="6">
        <v>37</v>
      </c>
      <c r="H1142" s="6">
        <v>7500</v>
      </c>
      <c r="I1142" s="6">
        <v>10</v>
      </c>
      <c r="J1142" s="6">
        <f t="shared" si="34"/>
        <v>277500</v>
      </c>
      <c r="K1142" s="6">
        <f t="shared" si="35"/>
        <v>249750</v>
      </c>
      <c r="L1142" s="8" t="s">
        <v>125</v>
      </c>
      <c r="M1142" s="8" t="s">
        <v>81</v>
      </c>
    </row>
    <row r="1143" spans="1:13" x14ac:dyDescent="0.25">
      <c r="A1143" s="9">
        <v>1119</v>
      </c>
      <c r="B1143" s="10">
        <v>45327</v>
      </c>
      <c r="C1143" s="11" t="s">
        <v>106</v>
      </c>
      <c r="D1143" s="11" t="s">
        <v>93</v>
      </c>
      <c r="E1143" s="11" t="s">
        <v>111</v>
      </c>
      <c r="F1143" s="11" t="s">
        <v>192</v>
      </c>
      <c r="G1143" s="9">
        <v>37</v>
      </c>
      <c r="H1143" s="9">
        <v>104500</v>
      </c>
      <c r="I1143" s="9">
        <v>15</v>
      </c>
      <c r="J1143" s="9">
        <f t="shared" si="34"/>
        <v>3866500</v>
      </c>
      <c r="K1143" s="9">
        <f t="shared" si="35"/>
        <v>3286525</v>
      </c>
      <c r="L1143" s="11" t="s">
        <v>76</v>
      </c>
      <c r="M1143" s="11" t="s">
        <v>91</v>
      </c>
    </row>
    <row r="1144" spans="1:13" x14ac:dyDescent="0.25">
      <c r="A1144" s="6">
        <v>1120</v>
      </c>
      <c r="B1144" s="7">
        <v>45104</v>
      </c>
      <c r="C1144" s="8" t="s">
        <v>223</v>
      </c>
      <c r="D1144" s="8" t="s">
        <v>117</v>
      </c>
      <c r="E1144" s="8" t="s">
        <v>102</v>
      </c>
      <c r="F1144" s="8" t="s">
        <v>103</v>
      </c>
      <c r="G1144" s="6">
        <v>7</v>
      </c>
      <c r="H1144" s="6">
        <v>9900</v>
      </c>
      <c r="I1144" s="6">
        <v>10</v>
      </c>
      <c r="J1144" s="6">
        <f t="shared" si="34"/>
        <v>69300</v>
      </c>
      <c r="K1144" s="6">
        <f t="shared" si="35"/>
        <v>62370</v>
      </c>
      <c r="L1144" s="8" t="s">
        <v>86</v>
      </c>
      <c r="M1144" s="8" t="s">
        <v>81</v>
      </c>
    </row>
    <row r="1145" spans="1:13" x14ac:dyDescent="0.25">
      <c r="A1145" s="9">
        <v>1121</v>
      </c>
      <c r="B1145" s="10">
        <v>45048</v>
      </c>
      <c r="C1145" s="11" t="s">
        <v>124</v>
      </c>
      <c r="D1145" s="11" t="s">
        <v>83</v>
      </c>
      <c r="E1145" s="11" t="s">
        <v>74</v>
      </c>
      <c r="F1145" s="11" t="s">
        <v>142</v>
      </c>
      <c r="G1145" s="9">
        <v>14</v>
      </c>
      <c r="H1145" s="9">
        <v>13600</v>
      </c>
      <c r="I1145" s="9">
        <v>5</v>
      </c>
      <c r="J1145" s="9">
        <f t="shared" si="34"/>
        <v>190400</v>
      </c>
      <c r="K1145" s="9">
        <f t="shared" si="35"/>
        <v>180880</v>
      </c>
      <c r="L1145" s="11" t="s">
        <v>76</v>
      </c>
      <c r="M1145" s="11" t="s">
        <v>77</v>
      </c>
    </row>
    <row r="1146" spans="1:13" x14ac:dyDescent="0.25">
      <c r="A1146" s="6">
        <v>1122</v>
      </c>
      <c r="B1146" s="8" t="s">
        <v>493</v>
      </c>
      <c r="C1146" s="8" t="s">
        <v>124</v>
      </c>
      <c r="D1146" s="8" t="s">
        <v>109</v>
      </c>
      <c r="E1146" s="8" t="s">
        <v>79</v>
      </c>
      <c r="F1146" s="8" t="s">
        <v>131</v>
      </c>
      <c r="G1146" s="6">
        <v>2</v>
      </c>
      <c r="H1146" s="6">
        <v>125200</v>
      </c>
      <c r="I1146" s="6">
        <v>5</v>
      </c>
      <c r="J1146" s="6">
        <f t="shared" si="34"/>
        <v>250400</v>
      </c>
      <c r="K1146" s="6">
        <f t="shared" si="35"/>
        <v>237880</v>
      </c>
      <c r="L1146" s="8" t="s">
        <v>86</v>
      </c>
      <c r="M1146" s="8" t="s">
        <v>81</v>
      </c>
    </row>
    <row r="1147" spans="1:13" x14ac:dyDescent="0.25">
      <c r="A1147" s="9">
        <v>1123</v>
      </c>
      <c r="B1147" s="10">
        <v>45576</v>
      </c>
      <c r="C1147" s="11" t="s">
        <v>88</v>
      </c>
      <c r="D1147" s="11" t="s">
        <v>104</v>
      </c>
      <c r="E1147" s="11" t="s">
        <v>84</v>
      </c>
      <c r="F1147" s="11" t="s">
        <v>90</v>
      </c>
      <c r="G1147" s="9">
        <v>35</v>
      </c>
      <c r="H1147" s="9">
        <v>1800</v>
      </c>
      <c r="I1147" s="9"/>
      <c r="J1147" s="9">
        <f t="shared" si="34"/>
        <v>63000</v>
      </c>
      <c r="K1147" s="9">
        <f t="shared" si="35"/>
        <v>63000</v>
      </c>
      <c r="L1147" s="11" t="s">
        <v>86</v>
      </c>
      <c r="M1147" s="11" t="s">
        <v>91</v>
      </c>
    </row>
    <row r="1148" spans="1:13" x14ac:dyDescent="0.25">
      <c r="A1148" s="6">
        <v>1124</v>
      </c>
      <c r="B1148" s="7">
        <v>45193</v>
      </c>
      <c r="C1148" s="8" t="s">
        <v>78</v>
      </c>
      <c r="D1148" s="8" t="s">
        <v>117</v>
      </c>
      <c r="E1148" s="8" t="s">
        <v>79</v>
      </c>
      <c r="F1148" s="8" t="s">
        <v>122</v>
      </c>
      <c r="G1148" s="6">
        <v>41</v>
      </c>
      <c r="H1148" s="6">
        <v>19000</v>
      </c>
      <c r="I1148" s="6">
        <v>0</v>
      </c>
      <c r="J1148" s="6">
        <f t="shared" si="34"/>
        <v>779000</v>
      </c>
      <c r="K1148" s="6">
        <f t="shared" si="35"/>
        <v>779000</v>
      </c>
      <c r="L1148" s="8" t="s">
        <v>125</v>
      </c>
      <c r="M1148" s="8" t="s">
        <v>77</v>
      </c>
    </row>
    <row r="1149" spans="1:13" x14ac:dyDescent="0.25">
      <c r="A1149" s="9">
        <v>1125</v>
      </c>
      <c r="B1149" s="10">
        <v>45397</v>
      </c>
      <c r="C1149" s="11" t="s">
        <v>124</v>
      </c>
      <c r="D1149" s="11" t="s">
        <v>73</v>
      </c>
      <c r="E1149" s="11" t="s">
        <v>79</v>
      </c>
      <c r="F1149" s="11" t="s">
        <v>122</v>
      </c>
      <c r="G1149" s="9">
        <v>12</v>
      </c>
      <c r="H1149" s="9">
        <v>17500</v>
      </c>
      <c r="I1149" s="9">
        <v>20</v>
      </c>
      <c r="J1149" s="9">
        <f t="shared" si="34"/>
        <v>210000</v>
      </c>
      <c r="K1149" s="9">
        <f t="shared" si="35"/>
        <v>168000</v>
      </c>
      <c r="L1149" s="11" t="s">
        <v>76</v>
      </c>
      <c r="M1149" s="11" t="s">
        <v>91</v>
      </c>
    </row>
    <row r="1150" spans="1:13" x14ac:dyDescent="0.25">
      <c r="A1150" s="6">
        <v>1126</v>
      </c>
      <c r="B1150" s="7">
        <v>45297</v>
      </c>
      <c r="C1150" s="8" t="s">
        <v>251</v>
      </c>
      <c r="D1150" s="8" t="s">
        <v>83</v>
      </c>
      <c r="E1150" s="8" t="s">
        <v>79</v>
      </c>
      <c r="F1150" s="8" t="s">
        <v>172</v>
      </c>
      <c r="G1150" s="6">
        <v>27</v>
      </c>
      <c r="H1150" s="6">
        <v>27500</v>
      </c>
      <c r="I1150" s="6">
        <v>0</v>
      </c>
      <c r="J1150" s="6">
        <f t="shared" si="34"/>
        <v>742500</v>
      </c>
      <c r="K1150" s="6">
        <f t="shared" si="35"/>
        <v>742500</v>
      </c>
      <c r="L1150" s="8" t="s">
        <v>76</v>
      </c>
      <c r="M1150" s="8" t="s">
        <v>77</v>
      </c>
    </row>
    <row r="1151" spans="1:13" x14ac:dyDescent="0.25">
      <c r="A1151" s="9">
        <v>1127</v>
      </c>
      <c r="B1151" s="10">
        <v>45630</v>
      </c>
      <c r="C1151" s="11" t="s">
        <v>114</v>
      </c>
      <c r="D1151" s="11" t="s">
        <v>83</v>
      </c>
      <c r="E1151" s="11" t="s">
        <v>270</v>
      </c>
      <c r="F1151" s="11" t="s">
        <v>99</v>
      </c>
      <c r="G1151" s="9">
        <v>12</v>
      </c>
      <c r="H1151" s="9">
        <v>3900</v>
      </c>
      <c r="I1151" s="9">
        <v>15</v>
      </c>
      <c r="J1151" s="9">
        <f t="shared" si="34"/>
        <v>46800</v>
      </c>
      <c r="K1151" s="9">
        <f t="shared" si="35"/>
        <v>39780</v>
      </c>
      <c r="L1151" s="11" t="s">
        <v>76</v>
      </c>
      <c r="M1151" s="11" t="s">
        <v>81</v>
      </c>
    </row>
    <row r="1152" spans="1:13" x14ac:dyDescent="0.25">
      <c r="A1152" s="6">
        <v>1128</v>
      </c>
      <c r="B1152" s="7">
        <v>45507</v>
      </c>
      <c r="C1152" s="8" t="s">
        <v>124</v>
      </c>
      <c r="D1152" s="8" t="s">
        <v>143</v>
      </c>
      <c r="E1152" s="8" t="s">
        <v>79</v>
      </c>
      <c r="F1152" s="8" t="s">
        <v>120</v>
      </c>
      <c r="G1152" s="6">
        <v>31</v>
      </c>
      <c r="H1152" s="6">
        <v>6900</v>
      </c>
      <c r="I1152" s="6">
        <v>0</v>
      </c>
      <c r="J1152" s="6">
        <f t="shared" si="34"/>
        <v>213900</v>
      </c>
      <c r="K1152" s="6">
        <f t="shared" si="35"/>
        <v>213900</v>
      </c>
      <c r="L1152" s="8" t="s">
        <v>125</v>
      </c>
      <c r="M1152" s="8" t="s">
        <v>77</v>
      </c>
    </row>
    <row r="1153" spans="1:13" x14ac:dyDescent="0.25">
      <c r="A1153" s="9">
        <v>1129</v>
      </c>
      <c r="B1153" s="11" t="s">
        <v>494</v>
      </c>
      <c r="C1153" s="11" t="s">
        <v>101</v>
      </c>
      <c r="D1153" s="11" t="s">
        <v>73</v>
      </c>
      <c r="E1153" s="11" t="s">
        <v>84</v>
      </c>
      <c r="F1153" s="11" t="s">
        <v>206</v>
      </c>
      <c r="G1153" s="9">
        <v>34</v>
      </c>
      <c r="H1153" s="9">
        <v>14500</v>
      </c>
      <c r="I1153" s="9">
        <v>0</v>
      </c>
      <c r="J1153" s="9">
        <f t="shared" si="34"/>
        <v>493000</v>
      </c>
      <c r="K1153" s="9">
        <f t="shared" si="35"/>
        <v>493000</v>
      </c>
      <c r="L1153" s="11" t="s">
        <v>76</v>
      </c>
      <c r="M1153" s="11" t="s">
        <v>81</v>
      </c>
    </row>
    <row r="1154" spans="1:13" x14ac:dyDescent="0.25">
      <c r="A1154" s="6">
        <v>1130</v>
      </c>
      <c r="B1154" s="7">
        <v>45300</v>
      </c>
      <c r="C1154" s="8" t="s">
        <v>274</v>
      </c>
      <c r="D1154" s="8" t="s">
        <v>109</v>
      </c>
      <c r="E1154" s="8" t="s">
        <v>79</v>
      </c>
      <c r="F1154" s="8" t="s">
        <v>120</v>
      </c>
      <c r="G1154" s="6">
        <v>6</v>
      </c>
      <c r="H1154" s="6">
        <v>5600</v>
      </c>
      <c r="I1154" s="6">
        <v>0</v>
      </c>
      <c r="J1154" s="6">
        <f t="shared" ref="J1154:J1217" si="36">G1154*H1154</f>
        <v>33600</v>
      </c>
      <c r="K1154" s="6">
        <f t="shared" ref="K1154:K1217" si="37">J1154*(1-I1154/100)</f>
        <v>33600</v>
      </c>
      <c r="L1154" s="8" t="s">
        <v>264</v>
      </c>
      <c r="M1154" s="8" t="s">
        <v>81</v>
      </c>
    </row>
    <row r="1155" spans="1:13" x14ac:dyDescent="0.25">
      <c r="A1155" s="9">
        <v>1131</v>
      </c>
      <c r="B1155" s="11" t="s">
        <v>495</v>
      </c>
      <c r="C1155" s="11" t="s">
        <v>119</v>
      </c>
      <c r="D1155" s="11" t="s">
        <v>109</v>
      </c>
      <c r="E1155" s="11" t="s">
        <v>79</v>
      </c>
      <c r="F1155" s="11" t="s">
        <v>120</v>
      </c>
      <c r="G1155" s="9">
        <v>42</v>
      </c>
      <c r="H1155" s="9">
        <v>6500</v>
      </c>
      <c r="I1155" s="9">
        <v>5</v>
      </c>
      <c r="J1155" s="9">
        <f t="shared" si="36"/>
        <v>273000</v>
      </c>
      <c r="K1155" s="9">
        <f t="shared" si="37"/>
        <v>259350</v>
      </c>
      <c r="L1155" s="11" t="s">
        <v>76</v>
      </c>
      <c r="M1155" s="11" t="s">
        <v>91</v>
      </c>
    </row>
    <row r="1156" spans="1:13" x14ac:dyDescent="0.25">
      <c r="A1156" s="6">
        <v>1132</v>
      </c>
      <c r="B1156" s="7">
        <v>45451</v>
      </c>
      <c r="C1156" s="8" t="s">
        <v>114</v>
      </c>
      <c r="D1156" s="8" t="s">
        <v>109</v>
      </c>
      <c r="E1156" s="8" t="s">
        <v>74</v>
      </c>
      <c r="F1156" s="8" t="s">
        <v>142</v>
      </c>
      <c r="G1156" s="6">
        <v>46</v>
      </c>
      <c r="H1156" s="6">
        <v>11400</v>
      </c>
      <c r="I1156" s="6">
        <v>0</v>
      </c>
      <c r="J1156" s="6">
        <f t="shared" si="36"/>
        <v>524400</v>
      </c>
      <c r="K1156" s="6">
        <f t="shared" si="37"/>
        <v>524400</v>
      </c>
      <c r="L1156" s="8" t="s">
        <v>174</v>
      </c>
      <c r="M1156" s="8" t="s">
        <v>91</v>
      </c>
    </row>
    <row r="1157" spans="1:13" x14ac:dyDescent="0.25">
      <c r="A1157" s="9">
        <v>1133</v>
      </c>
      <c r="B1157" s="10">
        <v>45524</v>
      </c>
      <c r="C1157" s="11" t="s">
        <v>124</v>
      </c>
      <c r="D1157" s="11" t="s">
        <v>117</v>
      </c>
      <c r="E1157" s="11" t="s">
        <v>84</v>
      </c>
      <c r="F1157" s="11" t="s">
        <v>90</v>
      </c>
      <c r="G1157" s="9">
        <v>32</v>
      </c>
      <c r="H1157" s="9" t="s">
        <v>346</v>
      </c>
      <c r="I1157" s="9">
        <v>5</v>
      </c>
      <c r="J1157" s="9" t="e">
        <f t="shared" si="36"/>
        <v>#VALUE!</v>
      </c>
      <c r="K1157" s="9" t="e">
        <f t="shared" si="37"/>
        <v>#VALUE!</v>
      </c>
      <c r="L1157" s="11" t="s">
        <v>76</v>
      </c>
      <c r="M1157" s="11" t="s">
        <v>91</v>
      </c>
    </row>
    <row r="1158" spans="1:13" x14ac:dyDescent="0.25">
      <c r="A1158" s="6">
        <v>1134</v>
      </c>
      <c r="B1158" s="7">
        <v>45537</v>
      </c>
      <c r="C1158" s="8" t="s">
        <v>101</v>
      </c>
      <c r="D1158" s="8" t="s">
        <v>117</v>
      </c>
      <c r="E1158" s="8" t="s">
        <v>102</v>
      </c>
      <c r="F1158" s="8" t="s">
        <v>137</v>
      </c>
      <c r="G1158" s="6">
        <v>28</v>
      </c>
      <c r="H1158" s="6">
        <v>2300</v>
      </c>
      <c r="I1158" s="6">
        <v>0</v>
      </c>
      <c r="J1158" s="6">
        <f t="shared" si="36"/>
        <v>64400</v>
      </c>
      <c r="K1158" s="6">
        <f t="shared" si="37"/>
        <v>64400</v>
      </c>
      <c r="L1158" s="8" t="s">
        <v>76</v>
      </c>
      <c r="M1158" s="8" t="s">
        <v>96</v>
      </c>
    </row>
    <row r="1159" spans="1:13" x14ac:dyDescent="0.25">
      <c r="A1159" s="9">
        <v>1135</v>
      </c>
      <c r="B1159" s="10">
        <v>45574</v>
      </c>
      <c r="C1159" s="11" t="s">
        <v>97</v>
      </c>
      <c r="D1159" s="11" t="s">
        <v>83</v>
      </c>
      <c r="E1159" s="11" t="s">
        <v>84</v>
      </c>
      <c r="F1159" s="11" t="s">
        <v>206</v>
      </c>
      <c r="G1159" s="9">
        <v>17</v>
      </c>
      <c r="H1159" s="9">
        <v>16000</v>
      </c>
      <c r="I1159" s="9">
        <v>10</v>
      </c>
      <c r="J1159" s="9">
        <f t="shared" si="36"/>
        <v>272000</v>
      </c>
      <c r="K1159" s="9">
        <f t="shared" si="37"/>
        <v>244800</v>
      </c>
      <c r="L1159" s="11" t="s">
        <v>76</v>
      </c>
      <c r="M1159" s="11" t="s">
        <v>96</v>
      </c>
    </row>
    <row r="1160" spans="1:13" x14ac:dyDescent="0.25">
      <c r="A1160" s="6">
        <v>1136</v>
      </c>
      <c r="B1160" s="8" t="s">
        <v>496</v>
      </c>
      <c r="C1160" s="8" t="s">
        <v>82</v>
      </c>
      <c r="D1160" s="8" t="s">
        <v>117</v>
      </c>
      <c r="E1160" s="8" t="s">
        <v>111</v>
      </c>
      <c r="F1160" s="8" t="s">
        <v>192</v>
      </c>
      <c r="G1160" s="6">
        <v>21</v>
      </c>
      <c r="H1160" s="6">
        <v>88200</v>
      </c>
      <c r="I1160" s="6">
        <v>0</v>
      </c>
      <c r="J1160" s="6">
        <f t="shared" si="36"/>
        <v>1852200</v>
      </c>
      <c r="K1160" s="6">
        <f t="shared" si="37"/>
        <v>1852200</v>
      </c>
      <c r="L1160" s="8" t="s">
        <v>76</v>
      </c>
      <c r="M1160" s="8" t="s">
        <v>81</v>
      </c>
    </row>
    <row r="1161" spans="1:13" x14ac:dyDescent="0.25">
      <c r="A1161" s="9">
        <v>1137</v>
      </c>
      <c r="B1161" s="10">
        <v>45178</v>
      </c>
      <c r="C1161" s="11" t="s">
        <v>97</v>
      </c>
      <c r="D1161" s="11" t="s">
        <v>109</v>
      </c>
      <c r="E1161" s="11" t="s">
        <v>74</v>
      </c>
      <c r="F1161" s="11" t="s">
        <v>212</v>
      </c>
      <c r="G1161" s="9">
        <v>21</v>
      </c>
      <c r="H1161" s="9">
        <v>7500</v>
      </c>
      <c r="I1161" s="9">
        <v>15</v>
      </c>
      <c r="J1161" s="9">
        <f t="shared" si="36"/>
        <v>157500</v>
      </c>
      <c r="K1161" s="9">
        <f t="shared" si="37"/>
        <v>133875</v>
      </c>
      <c r="L1161" s="11" t="s">
        <v>76</v>
      </c>
      <c r="M1161" s="11" t="s">
        <v>96</v>
      </c>
    </row>
    <row r="1162" spans="1:13" x14ac:dyDescent="0.25">
      <c r="A1162" s="6">
        <v>123</v>
      </c>
      <c r="B1162" s="7">
        <v>45268</v>
      </c>
      <c r="C1162" s="8" t="s">
        <v>106</v>
      </c>
      <c r="D1162" s="8" t="s">
        <v>109</v>
      </c>
      <c r="E1162" s="8" t="s">
        <v>102</v>
      </c>
      <c r="F1162" s="8" t="s">
        <v>181</v>
      </c>
      <c r="G1162" s="6">
        <v>49</v>
      </c>
      <c r="H1162" s="6">
        <v>4100</v>
      </c>
      <c r="I1162" s="6">
        <v>20</v>
      </c>
      <c r="J1162" s="6">
        <f t="shared" si="36"/>
        <v>200900</v>
      </c>
      <c r="K1162" s="6">
        <f t="shared" si="37"/>
        <v>160720</v>
      </c>
      <c r="L1162" s="8" t="s">
        <v>76</v>
      </c>
      <c r="M1162" s="8" t="s">
        <v>81</v>
      </c>
    </row>
    <row r="1163" spans="1:13" x14ac:dyDescent="0.25">
      <c r="A1163" s="9">
        <v>1138</v>
      </c>
      <c r="B1163" s="10">
        <v>44938</v>
      </c>
      <c r="C1163" s="11" t="s">
        <v>88</v>
      </c>
      <c r="D1163" s="11" t="s">
        <v>109</v>
      </c>
      <c r="E1163" s="11" t="s">
        <v>111</v>
      </c>
      <c r="F1163" s="11" t="s">
        <v>132</v>
      </c>
      <c r="G1163" s="9">
        <v>36</v>
      </c>
      <c r="H1163" s="9">
        <v>8400</v>
      </c>
      <c r="I1163" s="9">
        <v>10</v>
      </c>
      <c r="J1163" s="9">
        <f t="shared" si="36"/>
        <v>302400</v>
      </c>
      <c r="K1163" s="9">
        <f t="shared" si="37"/>
        <v>272160</v>
      </c>
      <c r="L1163" s="11" t="s">
        <v>76</v>
      </c>
      <c r="M1163" s="11" t="s">
        <v>96</v>
      </c>
    </row>
    <row r="1164" spans="1:13" x14ac:dyDescent="0.25">
      <c r="A1164" s="6">
        <v>1139</v>
      </c>
      <c r="B1164" s="7">
        <v>45144</v>
      </c>
      <c r="C1164" s="8" t="s">
        <v>246</v>
      </c>
      <c r="D1164" s="8" t="s">
        <v>109</v>
      </c>
      <c r="E1164" s="8" t="s">
        <v>79</v>
      </c>
      <c r="F1164" s="8" t="s">
        <v>179</v>
      </c>
      <c r="G1164" s="6">
        <v>43</v>
      </c>
      <c r="H1164" s="6">
        <v>2700</v>
      </c>
      <c r="I1164" s="6">
        <v>15</v>
      </c>
      <c r="J1164" s="6">
        <f t="shared" si="36"/>
        <v>116100</v>
      </c>
      <c r="K1164" s="6">
        <f t="shared" si="37"/>
        <v>98685</v>
      </c>
      <c r="L1164" s="8" t="s">
        <v>76</v>
      </c>
      <c r="M1164" s="8" t="s">
        <v>91</v>
      </c>
    </row>
    <row r="1165" spans="1:13" x14ac:dyDescent="0.25">
      <c r="A1165" s="9">
        <v>1140</v>
      </c>
      <c r="B1165" s="10">
        <v>45372</v>
      </c>
      <c r="C1165" s="11" t="s">
        <v>235</v>
      </c>
      <c r="D1165" s="11" t="s">
        <v>117</v>
      </c>
      <c r="E1165" s="11" t="s">
        <v>84</v>
      </c>
      <c r="F1165" s="11" t="s">
        <v>90</v>
      </c>
      <c r="G1165" s="9">
        <v>32</v>
      </c>
      <c r="H1165" s="9">
        <v>1600</v>
      </c>
      <c r="I1165" s="9">
        <v>5</v>
      </c>
      <c r="J1165" s="9">
        <f t="shared" si="36"/>
        <v>51200</v>
      </c>
      <c r="K1165" s="9">
        <f t="shared" si="37"/>
        <v>48640</v>
      </c>
      <c r="L1165" s="11" t="s">
        <v>76</v>
      </c>
      <c r="M1165" s="11" t="s">
        <v>96</v>
      </c>
    </row>
    <row r="1166" spans="1:13" x14ac:dyDescent="0.25">
      <c r="A1166" s="6">
        <v>1141</v>
      </c>
      <c r="B1166" s="8" t="s">
        <v>497</v>
      </c>
      <c r="C1166" s="8" t="s">
        <v>97</v>
      </c>
      <c r="D1166" s="8" t="s">
        <v>83</v>
      </c>
      <c r="E1166" s="8" t="s">
        <v>84</v>
      </c>
      <c r="F1166" s="8" t="s">
        <v>200</v>
      </c>
      <c r="G1166" s="6">
        <v>16</v>
      </c>
      <c r="H1166" s="6">
        <v>3400</v>
      </c>
      <c r="I1166" s="6">
        <v>0</v>
      </c>
      <c r="J1166" s="6">
        <f t="shared" si="36"/>
        <v>54400</v>
      </c>
      <c r="K1166" s="6">
        <f t="shared" si="37"/>
        <v>54400</v>
      </c>
      <c r="L1166" s="8" t="s">
        <v>76</v>
      </c>
      <c r="M1166" s="8" t="s">
        <v>96</v>
      </c>
    </row>
    <row r="1167" spans="1:13" x14ac:dyDescent="0.25">
      <c r="A1167" s="9">
        <v>1142</v>
      </c>
      <c r="B1167" s="10">
        <v>45586</v>
      </c>
      <c r="C1167" s="11" t="s">
        <v>124</v>
      </c>
      <c r="D1167" s="11" t="s">
        <v>73</v>
      </c>
      <c r="E1167" s="11" t="s">
        <v>191</v>
      </c>
      <c r="F1167" s="11" t="s">
        <v>135</v>
      </c>
      <c r="G1167" s="9">
        <v>26</v>
      </c>
      <c r="H1167" s="9">
        <v>107300</v>
      </c>
      <c r="I1167" s="9">
        <v>0</v>
      </c>
      <c r="J1167" s="9">
        <f t="shared" si="36"/>
        <v>2789800</v>
      </c>
      <c r="K1167" s="9">
        <f t="shared" si="37"/>
        <v>2789800</v>
      </c>
      <c r="L1167" s="11" t="s">
        <v>76</v>
      </c>
      <c r="M1167" s="11" t="s">
        <v>77</v>
      </c>
    </row>
    <row r="1168" spans="1:13" x14ac:dyDescent="0.25">
      <c r="A1168" s="6">
        <v>1143</v>
      </c>
      <c r="B1168" s="7">
        <v>45587</v>
      </c>
      <c r="C1168" s="8" t="s">
        <v>78</v>
      </c>
      <c r="D1168" s="8" t="s">
        <v>73</v>
      </c>
      <c r="E1168" s="8" t="s">
        <v>111</v>
      </c>
      <c r="F1168" s="8" t="s">
        <v>112</v>
      </c>
      <c r="G1168" s="6">
        <v>27</v>
      </c>
      <c r="H1168" s="6">
        <v>72000</v>
      </c>
      <c r="I1168" s="6">
        <v>0</v>
      </c>
      <c r="J1168" s="6">
        <f t="shared" si="36"/>
        <v>1944000</v>
      </c>
      <c r="K1168" s="6">
        <f t="shared" si="37"/>
        <v>1944000</v>
      </c>
      <c r="L1168" s="8" t="s">
        <v>86</v>
      </c>
      <c r="M1168" s="8" t="s">
        <v>96</v>
      </c>
    </row>
    <row r="1169" spans="1:13" x14ac:dyDescent="0.25">
      <c r="A1169" s="9">
        <v>1144</v>
      </c>
      <c r="B1169" s="10">
        <v>45281</v>
      </c>
      <c r="C1169" s="11" t="s">
        <v>114</v>
      </c>
      <c r="D1169" s="11" t="s">
        <v>73</v>
      </c>
      <c r="E1169" s="11" t="s">
        <v>102</v>
      </c>
      <c r="F1169" s="11" t="s">
        <v>157</v>
      </c>
      <c r="G1169" s="9">
        <v>4</v>
      </c>
      <c r="H1169" s="9">
        <v>12300</v>
      </c>
      <c r="I1169" s="9">
        <v>5</v>
      </c>
      <c r="J1169" s="9">
        <f t="shared" si="36"/>
        <v>49200</v>
      </c>
      <c r="K1169" s="9">
        <f t="shared" si="37"/>
        <v>46740</v>
      </c>
      <c r="L1169" s="11" t="s">
        <v>76</v>
      </c>
      <c r="M1169" s="11" t="s">
        <v>91</v>
      </c>
    </row>
    <row r="1170" spans="1:13" x14ac:dyDescent="0.25">
      <c r="A1170" s="6">
        <v>1145</v>
      </c>
      <c r="B1170" s="7">
        <v>45583</v>
      </c>
      <c r="C1170" s="8" t="s">
        <v>97</v>
      </c>
      <c r="D1170" s="8" t="s">
        <v>117</v>
      </c>
      <c r="E1170" s="8" t="s">
        <v>102</v>
      </c>
      <c r="F1170" s="8" t="s">
        <v>137</v>
      </c>
      <c r="G1170" s="12">
        <v>-4</v>
      </c>
      <c r="H1170" s="6">
        <v>2000</v>
      </c>
      <c r="I1170" s="6">
        <v>0</v>
      </c>
      <c r="J1170" s="6">
        <f t="shared" si="36"/>
        <v>-8000</v>
      </c>
      <c r="K1170" s="6">
        <f t="shared" si="37"/>
        <v>-8000</v>
      </c>
      <c r="L1170" s="8" t="s">
        <v>86</v>
      </c>
      <c r="M1170" s="8" t="s">
        <v>81</v>
      </c>
    </row>
    <row r="1171" spans="1:13" x14ac:dyDescent="0.25">
      <c r="A1171" s="9">
        <v>1146</v>
      </c>
      <c r="B1171" s="10">
        <v>45257</v>
      </c>
      <c r="C1171" s="11" t="s">
        <v>114</v>
      </c>
      <c r="D1171" s="11" t="s">
        <v>109</v>
      </c>
      <c r="E1171" s="11" t="s">
        <v>84</v>
      </c>
      <c r="F1171" s="11" t="s">
        <v>150</v>
      </c>
      <c r="G1171" s="9">
        <v>24</v>
      </c>
      <c r="H1171" s="9">
        <v>5200</v>
      </c>
      <c r="I1171" s="9">
        <v>15</v>
      </c>
      <c r="J1171" s="9">
        <f t="shared" si="36"/>
        <v>124800</v>
      </c>
      <c r="K1171" s="9">
        <f t="shared" si="37"/>
        <v>106080</v>
      </c>
      <c r="L1171" s="11" t="s">
        <v>86</v>
      </c>
      <c r="M1171" s="11" t="s">
        <v>77</v>
      </c>
    </row>
    <row r="1172" spans="1:13" x14ac:dyDescent="0.25">
      <c r="A1172" s="6">
        <v>1147</v>
      </c>
      <c r="B1172" s="7">
        <v>44980</v>
      </c>
      <c r="C1172" s="8" t="s">
        <v>101</v>
      </c>
      <c r="D1172" s="8" t="s">
        <v>73</v>
      </c>
      <c r="E1172" s="8" t="s">
        <v>79</v>
      </c>
      <c r="F1172" s="8" t="s">
        <v>136</v>
      </c>
      <c r="G1172" s="6">
        <v>5</v>
      </c>
      <c r="H1172" s="6">
        <v>96600</v>
      </c>
      <c r="I1172" s="6">
        <v>0</v>
      </c>
      <c r="J1172" s="6">
        <f t="shared" si="36"/>
        <v>483000</v>
      </c>
      <c r="K1172" s="6">
        <f t="shared" si="37"/>
        <v>483000</v>
      </c>
      <c r="L1172" s="8" t="s">
        <v>76</v>
      </c>
      <c r="M1172" s="8" t="s">
        <v>91</v>
      </c>
    </row>
    <row r="1173" spans="1:13" x14ac:dyDescent="0.25">
      <c r="A1173" s="9">
        <v>1148</v>
      </c>
      <c r="B1173" s="10">
        <v>45642</v>
      </c>
      <c r="C1173" s="11" t="s">
        <v>108</v>
      </c>
      <c r="D1173" s="11" t="s">
        <v>109</v>
      </c>
      <c r="E1173" s="11" t="s">
        <v>102</v>
      </c>
      <c r="F1173" s="11" t="s">
        <v>197</v>
      </c>
      <c r="G1173" s="9">
        <v>21</v>
      </c>
      <c r="H1173" s="9">
        <v>3500</v>
      </c>
      <c r="I1173" s="9">
        <v>15</v>
      </c>
      <c r="J1173" s="9">
        <f t="shared" si="36"/>
        <v>73500</v>
      </c>
      <c r="K1173" s="9">
        <f t="shared" si="37"/>
        <v>62475</v>
      </c>
      <c r="L1173" s="11" t="s">
        <v>107</v>
      </c>
      <c r="M1173" s="11" t="s">
        <v>91</v>
      </c>
    </row>
    <row r="1174" spans="1:13" x14ac:dyDescent="0.25">
      <c r="A1174" s="6">
        <v>1149</v>
      </c>
      <c r="B1174" s="8" t="s">
        <v>498</v>
      </c>
      <c r="C1174" s="8" t="s">
        <v>97</v>
      </c>
      <c r="D1174" s="8" t="s">
        <v>93</v>
      </c>
      <c r="E1174" s="8" t="s">
        <v>102</v>
      </c>
      <c r="F1174" s="8" t="s">
        <v>181</v>
      </c>
      <c r="G1174" s="6">
        <v>43</v>
      </c>
      <c r="H1174" s="6">
        <v>4700</v>
      </c>
      <c r="I1174" s="6">
        <v>0</v>
      </c>
      <c r="J1174" s="6">
        <f t="shared" si="36"/>
        <v>202100</v>
      </c>
      <c r="K1174" s="6">
        <f t="shared" si="37"/>
        <v>202100</v>
      </c>
      <c r="L1174" s="8" t="s">
        <v>164</v>
      </c>
      <c r="M1174" s="8" t="s">
        <v>96</v>
      </c>
    </row>
    <row r="1175" spans="1:13" x14ac:dyDescent="0.25">
      <c r="A1175" s="9">
        <v>1150</v>
      </c>
      <c r="B1175" s="10">
        <v>45421</v>
      </c>
      <c r="C1175" s="11" t="s">
        <v>106</v>
      </c>
      <c r="D1175" s="11" t="s">
        <v>73</v>
      </c>
      <c r="E1175" s="11" t="s">
        <v>149</v>
      </c>
      <c r="F1175" s="11" t="s">
        <v>190</v>
      </c>
      <c r="G1175" s="9">
        <v>23</v>
      </c>
      <c r="H1175" s="9">
        <v>34500</v>
      </c>
      <c r="I1175" s="9">
        <v>15</v>
      </c>
      <c r="J1175" s="9">
        <f t="shared" si="36"/>
        <v>793500</v>
      </c>
      <c r="K1175" s="9">
        <f t="shared" si="37"/>
        <v>674475</v>
      </c>
      <c r="L1175" s="11" t="s">
        <v>76</v>
      </c>
      <c r="M1175" s="11" t="s">
        <v>81</v>
      </c>
    </row>
    <row r="1176" spans="1:13" x14ac:dyDescent="0.25">
      <c r="A1176" s="6">
        <v>1151</v>
      </c>
      <c r="B1176" s="7">
        <v>45589</v>
      </c>
      <c r="C1176" s="8" t="s">
        <v>251</v>
      </c>
      <c r="D1176" s="8"/>
      <c r="E1176" s="8" t="s">
        <v>79</v>
      </c>
      <c r="F1176" s="8" t="s">
        <v>172</v>
      </c>
      <c r="G1176" s="6">
        <v>1</v>
      </c>
      <c r="H1176" s="6">
        <v>22900</v>
      </c>
      <c r="I1176" s="6">
        <v>20</v>
      </c>
      <c r="J1176" s="6">
        <f t="shared" si="36"/>
        <v>22900</v>
      </c>
      <c r="K1176" s="6">
        <f t="shared" si="37"/>
        <v>18320</v>
      </c>
      <c r="L1176" s="8" t="s">
        <v>187</v>
      </c>
      <c r="M1176" s="8" t="s">
        <v>91</v>
      </c>
    </row>
    <row r="1177" spans="1:13" x14ac:dyDescent="0.25">
      <c r="A1177" s="9">
        <v>1152</v>
      </c>
      <c r="B1177" s="10">
        <v>45321</v>
      </c>
      <c r="C1177" s="11" t="s">
        <v>106</v>
      </c>
      <c r="D1177" s="11" t="s">
        <v>83</v>
      </c>
      <c r="E1177" s="11" t="s">
        <v>79</v>
      </c>
      <c r="F1177" s="11" t="s">
        <v>120</v>
      </c>
      <c r="G1177" s="9">
        <v>38</v>
      </c>
      <c r="H1177" s="9">
        <v>5700</v>
      </c>
      <c r="I1177" s="9">
        <v>20</v>
      </c>
      <c r="J1177" s="9">
        <f t="shared" si="36"/>
        <v>216600</v>
      </c>
      <c r="K1177" s="9">
        <f t="shared" si="37"/>
        <v>173280</v>
      </c>
      <c r="L1177" s="11" t="s">
        <v>86</v>
      </c>
      <c r="M1177" s="11" t="s">
        <v>96</v>
      </c>
    </row>
    <row r="1178" spans="1:13" x14ac:dyDescent="0.25">
      <c r="A1178" s="6">
        <v>1153</v>
      </c>
      <c r="B1178" s="7">
        <v>45246</v>
      </c>
      <c r="C1178" s="8" t="s">
        <v>119</v>
      </c>
      <c r="D1178" s="8" t="s">
        <v>109</v>
      </c>
      <c r="E1178" s="8" t="s">
        <v>102</v>
      </c>
      <c r="F1178" s="8" t="s">
        <v>137</v>
      </c>
      <c r="G1178" s="6">
        <v>15</v>
      </c>
      <c r="H1178" s="6">
        <v>2500</v>
      </c>
      <c r="I1178" s="6">
        <v>5</v>
      </c>
      <c r="J1178" s="6">
        <f t="shared" si="36"/>
        <v>37500</v>
      </c>
      <c r="K1178" s="6">
        <f t="shared" si="37"/>
        <v>35625</v>
      </c>
      <c r="L1178" s="8" t="s">
        <v>107</v>
      </c>
      <c r="M1178" s="8" t="s">
        <v>91</v>
      </c>
    </row>
    <row r="1179" spans="1:13" x14ac:dyDescent="0.25">
      <c r="A1179" s="9">
        <v>1154</v>
      </c>
      <c r="B1179" s="10">
        <v>45562</v>
      </c>
      <c r="C1179" s="11" t="s">
        <v>82</v>
      </c>
      <c r="D1179" s="11" t="s">
        <v>109</v>
      </c>
      <c r="E1179" s="11" t="s">
        <v>111</v>
      </c>
      <c r="F1179" s="11" t="s">
        <v>156</v>
      </c>
      <c r="G1179" s="9">
        <v>28</v>
      </c>
      <c r="H1179" s="9">
        <v>38500</v>
      </c>
      <c r="I1179" s="9">
        <v>20</v>
      </c>
      <c r="J1179" s="9">
        <f t="shared" si="36"/>
        <v>1078000</v>
      </c>
      <c r="K1179" s="9">
        <f t="shared" si="37"/>
        <v>862400</v>
      </c>
      <c r="L1179" s="11" t="s">
        <v>76</v>
      </c>
      <c r="M1179" s="11" t="s">
        <v>96</v>
      </c>
    </row>
    <row r="1180" spans="1:13" x14ac:dyDescent="0.25">
      <c r="A1180" s="6">
        <v>1155</v>
      </c>
      <c r="B1180" s="8" t="s">
        <v>499</v>
      </c>
      <c r="C1180" s="8" t="s">
        <v>97</v>
      </c>
      <c r="D1180" s="8" t="s">
        <v>109</v>
      </c>
      <c r="E1180" s="8" t="s">
        <v>111</v>
      </c>
      <c r="F1180" s="8" t="s">
        <v>112</v>
      </c>
      <c r="G1180" s="6">
        <v>16</v>
      </c>
      <c r="H1180" s="6">
        <v>70600</v>
      </c>
      <c r="I1180" s="6">
        <v>0</v>
      </c>
      <c r="J1180" s="6">
        <f t="shared" si="36"/>
        <v>1129600</v>
      </c>
      <c r="K1180" s="6">
        <f t="shared" si="37"/>
        <v>1129600</v>
      </c>
      <c r="L1180" s="8" t="s">
        <v>76</v>
      </c>
      <c r="M1180" s="8" t="s">
        <v>91</v>
      </c>
    </row>
    <row r="1181" spans="1:13" x14ac:dyDescent="0.25">
      <c r="A1181" s="9">
        <v>1156</v>
      </c>
      <c r="B1181" s="11" t="s">
        <v>500</v>
      </c>
      <c r="C1181" s="11" t="s">
        <v>260</v>
      </c>
      <c r="D1181" s="11" t="s">
        <v>83</v>
      </c>
      <c r="E1181" s="11" t="s">
        <v>102</v>
      </c>
      <c r="F1181" s="11" t="s">
        <v>197</v>
      </c>
      <c r="G1181" s="9">
        <v>8</v>
      </c>
      <c r="H1181" s="9">
        <v>3800</v>
      </c>
      <c r="I1181" s="9">
        <v>0</v>
      </c>
      <c r="J1181" s="9">
        <f t="shared" si="36"/>
        <v>30400</v>
      </c>
      <c r="K1181" s="9">
        <f t="shared" si="37"/>
        <v>30400</v>
      </c>
      <c r="L1181" s="11" t="s">
        <v>107</v>
      </c>
      <c r="M1181" s="11" t="s">
        <v>77</v>
      </c>
    </row>
    <row r="1182" spans="1:13" x14ac:dyDescent="0.25">
      <c r="A1182" s="6">
        <v>1157</v>
      </c>
      <c r="B1182" s="7">
        <v>45368</v>
      </c>
      <c r="C1182" s="8" t="s">
        <v>106</v>
      </c>
      <c r="D1182" s="8" t="s">
        <v>109</v>
      </c>
      <c r="E1182" s="8" t="s">
        <v>111</v>
      </c>
      <c r="F1182" s="8" t="s">
        <v>165</v>
      </c>
      <c r="G1182" s="6">
        <v>4</v>
      </c>
      <c r="H1182" s="6">
        <v>18500</v>
      </c>
      <c r="I1182" s="6">
        <v>0</v>
      </c>
      <c r="J1182" s="6">
        <f t="shared" si="36"/>
        <v>74000</v>
      </c>
      <c r="K1182" s="6">
        <f t="shared" si="37"/>
        <v>74000</v>
      </c>
      <c r="L1182" s="8" t="s">
        <v>76</v>
      </c>
      <c r="M1182" s="8" t="s">
        <v>96</v>
      </c>
    </row>
    <row r="1183" spans="1:13" x14ac:dyDescent="0.25">
      <c r="A1183" s="9">
        <v>1158</v>
      </c>
      <c r="B1183" s="10">
        <v>44977</v>
      </c>
      <c r="C1183" s="11" t="s">
        <v>114</v>
      </c>
      <c r="D1183" s="11" t="s">
        <v>83</v>
      </c>
      <c r="E1183" s="11" t="s">
        <v>84</v>
      </c>
      <c r="F1183" s="11" t="s">
        <v>134</v>
      </c>
      <c r="G1183" s="9">
        <v>12</v>
      </c>
      <c r="H1183" s="9">
        <v>9100</v>
      </c>
      <c r="I1183" s="9">
        <v>10</v>
      </c>
      <c r="J1183" s="9">
        <f t="shared" si="36"/>
        <v>109200</v>
      </c>
      <c r="K1183" s="9">
        <f t="shared" si="37"/>
        <v>98280</v>
      </c>
      <c r="L1183" s="11" t="s">
        <v>76</v>
      </c>
      <c r="M1183" s="11" t="s">
        <v>91</v>
      </c>
    </row>
    <row r="1184" spans="1:13" x14ac:dyDescent="0.25">
      <c r="A1184" s="6">
        <v>1159</v>
      </c>
      <c r="B1184" s="7">
        <v>45370</v>
      </c>
      <c r="C1184" s="8" t="s">
        <v>97</v>
      </c>
      <c r="D1184" s="8" t="s">
        <v>73</v>
      </c>
      <c r="E1184" s="8" t="s">
        <v>84</v>
      </c>
      <c r="F1184" s="8" t="s">
        <v>150</v>
      </c>
      <c r="G1184" s="6">
        <v>4</v>
      </c>
      <c r="H1184" s="6">
        <v>5300</v>
      </c>
      <c r="I1184" s="6">
        <v>0</v>
      </c>
      <c r="J1184" s="6">
        <f t="shared" si="36"/>
        <v>21200</v>
      </c>
      <c r="K1184" s="6">
        <f t="shared" si="37"/>
        <v>21200</v>
      </c>
      <c r="L1184" s="8" t="s">
        <v>107</v>
      </c>
      <c r="M1184" s="8" t="s">
        <v>96</v>
      </c>
    </row>
    <row r="1185" spans="1:13" x14ac:dyDescent="0.25">
      <c r="A1185" s="9">
        <v>1160</v>
      </c>
      <c r="B1185" s="11" t="s">
        <v>501</v>
      </c>
      <c r="C1185" s="11" t="s">
        <v>82</v>
      </c>
      <c r="D1185" s="11" t="s">
        <v>73</v>
      </c>
      <c r="E1185" s="11" t="s">
        <v>74</v>
      </c>
      <c r="F1185" s="11" t="s">
        <v>75</v>
      </c>
      <c r="G1185" s="9">
        <v>45</v>
      </c>
      <c r="H1185" s="9">
        <v>24700</v>
      </c>
      <c r="I1185" s="9">
        <v>5</v>
      </c>
      <c r="J1185" s="9">
        <f t="shared" si="36"/>
        <v>1111500</v>
      </c>
      <c r="K1185" s="9">
        <f t="shared" si="37"/>
        <v>1055925</v>
      </c>
      <c r="L1185" s="11" t="s">
        <v>86</v>
      </c>
      <c r="M1185" s="11" t="s">
        <v>91</v>
      </c>
    </row>
    <row r="1186" spans="1:13" x14ac:dyDescent="0.25">
      <c r="A1186" s="6">
        <v>1161</v>
      </c>
      <c r="B1186" s="7">
        <v>45030</v>
      </c>
      <c r="C1186" s="8" t="s">
        <v>106</v>
      </c>
      <c r="D1186" s="8" t="s">
        <v>117</v>
      </c>
      <c r="E1186" s="8" t="s">
        <v>111</v>
      </c>
      <c r="F1186" s="8" t="s">
        <v>156</v>
      </c>
      <c r="G1186" s="6">
        <v>14</v>
      </c>
      <c r="H1186" s="6">
        <v>39600</v>
      </c>
      <c r="I1186" s="6">
        <v>15</v>
      </c>
      <c r="J1186" s="6">
        <f t="shared" si="36"/>
        <v>554400</v>
      </c>
      <c r="K1186" s="6">
        <f t="shared" si="37"/>
        <v>471240</v>
      </c>
      <c r="L1186" s="8" t="s">
        <v>129</v>
      </c>
      <c r="M1186" s="8" t="s">
        <v>96</v>
      </c>
    </row>
    <row r="1187" spans="1:13" x14ac:dyDescent="0.25">
      <c r="A1187" s="9">
        <v>1162</v>
      </c>
      <c r="B1187" s="10">
        <v>45537</v>
      </c>
      <c r="C1187" s="11" t="s">
        <v>101</v>
      </c>
      <c r="D1187" s="11" t="s">
        <v>268</v>
      </c>
      <c r="E1187" s="11" t="s">
        <v>79</v>
      </c>
      <c r="F1187" s="11" t="s">
        <v>122</v>
      </c>
      <c r="G1187" s="9">
        <v>45</v>
      </c>
      <c r="H1187" s="9">
        <v>18500</v>
      </c>
      <c r="I1187" s="9">
        <v>20</v>
      </c>
      <c r="J1187" s="9">
        <f t="shared" si="36"/>
        <v>832500</v>
      </c>
      <c r="K1187" s="9">
        <f t="shared" si="37"/>
        <v>666000</v>
      </c>
      <c r="L1187" s="11" t="s">
        <v>76</v>
      </c>
      <c r="M1187" s="11" t="s">
        <v>96</v>
      </c>
    </row>
    <row r="1188" spans="1:13" x14ac:dyDescent="0.25">
      <c r="A1188" s="6">
        <v>1163</v>
      </c>
      <c r="B1188" s="8" t="s">
        <v>479</v>
      </c>
      <c r="C1188" s="8" t="s">
        <v>106</v>
      </c>
      <c r="D1188" s="8" t="s">
        <v>109</v>
      </c>
      <c r="E1188" s="8" t="s">
        <v>149</v>
      </c>
      <c r="F1188" s="8" t="s">
        <v>118</v>
      </c>
      <c r="G1188" s="6">
        <v>22</v>
      </c>
      <c r="H1188" s="6">
        <v>26400</v>
      </c>
      <c r="I1188" s="6">
        <v>0</v>
      </c>
      <c r="J1188" s="6">
        <f t="shared" si="36"/>
        <v>580800</v>
      </c>
      <c r="K1188" s="6">
        <f t="shared" si="37"/>
        <v>580800</v>
      </c>
      <c r="L1188" s="8" t="s">
        <v>107</v>
      </c>
      <c r="M1188" s="8" t="s">
        <v>81</v>
      </c>
    </row>
    <row r="1189" spans="1:13" x14ac:dyDescent="0.25">
      <c r="A1189" s="9">
        <v>1164</v>
      </c>
      <c r="B1189" s="10">
        <v>45609</v>
      </c>
      <c r="C1189" s="11" t="s">
        <v>119</v>
      </c>
      <c r="D1189" s="11" t="s">
        <v>83</v>
      </c>
      <c r="E1189" s="11" t="s">
        <v>74</v>
      </c>
      <c r="F1189" s="11" t="s">
        <v>94</v>
      </c>
      <c r="G1189" s="9">
        <v>17</v>
      </c>
      <c r="H1189" s="9">
        <v>33100</v>
      </c>
      <c r="I1189" s="9">
        <v>15</v>
      </c>
      <c r="J1189" s="9">
        <f t="shared" si="36"/>
        <v>562700</v>
      </c>
      <c r="K1189" s="9">
        <f t="shared" si="37"/>
        <v>478295</v>
      </c>
      <c r="L1189" s="11" t="s">
        <v>107</v>
      </c>
      <c r="M1189" s="11" t="s">
        <v>81</v>
      </c>
    </row>
    <row r="1190" spans="1:13" x14ac:dyDescent="0.25">
      <c r="A1190" s="6">
        <v>1165</v>
      </c>
      <c r="B1190" s="7">
        <v>44936</v>
      </c>
      <c r="C1190" s="8" t="s">
        <v>124</v>
      </c>
      <c r="D1190" s="8" t="s">
        <v>117</v>
      </c>
      <c r="E1190" s="8" t="s">
        <v>111</v>
      </c>
      <c r="F1190" s="8" t="s">
        <v>192</v>
      </c>
      <c r="G1190" s="6">
        <v>16</v>
      </c>
      <c r="H1190" s="6" t="s">
        <v>502</v>
      </c>
      <c r="I1190" s="6">
        <v>20</v>
      </c>
      <c r="J1190" s="6" t="e">
        <f t="shared" si="36"/>
        <v>#VALUE!</v>
      </c>
      <c r="K1190" s="6" t="e">
        <f t="shared" si="37"/>
        <v>#VALUE!</v>
      </c>
      <c r="L1190" s="8" t="s">
        <v>76</v>
      </c>
      <c r="M1190" s="8" t="s">
        <v>77</v>
      </c>
    </row>
    <row r="1191" spans="1:13" x14ac:dyDescent="0.25">
      <c r="A1191" s="9">
        <v>1166</v>
      </c>
      <c r="B1191" s="10">
        <v>44944</v>
      </c>
      <c r="C1191" s="11" t="s">
        <v>124</v>
      </c>
      <c r="D1191" s="11" t="s">
        <v>313</v>
      </c>
      <c r="E1191" s="11" t="s">
        <v>84</v>
      </c>
      <c r="F1191" s="11" t="s">
        <v>128</v>
      </c>
      <c r="G1191" s="9">
        <v>50</v>
      </c>
      <c r="H1191" s="9">
        <v>4600</v>
      </c>
      <c r="I1191" s="9">
        <v>20</v>
      </c>
      <c r="J1191" s="9">
        <f t="shared" si="36"/>
        <v>230000</v>
      </c>
      <c r="K1191" s="9">
        <f t="shared" si="37"/>
        <v>184000</v>
      </c>
      <c r="L1191" s="11" t="s">
        <v>76</v>
      </c>
      <c r="M1191" s="11" t="s">
        <v>96</v>
      </c>
    </row>
    <row r="1192" spans="1:13" x14ac:dyDescent="0.25">
      <c r="A1192" s="6">
        <v>1167</v>
      </c>
      <c r="B1192" s="8" t="s">
        <v>503</v>
      </c>
      <c r="C1192" s="8" t="s">
        <v>224</v>
      </c>
      <c r="D1192" s="8" t="s">
        <v>83</v>
      </c>
      <c r="E1192" s="8" t="s">
        <v>74</v>
      </c>
      <c r="F1192" s="8" t="s">
        <v>190</v>
      </c>
      <c r="G1192" s="6">
        <v>17</v>
      </c>
      <c r="H1192" s="6">
        <v>34100</v>
      </c>
      <c r="I1192" s="6">
        <v>20</v>
      </c>
      <c r="J1192" s="6">
        <f t="shared" si="36"/>
        <v>579700</v>
      </c>
      <c r="K1192" s="6">
        <f t="shared" si="37"/>
        <v>463760</v>
      </c>
      <c r="L1192" s="8" t="s">
        <v>76</v>
      </c>
      <c r="M1192" s="8" t="s">
        <v>77</v>
      </c>
    </row>
    <row r="1193" spans="1:13" x14ac:dyDescent="0.25">
      <c r="A1193" s="9">
        <v>1168</v>
      </c>
      <c r="B1193" s="10">
        <v>45288</v>
      </c>
      <c r="C1193" s="11" t="s">
        <v>101</v>
      </c>
      <c r="D1193" s="11" t="s">
        <v>117</v>
      </c>
      <c r="E1193" s="11" t="s">
        <v>102</v>
      </c>
      <c r="F1193" s="11" t="s">
        <v>197</v>
      </c>
      <c r="G1193" s="9">
        <v>44</v>
      </c>
      <c r="H1193" s="9">
        <v>3500</v>
      </c>
      <c r="I1193" s="9">
        <v>0</v>
      </c>
      <c r="J1193" s="9">
        <f t="shared" si="36"/>
        <v>154000</v>
      </c>
      <c r="K1193" s="9">
        <f t="shared" si="37"/>
        <v>154000</v>
      </c>
      <c r="L1193" s="11" t="s">
        <v>129</v>
      </c>
      <c r="M1193" s="11" t="s">
        <v>77</v>
      </c>
    </row>
    <row r="1194" spans="1:13" x14ac:dyDescent="0.25">
      <c r="A1194" s="6">
        <v>1169</v>
      </c>
      <c r="B1194" s="7">
        <v>45347</v>
      </c>
      <c r="C1194" s="8" t="s">
        <v>106</v>
      </c>
      <c r="D1194" s="8" t="s">
        <v>109</v>
      </c>
      <c r="E1194" s="8" t="s">
        <v>74</v>
      </c>
      <c r="F1194" s="8" t="s">
        <v>99</v>
      </c>
      <c r="G1194" s="6">
        <v>37</v>
      </c>
      <c r="H1194" s="6">
        <v>3200</v>
      </c>
      <c r="I1194" s="6">
        <v>0</v>
      </c>
      <c r="J1194" s="6">
        <f t="shared" si="36"/>
        <v>118400</v>
      </c>
      <c r="K1194" s="6">
        <f t="shared" si="37"/>
        <v>118400</v>
      </c>
      <c r="L1194" s="8" t="s">
        <v>86</v>
      </c>
      <c r="M1194" s="8" t="s">
        <v>91</v>
      </c>
    </row>
    <row r="1195" spans="1:13" x14ac:dyDescent="0.25">
      <c r="A1195" s="9">
        <v>1170</v>
      </c>
      <c r="B1195" s="10">
        <v>45138</v>
      </c>
      <c r="C1195" s="11" t="s">
        <v>97</v>
      </c>
      <c r="D1195" s="11" t="s">
        <v>109</v>
      </c>
      <c r="E1195" s="11" t="s">
        <v>111</v>
      </c>
      <c r="F1195" s="11" t="s">
        <v>112</v>
      </c>
      <c r="G1195" s="9">
        <v>41</v>
      </c>
      <c r="H1195" s="9">
        <v>74200</v>
      </c>
      <c r="I1195" s="9">
        <v>10</v>
      </c>
      <c r="J1195" s="9">
        <f t="shared" si="36"/>
        <v>3042200</v>
      </c>
      <c r="K1195" s="9">
        <f t="shared" si="37"/>
        <v>2737980</v>
      </c>
      <c r="L1195" s="11" t="s">
        <v>86</v>
      </c>
      <c r="M1195" s="11" t="s">
        <v>91</v>
      </c>
    </row>
    <row r="1196" spans="1:13" x14ac:dyDescent="0.25">
      <c r="A1196" s="6">
        <v>1171</v>
      </c>
      <c r="B1196" s="7">
        <v>45106</v>
      </c>
      <c r="C1196" s="8" t="s">
        <v>101</v>
      </c>
      <c r="D1196" s="8" t="s">
        <v>117</v>
      </c>
      <c r="E1196" s="8" t="s">
        <v>74</v>
      </c>
      <c r="F1196" s="8" t="s">
        <v>140</v>
      </c>
      <c r="G1196" s="6">
        <v>18</v>
      </c>
      <c r="H1196" s="6">
        <v>4700</v>
      </c>
      <c r="I1196" s="6">
        <v>10</v>
      </c>
      <c r="J1196" s="6">
        <f t="shared" si="36"/>
        <v>84600</v>
      </c>
      <c r="K1196" s="6">
        <f t="shared" si="37"/>
        <v>76140</v>
      </c>
      <c r="L1196" s="8" t="s">
        <v>76</v>
      </c>
      <c r="M1196" s="8" t="s">
        <v>77</v>
      </c>
    </row>
    <row r="1197" spans="1:13" x14ac:dyDescent="0.25">
      <c r="A1197" s="9">
        <v>1172</v>
      </c>
      <c r="B1197" s="10">
        <v>45459</v>
      </c>
      <c r="C1197" s="11" t="s">
        <v>88</v>
      </c>
      <c r="D1197" s="11" t="s">
        <v>93</v>
      </c>
      <c r="E1197" s="11" t="s">
        <v>79</v>
      </c>
      <c r="F1197" s="11" t="s">
        <v>115</v>
      </c>
      <c r="G1197" s="9">
        <v>37</v>
      </c>
      <c r="H1197" s="9">
        <v>9900</v>
      </c>
      <c r="I1197" s="9">
        <v>0</v>
      </c>
      <c r="J1197" s="9">
        <f t="shared" si="36"/>
        <v>366300</v>
      </c>
      <c r="K1197" s="9">
        <f t="shared" si="37"/>
        <v>366300</v>
      </c>
      <c r="L1197" s="11" t="s">
        <v>125</v>
      </c>
      <c r="M1197" s="11" t="s">
        <v>96</v>
      </c>
    </row>
    <row r="1198" spans="1:13" x14ac:dyDescent="0.25">
      <c r="A1198" s="6">
        <v>1173</v>
      </c>
      <c r="B1198" s="7">
        <v>45039</v>
      </c>
      <c r="C1198" s="8" t="s">
        <v>443</v>
      </c>
      <c r="D1198" s="8" t="s">
        <v>83</v>
      </c>
      <c r="E1198" s="8" t="s">
        <v>84</v>
      </c>
      <c r="F1198" s="8" t="s">
        <v>85</v>
      </c>
      <c r="G1198" s="6">
        <v>34</v>
      </c>
      <c r="H1198" s="6">
        <v>5800</v>
      </c>
      <c r="I1198" s="6">
        <v>0</v>
      </c>
      <c r="J1198" s="6">
        <f t="shared" si="36"/>
        <v>197200</v>
      </c>
      <c r="K1198" s="6">
        <f t="shared" si="37"/>
        <v>197200</v>
      </c>
      <c r="L1198" s="8" t="s">
        <v>125</v>
      </c>
      <c r="M1198" s="8" t="s">
        <v>81</v>
      </c>
    </row>
    <row r="1199" spans="1:13" x14ac:dyDescent="0.25">
      <c r="A1199" s="9">
        <v>1174</v>
      </c>
      <c r="B1199" s="10">
        <v>45425</v>
      </c>
      <c r="C1199" s="11" t="s">
        <v>101</v>
      </c>
      <c r="D1199" s="11" t="s">
        <v>73</v>
      </c>
      <c r="E1199" s="11" t="s">
        <v>74</v>
      </c>
      <c r="F1199" s="11" t="s">
        <v>94</v>
      </c>
      <c r="G1199" s="9">
        <v>14</v>
      </c>
      <c r="H1199" s="9">
        <v>35500</v>
      </c>
      <c r="I1199" s="9">
        <v>0</v>
      </c>
      <c r="J1199" s="9">
        <f t="shared" si="36"/>
        <v>497000</v>
      </c>
      <c r="K1199" s="9">
        <f t="shared" si="37"/>
        <v>497000</v>
      </c>
      <c r="L1199" s="11" t="s">
        <v>76</v>
      </c>
      <c r="M1199" s="11" t="s">
        <v>77</v>
      </c>
    </row>
    <row r="1200" spans="1:13" x14ac:dyDescent="0.25">
      <c r="A1200" s="6">
        <v>1175</v>
      </c>
      <c r="B1200" s="8" t="s">
        <v>504</v>
      </c>
      <c r="C1200" s="8" t="s">
        <v>101</v>
      </c>
      <c r="D1200" s="8" t="s">
        <v>73</v>
      </c>
      <c r="E1200" s="8" t="s">
        <v>111</v>
      </c>
      <c r="F1200" s="8" t="s">
        <v>132</v>
      </c>
      <c r="G1200" s="6">
        <v>1</v>
      </c>
      <c r="H1200" s="6">
        <v>8000</v>
      </c>
      <c r="I1200" s="6">
        <v>0</v>
      </c>
      <c r="J1200" s="6">
        <f t="shared" si="36"/>
        <v>8000</v>
      </c>
      <c r="K1200" s="6">
        <f t="shared" si="37"/>
        <v>8000</v>
      </c>
      <c r="L1200" s="8" t="s">
        <v>76</v>
      </c>
      <c r="M1200" s="8" t="s">
        <v>81</v>
      </c>
    </row>
    <row r="1201" spans="1:13" x14ac:dyDescent="0.25">
      <c r="A1201" s="9">
        <v>1176</v>
      </c>
      <c r="B1201" s="10">
        <v>45217</v>
      </c>
      <c r="C1201" s="11" t="s">
        <v>116</v>
      </c>
      <c r="D1201" s="11" t="s">
        <v>93</v>
      </c>
      <c r="E1201" s="11" t="s">
        <v>84</v>
      </c>
      <c r="F1201" s="11" t="s">
        <v>150</v>
      </c>
      <c r="G1201" s="9">
        <v>10</v>
      </c>
      <c r="H1201" s="9">
        <v>5900</v>
      </c>
      <c r="I1201" s="9">
        <v>5</v>
      </c>
      <c r="J1201" s="9">
        <f t="shared" si="36"/>
        <v>59000</v>
      </c>
      <c r="K1201" s="9">
        <f t="shared" si="37"/>
        <v>56050</v>
      </c>
      <c r="L1201" s="11" t="s">
        <v>125</v>
      </c>
      <c r="M1201" s="11" t="s">
        <v>81</v>
      </c>
    </row>
    <row r="1202" spans="1:13" x14ac:dyDescent="0.25">
      <c r="A1202" s="6">
        <v>1177</v>
      </c>
      <c r="B1202" s="8" t="s">
        <v>505</v>
      </c>
      <c r="C1202" s="8" t="s">
        <v>97</v>
      </c>
      <c r="D1202" s="8" t="s">
        <v>117</v>
      </c>
      <c r="E1202" s="8" t="s">
        <v>84</v>
      </c>
      <c r="F1202" s="8" t="s">
        <v>206</v>
      </c>
      <c r="G1202" s="6">
        <v>23</v>
      </c>
      <c r="H1202" s="6">
        <v>14300</v>
      </c>
      <c r="I1202" s="6">
        <v>5</v>
      </c>
      <c r="J1202" s="6">
        <f t="shared" si="36"/>
        <v>328900</v>
      </c>
      <c r="K1202" s="6">
        <f t="shared" si="37"/>
        <v>312455</v>
      </c>
      <c r="L1202" s="8" t="s">
        <v>76</v>
      </c>
      <c r="M1202" s="8" t="s">
        <v>91</v>
      </c>
    </row>
    <row r="1203" spans="1:13" x14ac:dyDescent="0.25">
      <c r="A1203" s="9">
        <v>160</v>
      </c>
      <c r="B1203" s="10">
        <v>45424</v>
      </c>
      <c r="C1203" s="11" t="s">
        <v>106</v>
      </c>
      <c r="D1203" s="11" t="s">
        <v>109</v>
      </c>
      <c r="E1203" s="11" t="s">
        <v>84</v>
      </c>
      <c r="F1203" s="11" t="s">
        <v>128</v>
      </c>
      <c r="G1203" s="9">
        <v>7</v>
      </c>
      <c r="H1203" s="9">
        <v>3900</v>
      </c>
      <c r="I1203" s="9">
        <v>15</v>
      </c>
      <c r="J1203" s="9">
        <f t="shared" si="36"/>
        <v>27300</v>
      </c>
      <c r="K1203" s="9">
        <f t="shared" si="37"/>
        <v>23205</v>
      </c>
      <c r="L1203" s="11" t="s">
        <v>76</v>
      </c>
      <c r="M1203" s="11" t="s">
        <v>77</v>
      </c>
    </row>
    <row r="1204" spans="1:13" x14ac:dyDescent="0.25">
      <c r="A1204" s="6">
        <v>1178</v>
      </c>
      <c r="B1204" s="7">
        <v>45335</v>
      </c>
      <c r="C1204" s="8" t="s">
        <v>97</v>
      </c>
      <c r="D1204" s="8" t="s">
        <v>117</v>
      </c>
      <c r="E1204" s="8" t="s">
        <v>74</v>
      </c>
      <c r="F1204" s="8" t="s">
        <v>190</v>
      </c>
      <c r="G1204" s="6">
        <v>28</v>
      </c>
      <c r="H1204" s="6">
        <v>30200</v>
      </c>
      <c r="I1204" s="6">
        <v>20</v>
      </c>
      <c r="J1204" s="6">
        <f t="shared" si="36"/>
        <v>845600</v>
      </c>
      <c r="K1204" s="6">
        <f t="shared" si="37"/>
        <v>676480</v>
      </c>
      <c r="L1204" s="8" t="s">
        <v>86</v>
      </c>
      <c r="M1204" s="8" t="s">
        <v>96</v>
      </c>
    </row>
    <row r="1205" spans="1:13" x14ac:dyDescent="0.25">
      <c r="A1205" s="9">
        <v>1179</v>
      </c>
      <c r="B1205" s="10">
        <v>45519</v>
      </c>
      <c r="C1205" s="11" t="s">
        <v>108</v>
      </c>
      <c r="D1205" s="11" t="s">
        <v>109</v>
      </c>
      <c r="E1205" s="11" t="s">
        <v>74</v>
      </c>
      <c r="F1205" s="11" t="s">
        <v>142</v>
      </c>
      <c r="G1205" s="9">
        <v>13</v>
      </c>
      <c r="H1205" s="9">
        <v>12000</v>
      </c>
      <c r="I1205" s="9">
        <v>0</v>
      </c>
      <c r="J1205" s="9">
        <f t="shared" si="36"/>
        <v>156000</v>
      </c>
      <c r="K1205" s="9">
        <f t="shared" si="37"/>
        <v>156000</v>
      </c>
      <c r="L1205" s="11" t="s">
        <v>76</v>
      </c>
      <c r="M1205" s="11" t="s">
        <v>77</v>
      </c>
    </row>
    <row r="1206" spans="1:13" x14ac:dyDescent="0.25">
      <c r="A1206" s="6">
        <v>1180</v>
      </c>
      <c r="B1206" s="8" t="s">
        <v>506</v>
      </c>
      <c r="C1206" s="8" t="s">
        <v>119</v>
      </c>
      <c r="D1206" s="8" t="s">
        <v>93</v>
      </c>
      <c r="E1206" s="8" t="s">
        <v>84</v>
      </c>
      <c r="F1206" s="8" t="s">
        <v>148</v>
      </c>
      <c r="G1206" s="6">
        <v>28</v>
      </c>
      <c r="H1206" s="6">
        <v>5300</v>
      </c>
      <c r="I1206" s="6">
        <v>15</v>
      </c>
      <c r="J1206" s="6">
        <f t="shared" si="36"/>
        <v>148400</v>
      </c>
      <c r="K1206" s="6">
        <f t="shared" si="37"/>
        <v>126140</v>
      </c>
      <c r="L1206" s="8" t="s">
        <v>76</v>
      </c>
      <c r="M1206" s="8" t="s">
        <v>91</v>
      </c>
    </row>
    <row r="1207" spans="1:13" x14ac:dyDescent="0.25">
      <c r="A1207" s="9">
        <v>1181</v>
      </c>
      <c r="B1207" s="10">
        <v>45247</v>
      </c>
      <c r="C1207" s="11" t="s">
        <v>82</v>
      </c>
      <c r="D1207" s="11" t="s">
        <v>117</v>
      </c>
      <c r="E1207" s="11" t="s">
        <v>263</v>
      </c>
      <c r="F1207" s="11" t="s">
        <v>132</v>
      </c>
      <c r="G1207" s="9">
        <v>27</v>
      </c>
      <c r="H1207" s="9">
        <v>7600</v>
      </c>
      <c r="I1207" s="9"/>
      <c r="J1207" s="9">
        <f t="shared" si="36"/>
        <v>205200</v>
      </c>
      <c r="K1207" s="9">
        <f t="shared" si="37"/>
        <v>205200</v>
      </c>
      <c r="L1207" s="11" t="s">
        <v>125</v>
      </c>
      <c r="M1207" s="11" t="s">
        <v>91</v>
      </c>
    </row>
    <row r="1208" spans="1:13" x14ac:dyDescent="0.25">
      <c r="A1208" s="6">
        <v>1182</v>
      </c>
      <c r="B1208" s="7">
        <v>45499</v>
      </c>
      <c r="C1208" s="8" t="s">
        <v>78</v>
      </c>
      <c r="D1208" s="8" t="s">
        <v>83</v>
      </c>
      <c r="E1208" s="8" t="s">
        <v>79</v>
      </c>
      <c r="F1208" s="8" t="s">
        <v>122</v>
      </c>
      <c r="G1208" s="6">
        <v>20</v>
      </c>
      <c r="H1208" s="6">
        <v>19000</v>
      </c>
      <c r="I1208" s="6">
        <v>0</v>
      </c>
      <c r="J1208" s="6">
        <f t="shared" si="36"/>
        <v>380000</v>
      </c>
      <c r="K1208" s="6">
        <f t="shared" si="37"/>
        <v>380000</v>
      </c>
      <c r="L1208" s="8" t="s">
        <v>86</v>
      </c>
      <c r="M1208" s="8" t="s">
        <v>96</v>
      </c>
    </row>
    <row r="1209" spans="1:13" x14ac:dyDescent="0.25">
      <c r="A1209" s="9">
        <v>1183</v>
      </c>
      <c r="B1209" s="10">
        <v>45562</v>
      </c>
      <c r="C1209" s="11" t="s">
        <v>82</v>
      </c>
      <c r="D1209" s="11" t="s">
        <v>93</v>
      </c>
      <c r="E1209" s="11" t="s">
        <v>74</v>
      </c>
      <c r="F1209" s="11" t="s">
        <v>94</v>
      </c>
      <c r="G1209" s="9">
        <v>26</v>
      </c>
      <c r="H1209" s="9">
        <v>38100</v>
      </c>
      <c r="I1209" s="9">
        <v>5</v>
      </c>
      <c r="J1209" s="9">
        <f t="shared" si="36"/>
        <v>990600</v>
      </c>
      <c r="K1209" s="9">
        <f t="shared" si="37"/>
        <v>941070</v>
      </c>
      <c r="L1209" s="11" t="s">
        <v>76</v>
      </c>
      <c r="M1209" s="11" t="s">
        <v>77</v>
      </c>
    </row>
    <row r="1210" spans="1:13" x14ac:dyDescent="0.25">
      <c r="A1210" s="6">
        <v>1184</v>
      </c>
      <c r="B1210" s="7">
        <v>45457</v>
      </c>
      <c r="C1210" s="8" t="s">
        <v>194</v>
      </c>
      <c r="D1210" s="8" t="s">
        <v>73</v>
      </c>
      <c r="E1210" s="8" t="s">
        <v>79</v>
      </c>
      <c r="F1210" s="8" t="s">
        <v>136</v>
      </c>
      <c r="G1210" s="6">
        <v>42</v>
      </c>
      <c r="H1210" s="6">
        <v>82200</v>
      </c>
      <c r="I1210" s="6">
        <v>20</v>
      </c>
      <c r="J1210" s="6">
        <f t="shared" si="36"/>
        <v>3452400</v>
      </c>
      <c r="K1210" s="6">
        <f t="shared" si="37"/>
        <v>2761920</v>
      </c>
      <c r="L1210" s="8" t="s">
        <v>76</v>
      </c>
      <c r="M1210" s="8" t="s">
        <v>77</v>
      </c>
    </row>
    <row r="1211" spans="1:13" x14ac:dyDescent="0.25">
      <c r="A1211" s="9">
        <v>1185</v>
      </c>
      <c r="B1211" s="10">
        <v>45224</v>
      </c>
      <c r="C1211" s="11" t="s">
        <v>124</v>
      </c>
      <c r="D1211" s="11" t="s">
        <v>266</v>
      </c>
      <c r="E1211" s="11" t="s">
        <v>74</v>
      </c>
      <c r="F1211" s="11" t="s">
        <v>94</v>
      </c>
      <c r="G1211" s="9">
        <v>38</v>
      </c>
      <c r="H1211" s="9">
        <v>32600</v>
      </c>
      <c r="I1211" s="9">
        <v>15</v>
      </c>
      <c r="J1211" s="9">
        <f t="shared" si="36"/>
        <v>1238800</v>
      </c>
      <c r="K1211" s="9">
        <f t="shared" si="37"/>
        <v>1052980</v>
      </c>
      <c r="L1211" s="11" t="s">
        <v>86</v>
      </c>
      <c r="M1211" s="11" t="s">
        <v>77</v>
      </c>
    </row>
    <row r="1212" spans="1:13" x14ac:dyDescent="0.25">
      <c r="A1212" s="6">
        <v>1186</v>
      </c>
      <c r="B1212" s="8" t="s">
        <v>507</v>
      </c>
      <c r="C1212" s="8" t="s">
        <v>82</v>
      </c>
      <c r="D1212" s="8" t="s">
        <v>109</v>
      </c>
      <c r="E1212" s="8" t="s">
        <v>102</v>
      </c>
      <c r="F1212" s="8" t="s">
        <v>197</v>
      </c>
      <c r="G1212" s="6">
        <v>44</v>
      </c>
      <c r="H1212" s="6">
        <v>3500</v>
      </c>
      <c r="I1212" s="6">
        <v>0</v>
      </c>
      <c r="J1212" s="6">
        <f t="shared" si="36"/>
        <v>154000</v>
      </c>
      <c r="K1212" s="6">
        <f t="shared" si="37"/>
        <v>154000</v>
      </c>
      <c r="L1212" s="8" t="s">
        <v>76</v>
      </c>
      <c r="M1212" s="8" t="s">
        <v>81</v>
      </c>
    </row>
    <row r="1213" spans="1:13" x14ac:dyDescent="0.25">
      <c r="A1213" s="9">
        <v>1187</v>
      </c>
      <c r="B1213" s="10">
        <v>45570</v>
      </c>
      <c r="C1213" s="11" t="s">
        <v>101</v>
      </c>
      <c r="D1213" s="11" t="s">
        <v>73</v>
      </c>
      <c r="E1213" s="11" t="s">
        <v>111</v>
      </c>
      <c r="F1213" s="11" t="s">
        <v>156</v>
      </c>
      <c r="G1213" s="9">
        <v>1</v>
      </c>
      <c r="H1213" s="9">
        <v>39000</v>
      </c>
      <c r="I1213" s="9">
        <v>10</v>
      </c>
      <c r="J1213" s="9">
        <f t="shared" si="36"/>
        <v>39000</v>
      </c>
      <c r="K1213" s="9">
        <f t="shared" si="37"/>
        <v>35100</v>
      </c>
      <c r="L1213" s="11" t="s">
        <v>76</v>
      </c>
      <c r="M1213" s="11" t="s">
        <v>77</v>
      </c>
    </row>
    <row r="1214" spans="1:13" x14ac:dyDescent="0.25">
      <c r="A1214" s="6">
        <v>1188</v>
      </c>
      <c r="B1214" s="7">
        <v>45026</v>
      </c>
      <c r="C1214" s="8" t="s">
        <v>106</v>
      </c>
      <c r="D1214" s="8" t="s">
        <v>109</v>
      </c>
      <c r="E1214" s="8" t="s">
        <v>79</v>
      </c>
      <c r="F1214" s="8" t="s">
        <v>172</v>
      </c>
      <c r="G1214" s="6">
        <v>33</v>
      </c>
      <c r="H1214" s="6">
        <v>22700</v>
      </c>
      <c r="I1214" s="6">
        <v>0</v>
      </c>
      <c r="J1214" s="6">
        <f t="shared" si="36"/>
        <v>749100</v>
      </c>
      <c r="K1214" s="6">
        <f t="shared" si="37"/>
        <v>749100</v>
      </c>
      <c r="L1214" s="8" t="s">
        <v>76</v>
      </c>
      <c r="M1214" s="8" t="s">
        <v>77</v>
      </c>
    </row>
    <row r="1215" spans="1:13" x14ac:dyDescent="0.25">
      <c r="A1215" s="9">
        <v>1189</v>
      </c>
      <c r="B1215" s="10">
        <v>45234</v>
      </c>
      <c r="C1215" s="11" t="s">
        <v>458</v>
      </c>
      <c r="D1215" s="11" t="s">
        <v>83</v>
      </c>
      <c r="E1215" s="11" t="s">
        <v>84</v>
      </c>
      <c r="F1215" s="11" t="s">
        <v>90</v>
      </c>
      <c r="G1215" s="9">
        <v>35</v>
      </c>
      <c r="H1215" s="9" t="s">
        <v>346</v>
      </c>
      <c r="I1215" s="9">
        <v>20</v>
      </c>
      <c r="J1215" s="9" t="e">
        <f t="shared" si="36"/>
        <v>#VALUE!</v>
      </c>
      <c r="K1215" s="9" t="e">
        <f t="shared" si="37"/>
        <v>#VALUE!</v>
      </c>
      <c r="L1215" s="11" t="s">
        <v>76</v>
      </c>
      <c r="M1215" s="11" t="s">
        <v>91</v>
      </c>
    </row>
    <row r="1216" spans="1:13" x14ac:dyDescent="0.25">
      <c r="A1216" s="6">
        <v>1190</v>
      </c>
      <c r="B1216" s="7">
        <v>45600</v>
      </c>
      <c r="C1216" s="8" t="s">
        <v>448</v>
      </c>
      <c r="D1216" s="8" t="s">
        <v>73</v>
      </c>
      <c r="E1216" s="8" t="s">
        <v>111</v>
      </c>
      <c r="F1216" s="8" t="s">
        <v>166</v>
      </c>
      <c r="G1216" s="6">
        <v>12</v>
      </c>
      <c r="H1216" s="6">
        <v>29700</v>
      </c>
      <c r="I1216" s="6">
        <v>0</v>
      </c>
      <c r="J1216" s="6">
        <f t="shared" si="36"/>
        <v>356400</v>
      </c>
      <c r="K1216" s="6">
        <f t="shared" si="37"/>
        <v>356400</v>
      </c>
      <c r="L1216" s="8" t="s">
        <v>76</v>
      </c>
      <c r="M1216" s="8" t="s">
        <v>81</v>
      </c>
    </row>
    <row r="1217" spans="1:13" x14ac:dyDescent="0.25">
      <c r="A1217" s="9">
        <v>1191</v>
      </c>
      <c r="B1217" s="10">
        <v>45450</v>
      </c>
      <c r="C1217" s="11" t="s">
        <v>246</v>
      </c>
      <c r="D1217" s="11" t="s">
        <v>109</v>
      </c>
      <c r="E1217" s="11" t="s">
        <v>111</v>
      </c>
      <c r="F1217" s="11" t="s">
        <v>159</v>
      </c>
      <c r="G1217" s="9">
        <v>43</v>
      </c>
      <c r="H1217" s="9">
        <v>11700</v>
      </c>
      <c r="I1217" s="9">
        <v>0</v>
      </c>
      <c r="J1217" s="9">
        <f t="shared" si="36"/>
        <v>503100</v>
      </c>
      <c r="K1217" s="9">
        <f t="shared" si="37"/>
        <v>503100</v>
      </c>
      <c r="L1217" s="11" t="s">
        <v>76</v>
      </c>
      <c r="M1217" s="11" t="s">
        <v>91</v>
      </c>
    </row>
    <row r="1218" spans="1:13" x14ac:dyDescent="0.25">
      <c r="A1218" s="6">
        <v>1192</v>
      </c>
      <c r="B1218" s="7">
        <v>45610</v>
      </c>
      <c r="C1218" s="8" t="s">
        <v>101</v>
      </c>
      <c r="D1218" s="8" t="s">
        <v>83</v>
      </c>
      <c r="E1218" s="8" t="s">
        <v>111</v>
      </c>
      <c r="F1218" s="8" t="s">
        <v>112</v>
      </c>
      <c r="G1218" s="6">
        <v>28</v>
      </c>
      <c r="H1218" s="6">
        <v>66000</v>
      </c>
      <c r="I1218" s="6">
        <v>5</v>
      </c>
      <c r="J1218" s="6">
        <f t="shared" ref="J1218:J1281" si="38">G1218*H1218</f>
        <v>1848000</v>
      </c>
      <c r="K1218" s="6">
        <f t="shared" ref="K1218:K1281" si="39">J1218*(1-I1218/100)</f>
        <v>1755600</v>
      </c>
      <c r="L1218" s="8" t="s">
        <v>129</v>
      </c>
      <c r="M1218" s="8" t="s">
        <v>96</v>
      </c>
    </row>
    <row r="1219" spans="1:13" x14ac:dyDescent="0.25">
      <c r="A1219" s="9">
        <v>1193</v>
      </c>
      <c r="B1219" s="10">
        <v>45050</v>
      </c>
      <c r="C1219" s="11" t="s">
        <v>448</v>
      </c>
      <c r="D1219" s="11" t="s">
        <v>83</v>
      </c>
      <c r="E1219" s="11" t="s">
        <v>79</v>
      </c>
      <c r="F1219" s="11" t="s">
        <v>179</v>
      </c>
      <c r="G1219" s="9">
        <v>42</v>
      </c>
      <c r="H1219" s="9" t="s">
        <v>508</v>
      </c>
      <c r="I1219" s="9">
        <v>0</v>
      </c>
      <c r="J1219" s="9">
        <f t="shared" si="38"/>
        <v>96600</v>
      </c>
      <c r="K1219" s="9">
        <f t="shared" si="39"/>
        <v>96600</v>
      </c>
      <c r="L1219" s="11" t="s">
        <v>107</v>
      </c>
      <c r="M1219" s="11" t="s">
        <v>91</v>
      </c>
    </row>
    <row r="1220" spans="1:13" x14ac:dyDescent="0.25">
      <c r="A1220" s="6">
        <v>1194</v>
      </c>
      <c r="B1220" s="7">
        <v>45290</v>
      </c>
      <c r="C1220" s="8" t="s">
        <v>108</v>
      </c>
      <c r="D1220" s="8" t="s">
        <v>83</v>
      </c>
      <c r="E1220" s="8" t="s">
        <v>111</v>
      </c>
      <c r="F1220" s="8" t="s">
        <v>135</v>
      </c>
      <c r="G1220" s="6">
        <v>11</v>
      </c>
      <c r="H1220" s="6">
        <v>103800</v>
      </c>
      <c r="I1220" s="6">
        <v>0</v>
      </c>
      <c r="J1220" s="6">
        <f t="shared" si="38"/>
        <v>1141800</v>
      </c>
      <c r="K1220" s="6">
        <f t="shared" si="39"/>
        <v>1141800</v>
      </c>
      <c r="L1220" s="8" t="s">
        <v>76</v>
      </c>
      <c r="M1220" s="8" t="s">
        <v>81</v>
      </c>
    </row>
    <row r="1221" spans="1:13" x14ac:dyDescent="0.25">
      <c r="A1221" s="9">
        <v>1195</v>
      </c>
      <c r="B1221" s="10">
        <v>45650</v>
      </c>
      <c r="C1221" s="11" t="s">
        <v>246</v>
      </c>
      <c r="D1221" s="11" t="s">
        <v>83</v>
      </c>
      <c r="E1221" s="11" t="s">
        <v>102</v>
      </c>
      <c r="F1221" s="11" t="s">
        <v>137</v>
      </c>
      <c r="G1221" s="9">
        <v>10</v>
      </c>
      <c r="H1221" s="9">
        <v>2100</v>
      </c>
      <c r="I1221" s="9">
        <v>5</v>
      </c>
      <c r="J1221" s="9">
        <f t="shared" si="38"/>
        <v>21000</v>
      </c>
      <c r="K1221" s="9">
        <f t="shared" si="39"/>
        <v>19950</v>
      </c>
      <c r="L1221" s="11" t="s">
        <v>76</v>
      </c>
      <c r="M1221" s="11" t="s">
        <v>96</v>
      </c>
    </row>
    <row r="1222" spans="1:13" x14ac:dyDescent="0.25">
      <c r="A1222" s="6">
        <v>1196</v>
      </c>
      <c r="B1222" s="7">
        <v>45070</v>
      </c>
      <c r="C1222" s="8" t="s">
        <v>101</v>
      </c>
      <c r="D1222" s="8" t="s">
        <v>117</v>
      </c>
      <c r="E1222" s="8" t="s">
        <v>111</v>
      </c>
      <c r="F1222" s="8" t="s">
        <v>112</v>
      </c>
      <c r="G1222" s="6">
        <v>42</v>
      </c>
      <c r="H1222" s="6">
        <v>73400</v>
      </c>
      <c r="I1222" s="6">
        <v>10</v>
      </c>
      <c r="J1222" s="6">
        <f t="shared" si="38"/>
        <v>3082800</v>
      </c>
      <c r="K1222" s="6">
        <f t="shared" si="39"/>
        <v>2774520</v>
      </c>
      <c r="L1222" s="8" t="s">
        <v>229</v>
      </c>
      <c r="M1222" s="8" t="s">
        <v>91</v>
      </c>
    </row>
    <row r="1223" spans="1:13" x14ac:dyDescent="0.25">
      <c r="A1223" s="9">
        <v>1197</v>
      </c>
      <c r="B1223" s="11" t="s">
        <v>509</v>
      </c>
      <c r="C1223" s="11" t="s">
        <v>108</v>
      </c>
      <c r="D1223" s="11" t="s">
        <v>284</v>
      </c>
      <c r="E1223" s="11" t="s">
        <v>102</v>
      </c>
      <c r="F1223" s="11" t="s">
        <v>110</v>
      </c>
      <c r="G1223" s="9">
        <v>21</v>
      </c>
      <c r="H1223" s="9">
        <v>20500</v>
      </c>
      <c r="I1223" s="9">
        <v>10</v>
      </c>
      <c r="J1223" s="9">
        <f t="shared" si="38"/>
        <v>430500</v>
      </c>
      <c r="K1223" s="9">
        <f t="shared" si="39"/>
        <v>387450</v>
      </c>
      <c r="L1223" s="11" t="s">
        <v>76</v>
      </c>
      <c r="M1223" s="11" t="s">
        <v>96</v>
      </c>
    </row>
    <row r="1224" spans="1:13" x14ac:dyDescent="0.25">
      <c r="A1224" s="6">
        <v>1198</v>
      </c>
      <c r="B1224" s="7">
        <v>45559</v>
      </c>
      <c r="C1224" s="8" t="s">
        <v>114</v>
      </c>
      <c r="D1224" s="8" t="s">
        <v>73</v>
      </c>
      <c r="E1224" s="8" t="s">
        <v>368</v>
      </c>
      <c r="F1224" s="8" t="s">
        <v>136</v>
      </c>
      <c r="G1224" s="6">
        <v>11</v>
      </c>
      <c r="H1224" s="6">
        <v>94600</v>
      </c>
      <c r="I1224" s="6">
        <v>5</v>
      </c>
      <c r="J1224" s="6">
        <f t="shared" si="38"/>
        <v>1040600</v>
      </c>
      <c r="K1224" s="6">
        <f t="shared" si="39"/>
        <v>988570</v>
      </c>
      <c r="L1224" s="8" t="s">
        <v>76</v>
      </c>
      <c r="M1224" s="8" t="s">
        <v>77</v>
      </c>
    </row>
    <row r="1225" spans="1:13" x14ac:dyDescent="0.25">
      <c r="A1225" s="9">
        <v>1199</v>
      </c>
      <c r="B1225" s="10">
        <v>45622</v>
      </c>
      <c r="C1225" s="11" t="s">
        <v>119</v>
      </c>
      <c r="D1225" s="11" t="s">
        <v>117</v>
      </c>
      <c r="E1225" s="11" t="s">
        <v>84</v>
      </c>
      <c r="F1225" s="11" t="s">
        <v>90</v>
      </c>
      <c r="G1225" s="9">
        <v>12</v>
      </c>
      <c r="H1225" s="9">
        <v>1700</v>
      </c>
      <c r="I1225" s="9">
        <v>20</v>
      </c>
      <c r="J1225" s="9">
        <f t="shared" si="38"/>
        <v>20400</v>
      </c>
      <c r="K1225" s="9">
        <f t="shared" si="39"/>
        <v>16320</v>
      </c>
      <c r="L1225" s="11" t="s">
        <v>86</v>
      </c>
      <c r="M1225" s="11" t="s">
        <v>91</v>
      </c>
    </row>
    <row r="1226" spans="1:13" x14ac:dyDescent="0.25">
      <c r="A1226" s="6">
        <v>1200</v>
      </c>
      <c r="B1226" s="7">
        <v>45357</v>
      </c>
      <c r="C1226" s="8" t="s">
        <v>97</v>
      </c>
      <c r="D1226" s="8" t="s">
        <v>73</v>
      </c>
      <c r="E1226" s="8" t="s">
        <v>102</v>
      </c>
      <c r="F1226" s="8" t="s">
        <v>110</v>
      </c>
      <c r="G1226" s="6">
        <v>48</v>
      </c>
      <c r="H1226" s="6">
        <v>20400</v>
      </c>
      <c r="I1226" s="6">
        <v>10</v>
      </c>
      <c r="J1226" s="6">
        <f t="shared" si="38"/>
        <v>979200</v>
      </c>
      <c r="K1226" s="6">
        <f t="shared" si="39"/>
        <v>881280</v>
      </c>
      <c r="L1226" s="8" t="s">
        <v>76</v>
      </c>
      <c r="M1226" s="8" t="s">
        <v>96</v>
      </c>
    </row>
    <row r="1227" spans="1:13" x14ac:dyDescent="0.25">
      <c r="A1227" s="9">
        <v>1201</v>
      </c>
      <c r="B1227" s="10">
        <v>45573</v>
      </c>
      <c r="C1227" s="11" t="s">
        <v>78</v>
      </c>
      <c r="D1227" s="11" t="s">
        <v>109</v>
      </c>
      <c r="E1227" s="11" t="s">
        <v>74</v>
      </c>
      <c r="F1227" s="11" t="s">
        <v>118</v>
      </c>
      <c r="G1227" s="9">
        <v>25</v>
      </c>
      <c r="H1227" s="9">
        <v>30100</v>
      </c>
      <c r="I1227" s="9">
        <v>0</v>
      </c>
      <c r="J1227" s="9">
        <f t="shared" si="38"/>
        <v>752500</v>
      </c>
      <c r="K1227" s="9">
        <f t="shared" si="39"/>
        <v>752500</v>
      </c>
      <c r="L1227" s="11" t="s">
        <v>76</v>
      </c>
      <c r="M1227" s="11" t="s">
        <v>81</v>
      </c>
    </row>
    <row r="1228" spans="1:13" x14ac:dyDescent="0.25">
      <c r="A1228" s="6">
        <v>1202</v>
      </c>
      <c r="B1228" s="7">
        <v>45185</v>
      </c>
      <c r="C1228" s="8" t="s">
        <v>119</v>
      </c>
      <c r="D1228" s="8" t="s">
        <v>83</v>
      </c>
      <c r="E1228" s="8" t="s">
        <v>74</v>
      </c>
      <c r="F1228" s="8" t="s">
        <v>75</v>
      </c>
      <c r="G1228" s="6">
        <v>11</v>
      </c>
      <c r="H1228" s="6">
        <v>20900</v>
      </c>
      <c r="I1228" s="6">
        <v>0</v>
      </c>
      <c r="J1228" s="6">
        <f t="shared" si="38"/>
        <v>229900</v>
      </c>
      <c r="K1228" s="6">
        <f t="shared" si="39"/>
        <v>229900</v>
      </c>
      <c r="L1228" s="8" t="s">
        <v>76</v>
      </c>
      <c r="M1228" s="8" t="s">
        <v>81</v>
      </c>
    </row>
    <row r="1229" spans="1:13" x14ac:dyDescent="0.25">
      <c r="A1229" s="9">
        <v>1203</v>
      </c>
      <c r="B1229" s="10">
        <v>45523</v>
      </c>
      <c r="C1229" s="11" t="s">
        <v>78</v>
      </c>
      <c r="D1229" s="11" t="s">
        <v>73</v>
      </c>
      <c r="E1229" s="11" t="s">
        <v>84</v>
      </c>
      <c r="F1229" s="11" t="s">
        <v>206</v>
      </c>
      <c r="G1229" s="9">
        <v>1</v>
      </c>
      <c r="H1229" s="9">
        <v>15400</v>
      </c>
      <c r="I1229" s="9">
        <v>10</v>
      </c>
      <c r="J1229" s="9">
        <f t="shared" si="38"/>
        <v>15400</v>
      </c>
      <c r="K1229" s="9">
        <f t="shared" si="39"/>
        <v>13860</v>
      </c>
      <c r="L1229" s="11" t="s">
        <v>76</v>
      </c>
      <c r="M1229" s="11" t="s">
        <v>91</v>
      </c>
    </row>
    <row r="1230" spans="1:13" x14ac:dyDescent="0.25">
      <c r="A1230" s="6">
        <v>108</v>
      </c>
      <c r="B1230" s="7">
        <v>45187</v>
      </c>
      <c r="C1230" s="8" t="s">
        <v>119</v>
      </c>
      <c r="D1230" s="8" t="s">
        <v>117</v>
      </c>
      <c r="E1230" s="8" t="s">
        <v>79</v>
      </c>
      <c r="F1230" s="8" t="s">
        <v>172</v>
      </c>
      <c r="G1230" s="6">
        <v>44</v>
      </c>
      <c r="H1230" s="6">
        <v>28100</v>
      </c>
      <c r="I1230" s="6">
        <v>5</v>
      </c>
      <c r="J1230" s="6">
        <f t="shared" si="38"/>
        <v>1236400</v>
      </c>
      <c r="K1230" s="6">
        <f t="shared" si="39"/>
        <v>1174580</v>
      </c>
      <c r="L1230" s="8" t="s">
        <v>76</v>
      </c>
      <c r="M1230" s="8" t="s">
        <v>77</v>
      </c>
    </row>
    <row r="1231" spans="1:13" x14ac:dyDescent="0.25">
      <c r="A1231" s="9">
        <v>1204</v>
      </c>
      <c r="B1231" s="10">
        <v>45486</v>
      </c>
      <c r="C1231" s="11" t="s">
        <v>97</v>
      </c>
      <c r="D1231" s="11" t="s">
        <v>117</v>
      </c>
      <c r="E1231" s="11" t="s">
        <v>84</v>
      </c>
      <c r="F1231" s="11" t="s">
        <v>85</v>
      </c>
      <c r="G1231" s="9">
        <v>14</v>
      </c>
      <c r="H1231" s="9">
        <v>5100</v>
      </c>
      <c r="I1231" s="9">
        <v>10</v>
      </c>
      <c r="J1231" s="9">
        <f t="shared" si="38"/>
        <v>71400</v>
      </c>
      <c r="K1231" s="9">
        <f t="shared" si="39"/>
        <v>64260</v>
      </c>
      <c r="L1231" s="11" t="s">
        <v>76</v>
      </c>
      <c r="M1231" s="11"/>
    </row>
    <row r="1232" spans="1:13" x14ac:dyDescent="0.25">
      <c r="A1232" s="6">
        <v>1205</v>
      </c>
      <c r="B1232" s="7">
        <v>45287</v>
      </c>
      <c r="C1232" s="8" t="s">
        <v>88</v>
      </c>
      <c r="D1232" s="8" t="s">
        <v>93</v>
      </c>
      <c r="E1232" s="8" t="s">
        <v>102</v>
      </c>
      <c r="F1232" s="8" t="s">
        <v>103</v>
      </c>
      <c r="G1232" s="6">
        <v>29</v>
      </c>
      <c r="H1232" s="6">
        <v>10800</v>
      </c>
      <c r="I1232" s="6">
        <v>20</v>
      </c>
      <c r="J1232" s="6">
        <f t="shared" si="38"/>
        <v>313200</v>
      </c>
      <c r="K1232" s="6">
        <f t="shared" si="39"/>
        <v>250560</v>
      </c>
      <c r="L1232" s="8" t="s">
        <v>76</v>
      </c>
      <c r="M1232" s="8" t="s">
        <v>91</v>
      </c>
    </row>
    <row r="1233" spans="1:13" x14ac:dyDescent="0.25">
      <c r="A1233" s="9">
        <v>1206</v>
      </c>
      <c r="B1233" s="10">
        <v>44999</v>
      </c>
      <c r="C1233" s="11" t="s">
        <v>124</v>
      </c>
      <c r="D1233" s="11" t="s">
        <v>73</v>
      </c>
      <c r="E1233" s="11" t="s">
        <v>84</v>
      </c>
      <c r="F1233" s="11" t="s">
        <v>134</v>
      </c>
      <c r="G1233" s="9">
        <v>32</v>
      </c>
      <c r="H1233" s="9">
        <v>8900</v>
      </c>
      <c r="I1233" s="9">
        <v>0</v>
      </c>
      <c r="J1233" s="9">
        <f t="shared" si="38"/>
        <v>284800</v>
      </c>
      <c r="K1233" s="9">
        <f t="shared" si="39"/>
        <v>284800</v>
      </c>
      <c r="L1233" s="11" t="s">
        <v>76</v>
      </c>
      <c r="M1233" s="11" t="s">
        <v>96</v>
      </c>
    </row>
    <row r="1234" spans="1:13" x14ac:dyDescent="0.25">
      <c r="A1234" s="6">
        <v>1207</v>
      </c>
      <c r="B1234" s="7">
        <v>45156</v>
      </c>
      <c r="C1234" s="8" t="s">
        <v>101</v>
      </c>
      <c r="D1234" s="8" t="s">
        <v>117</v>
      </c>
      <c r="E1234" s="8" t="s">
        <v>111</v>
      </c>
      <c r="F1234" s="8" t="s">
        <v>132</v>
      </c>
      <c r="G1234" s="6">
        <v>11</v>
      </c>
      <c r="H1234" s="6">
        <v>6900</v>
      </c>
      <c r="I1234" s="6">
        <v>10</v>
      </c>
      <c r="J1234" s="6">
        <f t="shared" si="38"/>
        <v>75900</v>
      </c>
      <c r="K1234" s="6">
        <f t="shared" si="39"/>
        <v>68310</v>
      </c>
      <c r="L1234" s="8" t="s">
        <v>125</v>
      </c>
      <c r="M1234" s="8" t="s">
        <v>77</v>
      </c>
    </row>
    <row r="1235" spans="1:13" x14ac:dyDescent="0.25">
      <c r="A1235" s="9">
        <v>1208</v>
      </c>
      <c r="B1235" s="10">
        <v>45516</v>
      </c>
      <c r="C1235" s="11" t="s">
        <v>106</v>
      </c>
      <c r="D1235" s="11" t="s">
        <v>93</v>
      </c>
      <c r="E1235" s="11" t="s">
        <v>102</v>
      </c>
      <c r="F1235" s="11" t="s">
        <v>110</v>
      </c>
      <c r="G1235" s="9">
        <v>4</v>
      </c>
      <c r="H1235" s="9">
        <v>22000</v>
      </c>
      <c r="I1235" s="9">
        <v>10</v>
      </c>
      <c r="J1235" s="9">
        <f t="shared" si="38"/>
        <v>88000</v>
      </c>
      <c r="K1235" s="9">
        <f t="shared" si="39"/>
        <v>79200</v>
      </c>
      <c r="L1235" s="11" t="s">
        <v>76</v>
      </c>
      <c r="M1235" s="11" t="s">
        <v>77</v>
      </c>
    </row>
    <row r="1236" spans="1:13" x14ac:dyDescent="0.25">
      <c r="A1236" s="6">
        <v>1209</v>
      </c>
      <c r="B1236" s="7">
        <v>45409</v>
      </c>
      <c r="C1236" s="8" t="s">
        <v>101</v>
      </c>
      <c r="D1236" s="8" t="s">
        <v>73</v>
      </c>
      <c r="E1236" s="8" t="s">
        <v>79</v>
      </c>
      <c r="F1236" s="8" t="s">
        <v>120</v>
      </c>
      <c r="G1236" s="6">
        <v>13</v>
      </c>
      <c r="H1236" s="6">
        <v>6000</v>
      </c>
      <c r="I1236" s="6"/>
      <c r="J1236" s="6">
        <f t="shared" si="38"/>
        <v>78000</v>
      </c>
      <c r="K1236" s="6">
        <f t="shared" si="39"/>
        <v>78000</v>
      </c>
      <c r="L1236" s="8" t="s">
        <v>76</v>
      </c>
      <c r="M1236" s="8" t="s">
        <v>77</v>
      </c>
    </row>
    <row r="1237" spans="1:13" x14ac:dyDescent="0.25">
      <c r="A1237" s="9">
        <v>1210</v>
      </c>
      <c r="B1237" s="10">
        <v>45136</v>
      </c>
      <c r="C1237" s="11" t="s">
        <v>82</v>
      </c>
      <c r="D1237" s="11" t="s">
        <v>117</v>
      </c>
      <c r="E1237" s="11" t="s">
        <v>79</v>
      </c>
      <c r="F1237" s="11" t="s">
        <v>80</v>
      </c>
      <c r="G1237" s="9">
        <v>37</v>
      </c>
      <c r="H1237" s="9">
        <v>8700</v>
      </c>
      <c r="I1237" s="9">
        <v>0</v>
      </c>
      <c r="J1237" s="9">
        <f t="shared" si="38"/>
        <v>321900</v>
      </c>
      <c r="K1237" s="9">
        <f t="shared" si="39"/>
        <v>321900</v>
      </c>
      <c r="L1237" s="11" t="s">
        <v>107</v>
      </c>
      <c r="M1237" s="11" t="s">
        <v>77</v>
      </c>
    </row>
    <row r="1238" spans="1:13" x14ac:dyDescent="0.25">
      <c r="A1238" s="6">
        <v>1211</v>
      </c>
      <c r="B1238" s="7">
        <v>44999</v>
      </c>
      <c r="C1238" s="8" t="s">
        <v>114</v>
      </c>
      <c r="D1238" s="8" t="s">
        <v>93</v>
      </c>
      <c r="E1238" s="8" t="s">
        <v>102</v>
      </c>
      <c r="F1238" s="8" t="s">
        <v>137</v>
      </c>
      <c r="G1238" s="6">
        <v>31</v>
      </c>
      <c r="H1238" s="6">
        <v>2500</v>
      </c>
      <c r="I1238" s="6">
        <v>15</v>
      </c>
      <c r="J1238" s="6">
        <f t="shared" si="38"/>
        <v>77500</v>
      </c>
      <c r="K1238" s="6">
        <f t="shared" si="39"/>
        <v>65875</v>
      </c>
      <c r="L1238" s="8" t="s">
        <v>125</v>
      </c>
      <c r="M1238" s="8" t="s">
        <v>96</v>
      </c>
    </row>
    <row r="1239" spans="1:13" x14ac:dyDescent="0.25">
      <c r="A1239" s="9">
        <v>1212</v>
      </c>
      <c r="B1239" s="10">
        <v>44969</v>
      </c>
      <c r="C1239" s="11" t="s">
        <v>97</v>
      </c>
      <c r="D1239" s="11" t="s">
        <v>73</v>
      </c>
      <c r="E1239" s="11" t="s">
        <v>111</v>
      </c>
      <c r="F1239" s="11" t="s">
        <v>156</v>
      </c>
      <c r="G1239" s="9">
        <v>28</v>
      </c>
      <c r="H1239" s="9">
        <v>44600</v>
      </c>
      <c r="I1239" s="9">
        <v>0</v>
      </c>
      <c r="J1239" s="9">
        <f t="shared" si="38"/>
        <v>1248800</v>
      </c>
      <c r="K1239" s="9">
        <f t="shared" si="39"/>
        <v>1248800</v>
      </c>
      <c r="L1239" s="11" t="s">
        <v>76</v>
      </c>
      <c r="M1239" s="11" t="s">
        <v>81</v>
      </c>
    </row>
    <row r="1240" spans="1:13" x14ac:dyDescent="0.25">
      <c r="A1240" s="6">
        <v>1213</v>
      </c>
      <c r="B1240" s="8" t="s">
        <v>510</v>
      </c>
      <c r="C1240" s="8" t="s">
        <v>78</v>
      </c>
      <c r="D1240" s="8" t="s">
        <v>109</v>
      </c>
      <c r="E1240" s="8" t="s">
        <v>102</v>
      </c>
      <c r="F1240" s="8" t="s">
        <v>151</v>
      </c>
      <c r="G1240" s="6">
        <v>48</v>
      </c>
      <c r="H1240" s="6">
        <v>8000</v>
      </c>
      <c r="I1240" s="6">
        <v>0</v>
      </c>
      <c r="J1240" s="6">
        <f t="shared" si="38"/>
        <v>384000</v>
      </c>
      <c r="K1240" s="6">
        <f t="shared" si="39"/>
        <v>384000</v>
      </c>
      <c r="L1240" s="8" t="s">
        <v>76</v>
      </c>
      <c r="M1240" s="8" t="s">
        <v>91</v>
      </c>
    </row>
    <row r="1241" spans="1:13" x14ac:dyDescent="0.25">
      <c r="A1241" s="9">
        <v>1214</v>
      </c>
      <c r="B1241" s="10">
        <v>45323</v>
      </c>
      <c r="C1241" s="11" t="s">
        <v>414</v>
      </c>
      <c r="D1241" s="11" t="s">
        <v>109</v>
      </c>
      <c r="E1241" s="11" t="s">
        <v>111</v>
      </c>
      <c r="F1241" s="11" t="s">
        <v>165</v>
      </c>
      <c r="G1241" s="9">
        <v>8</v>
      </c>
      <c r="H1241" s="9">
        <v>18700</v>
      </c>
      <c r="I1241" s="9">
        <v>0</v>
      </c>
      <c r="J1241" s="9">
        <f t="shared" si="38"/>
        <v>149600</v>
      </c>
      <c r="K1241" s="9">
        <f t="shared" si="39"/>
        <v>149600</v>
      </c>
      <c r="L1241" s="11" t="s">
        <v>76</v>
      </c>
      <c r="M1241" s="11" t="s">
        <v>96</v>
      </c>
    </row>
    <row r="1242" spans="1:13" x14ac:dyDescent="0.25">
      <c r="A1242" s="6">
        <v>1215</v>
      </c>
      <c r="B1242" s="7">
        <v>45125</v>
      </c>
      <c r="C1242" s="8" t="s">
        <v>88</v>
      </c>
      <c r="D1242" s="8" t="s">
        <v>83</v>
      </c>
      <c r="E1242" s="8" t="s">
        <v>79</v>
      </c>
      <c r="F1242" s="8" t="s">
        <v>80</v>
      </c>
      <c r="G1242" s="6">
        <v>38</v>
      </c>
      <c r="H1242" s="6">
        <v>8100</v>
      </c>
      <c r="I1242" s="6">
        <v>15</v>
      </c>
      <c r="J1242" s="6">
        <f t="shared" si="38"/>
        <v>307800</v>
      </c>
      <c r="K1242" s="6">
        <f t="shared" si="39"/>
        <v>261630</v>
      </c>
      <c r="L1242" s="8" t="s">
        <v>76</v>
      </c>
      <c r="M1242" s="8" t="s">
        <v>91</v>
      </c>
    </row>
    <row r="1243" spans="1:13" x14ac:dyDescent="0.25">
      <c r="A1243" s="9">
        <v>1216</v>
      </c>
      <c r="B1243" s="10">
        <v>45476</v>
      </c>
      <c r="C1243" s="11" t="s">
        <v>124</v>
      </c>
      <c r="D1243" s="11" t="s">
        <v>73</v>
      </c>
      <c r="E1243" s="11" t="s">
        <v>79</v>
      </c>
      <c r="F1243" s="11" t="s">
        <v>80</v>
      </c>
      <c r="G1243" s="9">
        <v>5</v>
      </c>
      <c r="H1243" s="9">
        <v>9400</v>
      </c>
      <c r="I1243" s="9">
        <v>0</v>
      </c>
      <c r="J1243" s="9">
        <f t="shared" si="38"/>
        <v>47000</v>
      </c>
      <c r="K1243" s="9">
        <f t="shared" si="39"/>
        <v>47000</v>
      </c>
      <c r="L1243" s="11" t="s">
        <v>76</v>
      </c>
      <c r="M1243" s="11" t="s">
        <v>91</v>
      </c>
    </row>
    <row r="1244" spans="1:13" x14ac:dyDescent="0.25">
      <c r="A1244" s="6">
        <v>1217</v>
      </c>
      <c r="B1244" s="7">
        <v>45216</v>
      </c>
      <c r="C1244" s="8" t="s">
        <v>78</v>
      </c>
      <c r="D1244" s="8" t="s">
        <v>117</v>
      </c>
      <c r="E1244" s="8" t="s">
        <v>74</v>
      </c>
      <c r="F1244" s="8" t="s">
        <v>75</v>
      </c>
      <c r="G1244" s="6">
        <v>9</v>
      </c>
      <c r="H1244" s="6">
        <v>25300</v>
      </c>
      <c r="I1244" s="6">
        <v>15</v>
      </c>
      <c r="J1244" s="6">
        <f t="shared" si="38"/>
        <v>227700</v>
      </c>
      <c r="K1244" s="6">
        <f t="shared" si="39"/>
        <v>193545</v>
      </c>
      <c r="L1244" s="8" t="s">
        <v>76</v>
      </c>
      <c r="M1244" s="8" t="s">
        <v>91</v>
      </c>
    </row>
    <row r="1245" spans="1:13" x14ac:dyDescent="0.25">
      <c r="A1245" s="9">
        <v>1218</v>
      </c>
      <c r="B1245" s="10">
        <v>45052</v>
      </c>
      <c r="C1245" s="11" t="s">
        <v>97</v>
      </c>
      <c r="D1245" s="11" t="s">
        <v>73</v>
      </c>
      <c r="E1245" s="11" t="s">
        <v>74</v>
      </c>
      <c r="F1245" s="11" t="s">
        <v>75</v>
      </c>
      <c r="G1245" s="9">
        <v>48</v>
      </c>
      <c r="H1245" s="9">
        <v>22500</v>
      </c>
      <c r="I1245" s="9">
        <v>5</v>
      </c>
      <c r="J1245" s="9">
        <f t="shared" si="38"/>
        <v>1080000</v>
      </c>
      <c r="K1245" s="9">
        <f t="shared" si="39"/>
        <v>1026000</v>
      </c>
      <c r="L1245" s="11" t="s">
        <v>86</v>
      </c>
      <c r="M1245" s="11" t="s">
        <v>81</v>
      </c>
    </row>
    <row r="1246" spans="1:13" x14ac:dyDescent="0.25">
      <c r="A1246" s="6">
        <v>1219</v>
      </c>
      <c r="B1246" s="8" t="s">
        <v>511</v>
      </c>
      <c r="C1246" s="8" t="s">
        <v>101</v>
      </c>
      <c r="D1246" s="8" t="s">
        <v>117</v>
      </c>
      <c r="E1246" s="8" t="s">
        <v>102</v>
      </c>
      <c r="F1246" s="8" t="s">
        <v>110</v>
      </c>
      <c r="G1246" s="6">
        <v>16</v>
      </c>
      <c r="H1246" s="6">
        <v>24600</v>
      </c>
      <c r="I1246" s="6">
        <v>0</v>
      </c>
      <c r="J1246" s="6">
        <f t="shared" si="38"/>
        <v>393600</v>
      </c>
      <c r="K1246" s="6">
        <f t="shared" si="39"/>
        <v>393600</v>
      </c>
      <c r="L1246" s="8" t="s">
        <v>76</v>
      </c>
      <c r="M1246" s="8" t="s">
        <v>96</v>
      </c>
    </row>
    <row r="1247" spans="1:13" x14ac:dyDescent="0.25">
      <c r="A1247" s="9">
        <v>1220</v>
      </c>
      <c r="B1247" s="10">
        <v>45641</v>
      </c>
      <c r="C1247" s="11" t="s">
        <v>116</v>
      </c>
      <c r="D1247" s="11" t="s">
        <v>93</v>
      </c>
      <c r="E1247" s="11" t="s">
        <v>79</v>
      </c>
      <c r="F1247" s="11" t="s">
        <v>136</v>
      </c>
      <c r="G1247" s="9">
        <v>27</v>
      </c>
      <c r="H1247" s="9">
        <v>83900</v>
      </c>
      <c r="I1247" s="9">
        <v>0</v>
      </c>
      <c r="J1247" s="9">
        <f t="shared" si="38"/>
        <v>2265300</v>
      </c>
      <c r="K1247" s="9">
        <f t="shared" si="39"/>
        <v>2265300</v>
      </c>
      <c r="L1247" s="11" t="s">
        <v>86</v>
      </c>
      <c r="M1247" s="11" t="s">
        <v>91</v>
      </c>
    </row>
    <row r="1248" spans="1:13" x14ac:dyDescent="0.25">
      <c r="A1248" s="6">
        <v>1221</v>
      </c>
      <c r="B1248" s="7">
        <v>45007</v>
      </c>
      <c r="C1248" s="8" t="s">
        <v>106</v>
      </c>
      <c r="D1248" s="8" t="s">
        <v>109</v>
      </c>
      <c r="E1248" s="8" t="s">
        <v>102</v>
      </c>
      <c r="F1248" s="8" t="s">
        <v>181</v>
      </c>
      <c r="G1248" s="6">
        <v>36</v>
      </c>
      <c r="H1248" s="6">
        <v>4400</v>
      </c>
      <c r="I1248" s="6">
        <v>15</v>
      </c>
      <c r="J1248" s="6">
        <f t="shared" si="38"/>
        <v>158400</v>
      </c>
      <c r="K1248" s="6">
        <f t="shared" si="39"/>
        <v>134640</v>
      </c>
      <c r="L1248" s="8" t="s">
        <v>76</v>
      </c>
      <c r="M1248" s="8" t="s">
        <v>96</v>
      </c>
    </row>
    <row r="1249" spans="1:13" x14ac:dyDescent="0.25">
      <c r="A1249" s="9">
        <v>1222</v>
      </c>
      <c r="B1249" s="10">
        <v>45072</v>
      </c>
      <c r="C1249" s="11" t="s">
        <v>78</v>
      </c>
      <c r="D1249" s="11" t="s">
        <v>109</v>
      </c>
      <c r="E1249" s="11" t="s">
        <v>111</v>
      </c>
      <c r="F1249" s="11" t="s">
        <v>159</v>
      </c>
      <c r="G1249" s="9">
        <v>2</v>
      </c>
      <c r="H1249" s="9">
        <v>13700</v>
      </c>
      <c r="I1249" s="9">
        <v>0</v>
      </c>
      <c r="J1249" s="9">
        <f t="shared" si="38"/>
        <v>27400</v>
      </c>
      <c r="K1249" s="9">
        <f t="shared" si="39"/>
        <v>27400</v>
      </c>
      <c r="L1249" s="11" t="s">
        <v>76</v>
      </c>
      <c r="M1249" s="11" t="s">
        <v>77</v>
      </c>
    </row>
    <row r="1250" spans="1:13" x14ac:dyDescent="0.25">
      <c r="A1250" s="6">
        <v>1223</v>
      </c>
      <c r="B1250" s="7">
        <v>45211</v>
      </c>
      <c r="C1250" s="8" t="s">
        <v>124</v>
      </c>
      <c r="D1250" s="8" t="s">
        <v>83</v>
      </c>
      <c r="E1250" s="8" t="s">
        <v>74</v>
      </c>
      <c r="F1250" s="8" t="s">
        <v>118</v>
      </c>
      <c r="G1250" s="6">
        <v>40</v>
      </c>
      <c r="H1250" s="6">
        <v>25600</v>
      </c>
      <c r="I1250" s="6">
        <v>20</v>
      </c>
      <c r="J1250" s="6">
        <f t="shared" si="38"/>
        <v>1024000</v>
      </c>
      <c r="K1250" s="6">
        <f t="shared" si="39"/>
        <v>819200</v>
      </c>
      <c r="L1250" s="8" t="s">
        <v>76</v>
      </c>
      <c r="M1250" s="8" t="s">
        <v>77</v>
      </c>
    </row>
    <row r="1251" spans="1:13" x14ac:dyDescent="0.25">
      <c r="A1251" s="9">
        <v>1224</v>
      </c>
      <c r="B1251" s="11" t="s">
        <v>364</v>
      </c>
      <c r="C1251" s="11" t="s">
        <v>114</v>
      </c>
      <c r="D1251" s="11" t="s">
        <v>83</v>
      </c>
      <c r="E1251" s="11" t="s">
        <v>79</v>
      </c>
      <c r="F1251" s="11" t="s">
        <v>80</v>
      </c>
      <c r="G1251" s="9">
        <v>12</v>
      </c>
      <c r="H1251" s="9">
        <v>8100</v>
      </c>
      <c r="I1251" s="9"/>
      <c r="J1251" s="9">
        <f t="shared" si="38"/>
        <v>97200</v>
      </c>
      <c r="K1251" s="9">
        <f t="shared" si="39"/>
        <v>97200</v>
      </c>
      <c r="L1251" s="11" t="s">
        <v>86</v>
      </c>
      <c r="M1251" s="11" t="s">
        <v>77</v>
      </c>
    </row>
    <row r="1252" spans="1:13" x14ac:dyDescent="0.25">
      <c r="A1252" s="6">
        <v>1225</v>
      </c>
      <c r="B1252" s="7">
        <v>45239</v>
      </c>
      <c r="C1252" s="8" t="s">
        <v>78</v>
      </c>
      <c r="D1252" s="8" t="s">
        <v>93</v>
      </c>
      <c r="E1252" s="8" t="s">
        <v>74</v>
      </c>
      <c r="F1252" s="8" t="s">
        <v>94</v>
      </c>
      <c r="G1252" s="6">
        <v>49</v>
      </c>
      <c r="H1252" s="6">
        <v>39500</v>
      </c>
      <c r="I1252" s="6"/>
      <c r="J1252" s="6">
        <f t="shared" si="38"/>
        <v>1935500</v>
      </c>
      <c r="K1252" s="6">
        <f t="shared" si="39"/>
        <v>1935500</v>
      </c>
      <c r="L1252" s="8" t="s">
        <v>107</v>
      </c>
      <c r="M1252" s="8" t="s">
        <v>96</v>
      </c>
    </row>
    <row r="1253" spans="1:13" x14ac:dyDescent="0.25">
      <c r="A1253" s="9">
        <v>1226</v>
      </c>
      <c r="B1253" s="10">
        <v>45532</v>
      </c>
      <c r="C1253" s="11" t="s">
        <v>106</v>
      </c>
      <c r="D1253" s="11" t="s">
        <v>73</v>
      </c>
      <c r="E1253" s="11" t="s">
        <v>74</v>
      </c>
      <c r="F1253" s="11" t="s">
        <v>140</v>
      </c>
      <c r="G1253" s="9">
        <v>47</v>
      </c>
      <c r="H1253" s="9">
        <v>5000</v>
      </c>
      <c r="I1253" s="9">
        <v>20</v>
      </c>
      <c r="J1253" s="9">
        <f t="shared" si="38"/>
        <v>235000</v>
      </c>
      <c r="K1253" s="9">
        <f t="shared" si="39"/>
        <v>188000</v>
      </c>
      <c r="L1253" s="11" t="s">
        <v>107</v>
      </c>
      <c r="M1253" s="11" t="s">
        <v>77</v>
      </c>
    </row>
    <row r="1254" spans="1:13" x14ac:dyDescent="0.25">
      <c r="A1254" s="6">
        <v>1227</v>
      </c>
      <c r="B1254" s="7">
        <v>45038</v>
      </c>
      <c r="C1254" s="8" t="s">
        <v>82</v>
      </c>
      <c r="D1254" s="8" t="s">
        <v>83</v>
      </c>
      <c r="E1254" s="8" t="s">
        <v>74</v>
      </c>
      <c r="F1254" s="8" t="s">
        <v>99</v>
      </c>
      <c r="G1254" s="6">
        <v>47</v>
      </c>
      <c r="H1254" s="6">
        <v>3500</v>
      </c>
      <c r="I1254" s="6"/>
      <c r="J1254" s="6">
        <f t="shared" si="38"/>
        <v>164500</v>
      </c>
      <c r="K1254" s="6">
        <f t="shared" si="39"/>
        <v>164500</v>
      </c>
      <c r="L1254" s="8" t="s">
        <v>76</v>
      </c>
      <c r="M1254" s="8" t="s">
        <v>96</v>
      </c>
    </row>
    <row r="1255" spans="1:13" x14ac:dyDescent="0.25">
      <c r="A1255" s="9">
        <v>1228</v>
      </c>
      <c r="B1255" s="10">
        <v>45317</v>
      </c>
      <c r="C1255" s="11" t="s">
        <v>119</v>
      </c>
      <c r="D1255" s="11" t="s">
        <v>109</v>
      </c>
      <c r="E1255" s="11" t="s">
        <v>84</v>
      </c>
      <c r="F1255" s="11" t="s">
        <v>206</v>
      </c>
      <c r="G1255" s="9">
        <v>44</v>
      </c>
      <c r="H1255" s="9">
        <v>13600</v>
      </c>
      <c r="I1255" s="9">
        <v>0</v>
      </c>
      <c r="J1255" s="9">
        <f t="shared" si="38"/>
        <v>598400</v>
      </c>
      <c r="K1255" s="9">
        <f t="shared" si="39"/>
        <v>598400</v>
      </c>
      <c r="L1255" s="11" t="s">
        <v>125</v>
      </c>
      <c r="M1255" s="11" t="s">
        <v>77</v>
      </c>
    </row>
    <row r="1256" spans="1:13" x14ac:dyDescent="0.25">
      <c r="A1256" s="6">
        <v>1229</v>
      </c>
      <c r="B1256" s="7">
        <v>45482</v>
      </c>
      <c r="C1256" s="8" t="s">
        <v>169</v>
      </c>
      <c r="D1256" s="8" t="s">
        <v>117</v>
      </c>
      <c r="E1256" s="8" t="s">
        <v>102</v>
      </c>
      <c r="F1256" s="8" t="s">
        <v>151</v>
      </c>
      <c r="G1256" s="6">
        <v>18</v>
      </c>
      <c r="H1256" s="6">
        <v>6800</v>
      </c>
      <c r="I1256" s="6">
        <v>20</v>
      </c>
      <c r="J1256" s="6">
        <f t="shared" si="38"/>
        <v>122400</v>
      </c>
      <c r="K1256" s="6">
        <f t="shared" si="39"/>
        <v>97920</v>
      </c>
      <c r="L1256" s="8" t="s">
        <v>76</v>
      </c>
      <c r="M1256" s="8" t="s">
        <v>96</v>
      </c>
    </row>
    <row r="1257" spans="1:13" x14ac:dyDescent="0.25">
      <c r="A1257" s="9">
        <v>1230</v>
      </c>
      <c r="B1257" s="10">
        <v>45595</v>
      </c>
      <c r="C1257" s="11" t="s">
        <v>124</v>
      </c>
      <c r="D1257" s="11" t="s">
        <v>73</v>
      </c>
      <c r="E1257" s="11" t="s">
        <v>79</v>
      </c>
      <c r="F1257" s="11" t="s">
        <v>179</v>
      </c>
      <c r="G1257" s="9">
        <v>21</v>
      </c>
      <c r="H1257" s="9">
        <v>2600</v>
      </c>
      <c r="I1257" s="9">
        <v>5</v>
      </c>
      <c r="J1257" s="9">
        <f t="shared" si="38"/>
        <v>54600</v>
      </c>
      <c r="K1257" s="9">
        <f t="shared" si="39"/>
        <v>51870</v>
      </c>
      <c r="L1257" s="11" t="s">
        <v>86</v>
      </c>
      <c r="M1257" s="11" t="s">
        <v>81</v>
      </c>
    </row>
    <row r="1258" spans="1:13" x14ac:dyDescent="0.25">
      <c r="A1258" s="6">
        <v>1231</v>
      </c>
      <c r="B1258" s="7">
        <v>45400</v>
      </c>
      <c r="C1258" s="8" t="s">
        <v>78</v>
      </c>
      <c r="D1258" s="8"/>
      <c r="E1258" s="8" t="s">
        <v>79</v>
      </c>
      <c r="F1258" s="8" t="s">
        <v>172</v>
      </c>
      <c r="G1258" s="6">
        <v>23</v>
      </c>
      <c r="H1258" s="6">
        <v>22700</v>
      </c>
      <c r="I1258" s="6">
        <v>5</v>
      </c>
      <c r="J1258" s="6">
        <f t="shared" si="38"/>
        <v>522100</v>
      </c>
      <c r="K1258" s="6">
        <f t="shared" si="39"/>
        <v>495995</v>
      </c>
      <c r="L1258" s="8" t="s">
        <v>76</v>
      </c>
      <c r="M1258" s="8" t="s">
        <v>81</v>
      </c>
    </row>
    <row r="1259" spans="1:13" x14ac:dyDescent="0.25">
      <c r="A1259" s="9">
        <v>1232</v>
      </c>
      <c r="B1259" s="10">
        <v>44986</v>
      </c>
      <c r="C1259" s="11" t="s">
        <v>124</v>
      </c>
      <c r="D1259" s="11" t="s">
        <v>73</v>
      </c>
      <c r="E1259" s="11" t="s">
        <v>74</v>
      </c>
      <c r="F1259" s="11" t="s">
        <v>212</v>
      </c>
      <c r="G1259" s="9">
        <v>29</v>
      </c>
      <c r="H1259" s="9">
        <v>9100</v>
      </c>
      <c r="I1259" s="9">
        <v>0</v>
      </c>
      <c r="J1259" s="9">
        <f t="shared" si="38"/>
        <v>263900</v>
      </c>
      <c r="K1259" s="9">
        <f t="shared" si="39"/>
        <v>263900</v>
      </c>
      <c r="L1259" s="11" t="s">
        <v>76</v>
      </c>
      <c r="M1259" s="11" t="s">
        <v>96</v>
      </c>
    </row>
    <row r="1260" spans="1:13" x14ac:dyDescent="0.25">
      <c r="A1260" s="6">
        <v>1233</v>
      </c>
      <c r="B1260" s="8" t="s">
        <v>512</v>
      </c>
      <c r="C1260" s="8" t="s">
        <v>108</v>
      </c>
      <c r="D1260" s="8" t="s">
        <v>109</v>
      </c>
      <c r="E1260" s="8" t="s">
        <v>84</v>
      </c>
      <c r="F1260" s="8" t="s">
        <v>128</v>
      </c>
      <c r="G1260" s="6">
        <v>42</v>
      </c>
      <c r="H1260" s="6">
        <v>4700</v>
      </c>
      <c r="I1260" s="6">
        <v>15</v>
      </c>
      <c r="J1260" s="6">
        <f t="shared" si="38"/>
        <v>197400</v>
      </c>
      <c r="K1260" s="6">
        <f t="shared" si="39"/>
        <v>167790</v>
      </c>
      <c r="L1260" s="8" t="s">
        <v>76</v>
      </c>
      <c r="M1260" s="8" t="s">
        <v>77</v>
      </c>
    </row>
    <row r="1261" spans="1:13" x14ac:dyDescent="0.25">
      <c r="A1261" s="9">
        <v>1234</v>
      </c>
      <c r="B1261" s="10">
        <v>44966</v>
      </c>
      <c r="C1261" s="11" t="s">
        <v>108</v>
      </c>
      <c r="D1261" s="11" t="s">
        <v>93</v>
      </c>
      <c r="E1261" s="11" t="s">
        <v>111</v>
      </c>
      <c r="F1261" s="11" t="s">
        <v>132</v>
      </c>
      <c r="G1261" s="9">
        <v>46</v>
      </c>
      <c r="H1261" s="9">
        <v>6800</v>
      </c>
      <c r="I1261" s="9">
        <v>0</v>
      </c>
      <c r="J1261" s="9">
        <f t="shared" si="38"/>
        <v>312800</v>
      </c>
      <c r="K1261" s="9">
        <f t="shared" si="39"/>
        <v>312800</v>
      </c>
      <c r="L1261" s="11" t="s">
        <v>76</v>
      </c>
      <c r="M1261" s="11"/>
    </row>
    <row r="1262" spans="1:13" x14ac:dyDescent="0.25">
      <c r="A1262" s="6">
        <v>1235</v>
      </c>
      <c r="B1262" s="7">
        <v>44943</v>
      </c>
      <c r="C1262" s="8" t="s">
        <v>88</v>
      </c>
      <c r="D1262" s="8" t="s">
        <v>93</v>
      </c>
      <c r="E1262" s="8" t="s">
        <v>79</v>
      </c>
      <c r="F1262" s="8" t="s">
        <v>80</v>
      </c>
      <c r="G1262" s="6">
        <v>5</v>
      </c>
      <c r="H1262" s="6">
        <v>8400</v>
      </c>
      <c r="I1262" s="6">
        <v>10</v>
      </c>
      <c r="J1262" s="6">
        <f t="shared" si="38"/>
        <v>42000</v>
      </c>
      <c r="K1262" s="6">
        <f t="shared" si="39"/>
        <v>37800</v>
      </c>
      <c r="L1262" s="8" t="s">
        <v>76</v>
      </c>
      <c r="M1262" s="8" t="s">
        <v>77</v>
      </c>
    </row>
    <row r="1263" spans="1:13" x14ac:dyDescent="0.25">
      <c r="A1263" s="9">
        <v>1236</v>
      </c>
      <c r="B1263" s="10">
        <v>45006</v>
      </c>
      <c r="C1263" s="11" t="s">
        <v>106</v>
      </c>
      <c r="D1263" s="11" t="s">
        <v>109</v>
      </c>
      <c r="E1263" s="11" t="s">
        <v>74</v>
      </c>
      <c r="F1263" s="11" t="s">
        <v>212</v>
      </c>
      <c r="G1263" s="9">
        <v>44</v>
      </c>
      <c r="H1263" s="9">
        <v>8900</v>
      </c>
      <c r="I1263" s="9">
        <v>0</v>
      </c>
      <c r="J1263" s="9">
        <f t="shared" si="38"/>
        <v>391600</v>
      </c>
      <c r="K1263" s="9">
        <f t="shared" si="39"/>
        <v>391600</v>
      </c>
      <c r="L1263" s="11" t="s">
        <v>76</v>
      </c>
      <c r="M1263" s="11" t="s">
        <v>91</v>
      </c>
    </row>
    <row r="1264" spans="1:13" x14ac:dyDescent="0.25">
      <c r="A1264" s="6">
        <v>1237</v>
      </c>
      <c r="B1264" s="7">
        <v>45073</v>
      </c>
      <c r="C1264" s="8" t="s">
        <v>78</v>
      </c>
      <c r="D1264" s="8" t="s">
        <v>117</v>
      </c>
      <c r="E1264" s="8" t="s">
        <v>102</v>
      </c>
      <c r="F1264" s="8" t="s">
        <v>157</v>
      </c>
      <c r="G1264" s="6">
        <v>27</v>
      </c>
      <c r="H1264" s="6">
        <v>11800</v>
      </c>
      <c r="I1264" s="6">
        <v>5</v>
      </c>
      <c r="J1264" s="6">
        <f t="shared" si="38"/>
        <v>318600</v>
      </c>
      <c r="K1264" s="6">
        <f t="shared" si="39"/>
        <v>302670</v>
      </c>
      <c r="L1264" s="8" t="s">
        <v>107</v>
      </c>
      <c r="M1264" s="8" t="s">
        <v>96</v>
      </c>
    </row>
    <row r="1265" spans="1:13" x14ac:dyDescent="0.25">
      <c r="A1265" s="9">
        <v>1238</v>
      </c>
      <c r="B1265" s="10">
        <v>45228</v>
      </c>
      <c r="C1265" s="11" t="s">
        <v>124</v>
      </c>
      <c r="D1265" s="11" t="s">
        <v>73</v>
      </c>
      <c r="E1265" s="11" t="s">
        <v>84</v>
      </c>
      <c r="F1265" s="11" t="s">
        <v>200</v>
      </c>
      <c r="G1265" s="9">
        <v>10</v>
      </c>
      <c r="H1265" s="9">
        <v>2900</v>
      </c>
      <c r="I1265" s="9">
        <v>0</v>
      </c>
      <c r="J1265" s="9">
        <f t="shared" si="38"/>
        <v>29000</v>
      </c>
      <c r="K1265" s="9">
        <f t="shared" si="39"/>
        <v>29000</v>
      </c>
      <c r="L1265" s="11" t="s">
        <v>107</v>
      </c>
      <c r="M1265" s="11" t="s">
        <v>77</v>
      </c>
    </row>
    <row r="1266" spans="1:13" x14ac:dyDescent="0.25">
      <c r="A1266" s="6">
        <v>1239</v>
      </c>
      <c r="B1266" s="7">
        <v>45550</v>
      </c>
      <c r="C1266" s="8" t="s">
        <v>106</v>
      </c>
      <c r="D1266" s="8" t="s">
        <v>117</v>
      </c>
      <c r="E1266" s="8" t="s">
        <v>102</v>
      </c>
      <c r="F1266" s="8" t="s">
        <v>157</v>
      </c>
      <c r="G1266" s="6">
        <v>25</v>
      </c>
      <c r="H1266" s="6">
        <v>13600</v>
      </c>
      <c r="I1266" s="6">
        <v>15</v>
      </c>
      <c r="J1266" s="6">
        <f t="shared" si="38"/>
        <v>340000</v>
      </c>
      <c r="K1266" s="6">
        <f t="shared" si="39"/>
        <v>289000</v>
      </c>
      <c r="L1266" s="8" t="s">
        <v>86</v>
      </c>
      <c r="M1266" s="8" t="s">
        <v>77</v>
      </c>
    </row>
    <row r="1267" spans="1:13" x14ac:dyDescent="0.25">
      <c r="A1267" s="9">
        <v>1240</v>
      </c>
      <c r="B1267" s="10">
        <v>45080</v>
      </c>
      <c r="C1267" s="11" t="s">
        <v>114</v>
      </c>
      <c r="D1267" s="11" t="s">
        <v>73</v>
      </c>
      <c r="E1267" s="11" t="s">
        <v>79</v>
      </c>
      <c r="F1267" s="11" t="s">
        <v>80</v>
      </c>
      <c r="G1267" s="9">
        <v>37</v>
      </c>
      <c r="H1267" s="9">
        <v>8900</v>
      </c>
      <c r="I1267" s="9">
        <v>10</v>
      </c>
      <c r="J1267" s="9">
        <f t="shared" si="38"/>
        <v>329300</v>
      </c>
      <c r="K1267" s="9">
        <f t="shared" si="39"/>
        <v>296370</v>
      </c>
      <c r="L1267" s="11" t="s">
        <v>76</v>
      </c>
      <c r="M1267" s="11" t="s">
        <v>91</v>
      </c>
    </row>
    <row r="1268" spans="1:13" x14ac:dyDescent="0.25">
      <c r="A1268" s="6">
        <v>1241</v>
      </c>
      <c r="B1268" s="7">
        <v>45051</v>
      </c>
      <c r="C1268" s="8" t="s">
        <v>82</v>
      </c>
      <c r="D1268" s="8" t="s">
        <v>73</v>
      </c>
      <c r="E1268" s="8" t="s">
        <v>102</v>
      </c>
      <c r="F1268" s="8" t="s">
        <v>197</v>
      </c>
      <c r="G1268" s="6">
        <v>34</v>
      </c>
      <c r="H1268" s="6">
        <v>4000</v>
      </c>
      <c r="I1268" s="6">
        <v>0</v>
      </c>
      <c r="J1268" s="6">
        <f t="shared" si="38"/>
        <v>136000</v>
      </c>
      <c r="K1268" s="6">
        <f t="shared" si="39"/>
        <v>136000</v>
      </c>
      <c r="L1268" s="8" t="s">
        <v>76</v>
      </c>
      <c r="M1268" s="8" t="s">
        <v>96</v>
      </c>
    </row>
    <row r="1269" spans="1:13" x14ac:dyDescent="0.25">
      <c r="A1269" s="9">
        <v>1242</v>
      </c>
      <c r="B1269" s="11" t="s">
        <v>513</v>
      </c>
      <c r="C1269" s="11" t="s">
        <v>101</v>
      </c>
      <c r="D1269" s="11" t="s">
        <v>109</v>
      </c>
      <c r="E1269" s="11" t="s">
        <v>74</v>
      </c>
      <c r="F1269" s="11" t="s">
        <v>75</v>
      </c>
      <c r="G1269" s="12">
        <v>-24</v>
      </c>
      <c r="H1269" s="9">
        <v>24200</v>
      </c>
      <c r="I1269" s="9">
        <v>15</v>
      </c>
      <c r="J1269" s="9">
        <f t="shared" si="38"/>
        <v>-580800</v>
      </c>
      <c r="K1269" s="9">
        <f t="shared" si="39"/>
        <v>-493680</v>
      </c>
      <c r="L1269" s="11" t="s">
        <v>76</v>
      </c>
      <c r="M1269" s="11" t="s">
        <v>96</v>
      </c>
    </row>
    <row r="1270" spans="1:13" x14ac:dyDescent="0.25">
      <c r="A1270" s="6">
        <v>1243</v>
      </c>
      <c r="B1270" s="7">
        <v>45045</v>
      </c>
      <c r="C1270" s="8" t="s">
        <v>106</v>
      </c>
      <c r="D1270" s="8"/>
      <c r="E1270" s="8" t="s">
        <v>111</v>
      </c>
      <c r="F1270" s="8" t="s">
        <v>132</v>
      </c>
      <c r="G1270" s="6">
        <v>36</v>
      </c>
      <c r="H1270" s="6">
        <v>6900</v>
      </c>
      <c r="I1270" s="6">
        <v>15</v>
      </c>
      <c r="J1270" s="6">
        <f t="shared" si="38"/>
        <v>248400</v>
      </c>
      <c r="K1270" s="6">
        <f t="shared" si="39"/>
        <v>211140</v>
      </c>
      <c r="L1270" s="8" t="s">
        <v>76</v>
      </c>
      <c r="M1270" s="8" t="s">
        <v>96</v>
      </c>
    </row>
    <row r="1271" spans="1:13" x14ac:dyDescent="0.25">
      <c r="A1271" s="9">
        <v>1244</v>
      </c>
      <c r="B1271" s="10">
        <v>45422</v>
      </c>
      <c r="C1271" s="11" t="s">
        <v>124</v>
      </c>
      <c r="D1271" s="11" t="s">
        <v>109</v>
      </c>
      <c r="E1271" s="11" t="s">
        <v>111</v>
      </c>
      <c r="F1271" s="11" t="s">
        <v>165</v>
      </c>
      <c r="G1271" s="9">
        <v>9</v>
      </c>
      <c r="H1271" s="9">
        <v>17200</v>
      </c>
      <c r="I1271" s="9">
        <v>20</v>
      </c>
      <c r="J1271" s="9">
        <f t="shared" si="38"/>
        <v>154800</v>
      </c>
      <c r="K1271" s="9">
        <f t="shared" si="39"/>
        <v>123840</v>
      </c>
      <c r="L1271" s="11" t="s">
        <v>107</v>
      </c>
      <c r="M1271" s="11" t="s">
        <v>81</v>
      </c>
    </row>
    <row r="1272" spans="1:13" x14ac:dyDescent="0.25">
      <c r="A1272" s="6">
        <v>1245</v>
      </c>
      <c r="B1272" s="8" t="s">
        <v>514</v>
      </c>
      <c r="C1272" s="8" t="s">
        <v>124</v>
      </c>
      <c r="D1272" s="8" t="s">
        <v>109</v>
      </c>
      <c r="E1272" s="8" t="s">
        <v>102</v>
      </c>
      <c r="F1272" s="8" t="s">
        <v>110</v>
      </c>
      <c r="G1272" s="6">
        <v>22</v>
      </c>
      <c r="H1272" s="6">
        <v>24200</v>
      </c>
      <c r="I1272" s="6">
        <v>5</v>
      </c>
      <c r="J1272" s="6">
        <f t="shared" si="38"/>
        <v>532400</v>
      </c>
      <c r="K1272" s="6">
        <f t="shared" si="39"/>
        <v>505780</v>
      </c>
      <c r="L1272" s="8" t="s">
        <v>76</v>
      </c>
      <c r="M1272" s="8" t="s">
        <v>77</v>
      </c>
    </row>
    <row r="1273" spans="1:13" x14ac:dyDescent="0.25">
      <c r="A1273" s="9">
        <v>1246</v>
      </c>
      <c r="B1273" s="10">
        <v>45358</v>
      </c>
      <c r="C1273" s="11" t="s">
        <v>82</v>
      </c>
      <c r="D1273" s="11" t="s">
        <v>109</v>
      </c>
      <c r="E1273" s="11" t="s">
        <v>102</v>
      </c>
      <c r="F1273" s="11" t="s">
        <v>197</v>
      </c>
      <c r="G1273" s="9">
        <v>50</v>
      </c>
      <c r="H1273" s="9">
        <v>4000</v>
      </c>
      <c r="I1273" s="9">
        <v>5</v>
      </c>
      <c r="J1273" s="9">
        <f t="shared" si="38"/>
        <v>200000</v>
      </c>
      <c r="K1273" s="9">
        <f t="shared" si="39"/>
        <v>190000</v>
      </c>
      <c r="L1273" s="11" t="s">
        <v>76</v>
      </c>
      <c r="M1273" s="11" t="s">
        <v>81</v>
      </c>
    </row>
    <row r="1274" spans="1:13" x14ac:dyDescent="0.25">
      <c r="A1274" s="6">
        <v>1247</v>
      </c>
      <c r="B1274" s="8" t="s">
        <v>515</v>
      </c>
      <c r="C1274" s="8" t="s">
        <v>108</v>
      </c>
      <c r="D1274" s="8" t="s">
        <v>73</v>
      </c>
      <c r="E1274" s="8" t="s">
        <v>111</v>
      </c>
      <c r="F1274" s="8" t="s">
        <v>135</v>
      </c>
      <c r="G1274" s="6">
        <v>46</v>
      </c>
      <c r="H1274" s="6">
        <v>125500</v>
      </c>
      <c r="I1274" s="6">
        <v>0</v>
      </c>
      <c r="J1274" s="6">
        <f t="shared" si="38"/>
        <v>5773000</v>
      </c>
      <c r="K1274" s="6">
        <f t="shared" si="39"/>
        <v>5773000</v>
      </c>
      <c r="L1274" s="8" t="s">
        <v>125</v>
      </c>
      <c r="M1274" s="8" t="s">
        <v>77</v>
      </c>
    </row>
    <row r="1275" spans="1:13" x14ac:dyDescent="0.25">
      <c r="A1275" s="9">
        <v>1248</v>
      </c>
      <c r="B1275" s="10">
        <v>44961</v>
      </c>
      <c r="C1275" s="11" t="s">
        <v>114</v>
      </c>
      <c r="D1275" s="11" t="s">
        <v>73</v>
      </c>
      <c r="E1275" s="11" t="s">
        <v>84</v>
      </c>
      <c r="F1275" s="11" t="s">
        <v>150</v>
      </c>
      <c r="G1275" s="9">
        <v>34</v>
      </c>
      <c r="H1275" s="9">
        <v>5100</v>
      </c>
      <c r="I1275" s="9">
        <v>0</v>
      </c>
      <c r="J1275" s="9">
        <f t="shared" si="38"/>
        <v>173400</v>
      </c>
      <c r="K1275" s="9">
        <f t="shared" si="39"/>
        <v>173400</v>
      </c>
      <c r="L1275" s="11" t="s">
        <v>107</v>
      </c>
      <c r="M1275" s="11" t="s">
        <v>91</v>
      </c>
    </row>
    <row r="1276" spans="1:13" x14ac:dyDescent="0.25">
      <c r="A1276" s="6">
        <v>1249</v>
      </c>
      <c r="B1276" s="7">
        <v>45057</v>
      </c>
      <c r="C1276" s="8" t="s">
        <v>114</v>
      </c>
      <c r="D1276" s="8" t="s">
        <v>93</v>
      </c>
      <c r="E1276" s="8" t="s">
        <v>173</v>
      </c>
      <c r="F1276" s="8" t="s">
        <v>134</v>
      </c>
      <c r="G1276" s="6">
        <v>22</v>
      </c>
      <c r="H1276" s="6">
        <v>8900</v>
      </c>
      <c r="I1276" s="6">
        <v>15</v>
      </c>
      <c r="J1276" s="6">
        <f t="shared" si="38"/>
        <v>195800</v>
      </c>
      <c r="K1276" s="6">
        <f t="shared" si="39"/>
        <v>166430</v>
      </c>
      <c r="L1276" s="8" t="s">
        <v>76</v>
      </c>
      <c r="M1276" s="8" t="s">
        <v>77</v>
      </c>
    </row>
    <row r="1277" spans="1:13" x14ac:dyDescent="0.25">
      <c r="A1277" s="9">
        <v>1250</v>
      </c>
      <c r="B1277" s="10">
        <v>44973</v>
      </c>
      <c r="C1277" s="11" t="s">
        <v>72</v>
      </c>
      <c r="D1277" s="11" t="s">
        <v>117</v>
      </c>
      <c r="E1277" s="11" t="s">
        <v>111</v>
      </c>
      <c r="F1277" s="11" t="s">
        <v>165</v>
      </c>
      <c r="G1277" s="9">
        <v>48</v>
      </c>
      <c r="H1277" s="9">
        <v>19000</v>
      </c>
      <c r="I1277" s="9">
        <v>20</v>
      </c>
      <c r="J1277" s="9">
        <f t="shared" si="38"/>
        <v>912000</v>
      </c>
      <c r="K1277" s="9">
        <f t="shared" si="39"/>
        <v>729600</v>
      </c>
      <c r="L1277" s="11" t="s">
        <v>86</v>
      </c>
      <c r="M1277" s="11" t="s">
        <v>96</v>
      </c>
    </row>
    <row r="1278" spans="1:13" x14ac:dyDescent="0.25">
      <c r="A1278" s="6">
        <v>1251</v>
      </c>
      <c r="B1278" s="7">
        <v>45415</v>
      </c>
      <c r="C1278" s="8" t="s">
        <v>153</v>
      </c>
      <c r="D1278" s="8" t="s">
        <v>109</v>
      </c>
      <c r="E1278" s="8" t="s">
        <v>102</v>
      </c>
      <c r="F1278" s="8" t="s">
        <v>137</v>
      </c>
      <c r="G1278" s="6">
        <v>1</v>
      </c>
      <c r="H1278" s="6">
        <v>2100</v>
      </c>
      <c r="I1278" s="6">
        <v>15</v>
      </c>
      <c r="J1278" s="6">
        <f t="shared" si="38"/>
        <v>2100</v>
      </c>
      <c r="K1278" s="6">
        <f t="shared" si="39"/>
        <v>1785</v>
      </c>
      <c r="L1278" s="8" t="s">
        <v>76</v>
      </c>
      <c r="M1278" s="8" t="s">
        <v>96</v>
      </c>
    </row>
    <row r="1279" spans="1:13" x14ac:dyDescent="0.25">
      <c r="A1279" s="9">
        <v>1252</v>
      </c>
      <c r="B1279" s="10">
        <v>45591</v>
      </c>
      <c r="C1279" s="11" t="s">
        <v>119</v>
      </c>
      <c r="D1279" s="11" t="s">
        <v>83</v>
      </c>
      <c r="E1279" s="11" t="s">
        <v>74</v>
      </c>
      <c r="F1279" s="11" t="s">
        <v>99</v>
      </c>
      <c r="G1279" s="9">
        <v>47</v>
      </c>
      <c r="H1279" s="9">
        <v>3300</v>
      </c>
      <c r="I1279" s="9">
        <v>0</v>
      </c>
      <c r="J1279" s="9">
        <f t="shared" si="38"/>
        <v>155100</v>
      </c>
      <c r="K1279" s="9">
        <f t="shared" si="39"/>
        <v>155100</v>
      </c>
      <c r="L1279" s="11" t="s">
        <v>76</v>
      </c>
      <c r="M1279" s="11" t="s">
        <v>77</v>
      </c>
    </row>
    <row r="1280" spans="1:13" x14ac:dyDescent="0.25">
      <c r="A1280" s="6">
        <v>1253</v>
      </c>
      <c r="B1280" s="8" t="s">
        <v>516</v>
      </c>
      <c r="C1280" s="8" t="s">
        <v>119</v>
      </c>
      <c r="D1280" s="8" t="s">
        <v>117</v>
      </c>
      <c r="E1280" s="8" t="s">
        <v>79</v>
      </c>
      <c r="F1280" s="8" t="s">
        <v>115</v>
      </c>
      <c r="G1280" s="6">
        <v>25</v>
      </c>
      <c r="H1280" s="6">
        <v>8700</v>
      </c>
      <c r="I1280" s="6">
        <v>0</v>
      </c>
      <c r="J1280" s="6">
        <f t="shared" si="38"/>
        <v>217500</v>
      </c>
      <c r="K1280" s="6">
        <f t="shared" si="39"/>
        <v>217500</v>
      </c>
      <c r="L1280" s="8" t="s">
        <v>76</v>
      </c>
      <c r="M1280" s="8" t="s">
        <v>81</v>
      </c>
    </row>
    <row r="1281" spans="1:13" x14ac:dyDescent="0.25">
      <c r="A1281" s="9">
        <v>1254</v>
      </c>
      <c r="B1281" s="10">
        <v>44969</v>
      </c>
      <c r="C1281" s="11" t="s">
        <v>106</v>
      </c>
      <c r="D1281" s="11" t="s">
        <v>83</v>
      </c>
      <c r="E1281" s="11" t="s">
        <v>102</v>
      </c>
      <c r="F1281" s="11" t="s">
        <v>110</v>
      </c>
      <c r="G1281" s="9">
        <v>40</v>
      </c>
      <c r="H1281" s="9" t="s">
        <v>517</v>
      </c>
      <c r="I1281" s="9">
        <v>0</v>
      </c>
      <c r="J1281" s="9">
        <f t="shared" si="38"/>
        <v>920000</v>
      </c>
      <c r="K1281" s="9">
        <f t="shared" si="39"/>
        <v>920000</v>
      </c>
      <c r="L1281" s="11" t="s">
        <v>76</v>
      </c>
      <c r="M1281" s="11" t="s">
        <v>96</v>
      </c>
    </row>
    <row r="1282" spans="1:13" x14ac:dyDescent="0.25">
      <c r="A1282" s="6">
        <v>1255</v>
      </c>
      <c r="B1282" s="8" t="s">
        <v>518</v>
      </c>
      <c r="C1282" s="8" t="s">
        <v>97</v>
      </c>
      <c r="D1282" s="8" t="s">
        <v>117</v>
      </c>
      <c r="E1282" s="8" t="s">
        <v>74</v>
      </c>
      <c r="F1282" s="8" t="s">
        <v>99</v>
      </c>
      <c r="G1282" s="6">
        <v>11</v>
      </c>
      <c r="H1282" s="6">
        <v>3500</v>
      </c>
      <c r="I1282" s="6">
        <v>10</v>
      </c>
      <c r="J1282" s="6">
        <f t="shared" ref="J1282:J1345" si="40">G1282*H1282</f>
        <v>38500</v>
      </c>
      <c r="K1282" s="6">
        <f t="shared" ref="K1282:K1345" si="41">J1282*(1-I1282/100)</f>
        <v>34650</v>
      </c>
      <c r="L1282" s="8" t="s">
        <v>76</v>
      </c>
      <c r="M1282" s="8" t="s">
        <v>96</v>
      </c>
    </row>
    <row r="1283" spans="1:13" x14ac:dyDescent="0.25">
      <c r="A1283" s="9">
        <v>1256</v>
      </c>
      <c r="B1283" s="11" t="s">
        <v>519</v>
      </c>
      <c r="C1283" s="11" t="s">
        <v>106</v>
      </c>
      <c r="D1283" s="11" t="s">
        <v>117</v>
      </c>
      <c r="E1283" s="11" t="s">
        <v>84</v>
      </c>
      <c r="F1283" s="11" t="s">
        <v>150</v>
      </c>
      <c r="G1283" s="9">
        <v>33</v>
      </c>
      <c r="H1283" s="9">
        <v>5200</v>
      </c>
      <c r="I1283" s="9">
        <v>10</v>
      </c>
      <c r="J1283" s="9">
        <f t="shared" si="40"/>
        <v>171600</v>
      </c>
      <c r="K1283" s="9">
        <f t="shared" si="41"/>
        <v>154440</v>
      </c>
      <c r="L1283" s="11" t="s">
        <v>86</v>
      </c>
      <c r="M1283" s="11" t="s">
        <v>77</v>
      </c>
    </row>
    <row r="1284" spans="1:13" x14ac:dyDescent="0.25">
      <c r="A1284" s="6">
        <v>1257</v>
      </c>
      <c r="B1284" s="7">
        <v>44967</v>
      </c>
      <c r="C1284" s="8" t="s">
        <v>82</v>
      </c>
      <c r="D1284" s="8" t="s">
        <v>93</v>
      </c>
      <c r="E1284" s="8" t="s">
        <v>84</v>
      </c>
      <c r="F1284" s="8" t="s">
        <v>206</v>
      </c>
      <c r="G1284" s="6">
        <v>2</v>
      </c>
      <c r="H1284" s="6">
        <v>14300</v>
      </c>
      <c r="I1284" s="6">
        <v>10</v>
      </c>
      <c r="J1284" s="6">
        <f t="shared" si="40"/>
        <v>28600</v>
      </c>
      <c r="K1284" s="6">
        <f t="shared" si="41"/>
        <v>25740</v>
      </c>
      <c r="L1284" s="8" t="s">
        <v>76</v>
      </c>
      <c r="M1284" s="8" t="s">
        <v>96</v>
      </c>
    </row>
    <row r="1285" spans="1:13" x14ac:dyDescent="0.25">
      <c r="A1285" s="9">
        <v>1258</v>
      </c>
      <c r="B1285" s="11" t="s">
        <v>520</v>
      </c>
      <c r="C1285" s="11" t="s">
        <v>119</v>
      </c>
      <c r="D1285" s="11" t="s">
        <v>93</v>
      </c>
      <c r="E1285" s="11" t="s">
        <v>84</v>
      </c>
      <c r="F1285" s="11" t="s">
        <v>85</v>
      </c>
      <c r="G1285" s="9">
        <v>8</v>
      </c>
      <c r="H1285" s="9">
        <v>5300</v>
      </c>
      <c r="I1285" s="9">
        <v>5</v>
      </c>
      <c r="J1285" s="9">
        <f t="shared" si="40"/>
        <v>42400</v>
      </c>
      <c r="K1285" s="9">
        <f t="shared" si="41"/>
        <v>40280</v>
      </c>
      <c r="L1285" s="11" t="s">
        <v>187</v>
      </c>
      <c r="M1285" s="11" t="s">
        <v>77</v>
      </c>
    </row>
    <row r="1286" spans="1:13" x14ac:dyDescent="0.25">
      <c r="A1286" s="6">
        <v>1259</v>
      </c>
      <c r="B1286" s="7">
        <v>45369</v>
      </c>
      <c r="C1286" s="8" t="s">
        <v>119</v>
      </c>
      <c r="D1286" s="8" t="s">
        <v>117</v>
      </c>
      <c r="E1286" s="8" t="s">
        <v>79</v>
      </c>
      <c r="F1286" s="8" t="s">
        <v>122</v>
      </c>
      <c r="G1286" s="6">
        <v>47</v>
      </c>
      <c r="H1286" s="6">
        <v>20700</v>
      </c>
      <c r="I1286" s="6">
        <v>20</v>
      </c>
      <c r="J1286" s="6">
        <f t="shared" si="40"/>
        <v>972900</v>
      </c>
      <c r="K1286" s="6">
        <f t="shared" si="41"/>
        <v>778320</v>
      </c>
      <c r="L1286" s="8" t="s">
        <v>86</v>
      </c>
      <c r="M1286" s="8" t="s">
        <v>96</v>
      </c>
    </row>
    <row r="1287" spans="1:13" x14ac:dyDescent="0.25">
      <c r="A1287" s="9">
        <v>1260</v>
      </c>
      <c r="B1287" s="10">
        <v>45007</v>
      </c>
      <c r="C1287" s="11" t="s">
        <v>106</v>
      </c>
      <c r="D1287" s="11" t="s">
        <v>73</v>
      </c>
      <c r="E1287" s="11" t="s">
        <v>270</v>
      </c>
      <c r="F1287" s="11" t="s">
        <v>142</v>
      </c>
      <c r="G1287" s="9">
        <v>18</v>
      </c>
      <c r="H1287" s="9">
        <v>12300</v>
      </c>
      <c r="I1287" s="9">
        <v>15</v>
      </c>
      <c r="J1287" s="9">
        <f t="shared" si="40"/>
        <v>221400</v>
      </c>
      <c r="K1287" s="9">
        <f t="shared" si="41"/>
        <v>188190</v>
      </c>
      <c r="L1287" s="11" t="s">
        <v>76</v>
      </c>
      <c r="M1287" s="11" t="s">
        <v>77</v>
      </c>
    </row>
    <row r="1288" spans="1:13" x14ac:dyDescent="0.25">
      <c r="A1288" s="6">
        <v>1261</v>
      </c>
      <c r="B1288" s="7">
        <v>45631</v>
      </c>
      <c r="C1288" s="8" t="s">
        <v>88</v>
      </c>
      <c r="D1288" s="8" t="s">
        <v>73</v>
      </c>
      <c r="E1288" s="8" t="s">
        <v>111</v>
      </c>
      <c r="F1288" s="8" t="s">
        <v>112</v>
      </c>
      <c r="G1288" s="6">
        <v>34</v>
      </c>
      <c r="H1288" s="6">
        <v>73700</v>
      </c>
      <c r="I1288" s="6">
        <v>15</v>
      </c>
      <c r="J1288" s="6">
        <f t="shared" si="40"/>
        <v>2505800</v>
      </c>
      <c r="K1288" s="6">
        <f t="shared" si="41"/>
        <v>2129930</v>
      </c>
      <c r="L1288" s="8" t="s">
        <v>76</v>
      </c>
      <c r="M1288" s="8" t="s">
        <v>77</v>
      </c>
    </row>
    <row r="1289" spans="1:13" x14ac:dyDescent="0.25">
      <c r="A1289" s="9">
        <v>1262</v>
      </c>
      <c r="B1289" s="10">
        <v>45569</v>
      </c>
      <c r="C1289" s="11" t="s">
        <v>443</v>
      </c>
      <c r="D1289" s="11" t="s">
        <v>109</v>
      </c>
      <c r="E1289" s="11" t="s">
        <v>84</v>
      </c>
      <c r="F1289" s="11" t="s">
        <v>148</v>
      </c>
      <c r="G1289" s="9">
        <v>15</v>
      </c>
      <c r="H1289" s="9">
        <v>5400</v>
      </c>
      <c r="I1289" s="9">
        <v>5</v>
      </c>
      <c r="J1289" s="9">
        <f t="shared" si="40"/>
        <v>81000</v>
      </c>
      <c r="K1289" s="9">
        <f t="shared" si="41"/>
        <v>76950</v>
      </c>
      <c r="L1289" s="11" t="s">
        <v>86</v>
      </c>
      <c r="M1289" s="11" t="s">
        <v>96</v>
      </c>
    </row>
    <row r="1290" spans="1:13" x14ac:dyDescent="0.25">
      <c r="A1290" s="6">
        <v>1263</v>
      </c>
      <c r="B1290" s="8" t="s">
        <v>521</v>
      </c>
      <c r="C1290" s="8" t="s">
        <v>119</v>
      </c>
      <c r="D1290" s="8" t="s">
        <v>109</v>
      </c>
      <c r="E1290" s="8" t="s">
        <v>111</v>
      </c>
      <c r="F1290" s="8" t="s">
        <v>135</v>
      </c>
      <c r="G1290" s="6">
        <v>41</v>
      </c>
      <c r="H1290" s="6">
        <v>107300</v>
      </c>
      <c r="I1290" s="6">
        <v>0</v>
      </c>
      <c r="J1290" s="6">
        <f t="shared" si="40"/>
        <v>4399300</v>
      </c>
      <c r="K1290" s="6">
        <f t="shared" si="41"/>
        <v>4399300</v>
      </c>
      <c r="L1290" s="8" t="s">
        <v>107</v>
      </c>
      <c r="M1290" s="8" t="s">
        <v>81</v>
      </c>
    </row>
    <row r="1291" spans="1:13" x14ac:dyDescent="0.25">
      <c r="A1291" s="9">
        <v>1264</v>
      </c>
      <c r="B1291" s="10">
        <v>45371</v>
      </c>
      <c r="C1291" s="11" t="s">
        <v>97</v>
      </c>
      <c r="D1291" s="11" t="s">
        <v>83</v>
      </c>
      <c r="E1291" s="11" t="s">
        <v>102</v>
      </c>
      <c r="F1291" s="11" t="s">
        <v>181</v>
      </c>
      <c r="G1291" s="9">
        <v>3</v>
      </c>
      <c r="H1291" s="9">
        <v>4800</v>
      </c>
      <c r="I1291" s="9">
        <v>10</v>
      </c>
      <c r="J1291" s="9">
        <f t="shared" si="40"/>
        <v>14400</v>
      </c>
      <c r="K1291" s="9">
        <f t="shared" si="41"/>
        <v>12960</v>
      </c>
      <c r="L1291" s="11" t="s">
        <v>229</v>
      </c>
      <c r="M1291" s="11" t="s">
        <v>96</v>
      </c>
    </row>
    <row r="1292" spans="1:13" x14ac:dyDescent="0.25">
      <c r="A1292" s="6">
        <v>1265</v>
      </c>
      <c r="B1292" s="7">
        <v>45316</v>
      </c>
      <c r="C1292" s="8" t="s">
        <v>124</v>
      </c>
      <c r="D1292" s="8" t="s">
        <v>109</v>
      </c>
      <c r="E1292" s="8" t="s">
        <v>74</v>
      </c>
      <c r="F1292" s="8" t="s">
        <v>99</v>
      </c>
      <c r="G1292" s="6">
        <v>12</v>
      </c>
      <c r="H1292" s="6">
        <v>3600</v>
      </c>
      <c r="I1292" s="6">
        <v>0</v>
      </c>
      <c r="J1292" s="6">
        <f t="shared" si="40"/>
        <v>43200</v>
      </c>
      <c r="K1292" s="6">
        <f t="shared" si="41"/>
        <v>43200</v>
      </c>
      <c r="L1292" s="8" t="s">
        <v>107</v>
      </c>
      <c r="M1292" s="8" t="s">
        <v>81</v>
      </c>
    </row>
    <row r="1293" spans="1:13" x14ac:dyDescent="0.25">
      <c r="A1293" s="9">
        <v>1266</v>
      </c>
      <c r="B1293" s="10">
        <v>45611</v>
      </c>
      <c r="C1293" s="11" t="s">
        <v>119</v>
      </c>
      <c r="D1293" s="11" t="s">
        <v>83</v>
      </c>
      <c r="E1293" s="11" t="s">
        <v>111</v>
      </c>
      <c r="F1293" s="11" t="s">
        <v>132</v>
      </c>
      <c r="G1293" s="9">
        <v>19</v>
      </c>
      <c r="H1293" s="9">
        <v>7800</v>
      </c>
      <c r="I1293" s="9">
        <v>20</v>
      </c>
      <c r="J1293" s="9">
        <f t="shared" si="40"/>
        <v>148200</v>
      </c>
      <c r="K1293" s="9">
        <f t="shared" si="41"/>
        <v>118560</v>
      </c>
      <c r="L1293" s="11" t="s">
        <v>76</v>
      </c>
      <c r="M1293" s="11" t="s">
        <v>77</v>
      </c>
    </row>
    <row r="1294" spans="1:13" x14ac:dyDescent="0.25">
      <c r="A1294" s="6">
        <v>1267</v>
      </c>
      <c r="B1294" s="7">
        <v>45221</v>
      </c>
      <c r="C1294" s="8" t="s">
        <v>414</v>
      </c>
      <c r="D1294" s="8" t="s">
        <v>83</v>
      </c>
      <c r="E1294" s="8" t="s">
        <v>74</v>
      </c>
      <c r="F1294" s="8" t="s">
        <v>75</v>
      </c>
      <c r="G1294" s="6">
        <v>8</v>
      </c>
      <c r="H1294" s="6">
        <v>23400</v>
      </c>
      <c r="I1294" s="6">
        <v>15</v>
      </c>
      <c r="J1294" s="6">
        <f t="shared" si="40"/>
        <v>187200</v>
      </c>
      <c r="K1294" s="6">
        <f t="shared" si="41"/>
        <v>159120</v>
      </c>
      <c r="L1294" s="8" t="s">
        <v>76</v>
      </c>
      <c r="M1294" s="8" t="s">
        <v>96</v>
      </c>
    </row>
    <row r="1295" spans="1:13" x14ac:dyDescent="0.25">
      <c r="A1295" s="9">
        <v>1268</v>
      </c>
      <c r="B1295" s="11" t="s">
        <v>522</v>
      </c>
      <c r="C1295" s="11" t="s">
        <v>88</v>
      </c>
      <c r="D1295" s="11" t="s">
        <v>83</v>
      </c>
      <c r="E1295" s="11" t="s">
        <v>84</v>
      </c>
      <c r="F1295" s="11" t="s">
        <v>85</v>
      </c>
      <c r="G1295" s="9">
        <v>32</v>
      </c>
      <c r="H1295" s="9">
        <v>6000</v>
      </c>
      <c r="I1295" s="9">
        <v>0</v>
      </c>
      <c r="J1295" s="9">
        <f t="shared" si="40"/>
        <v>192000</v>
      </c>
      <c r="K1295" s="9">
        <f t="shared" si="41"/>
        <v>192000</v>
      </c>
      <c r="L1295" s="11" t="s">
        <v>76</v>
      </c>
      <c r="M1295" s="11" t="s">
        <v>81</v>
      </c>
    </row>
    <row r="1296" spans="1:13" x14ac:dyDescent="0.25">
      <c r="A1296" s="6">
        <v>1269</v>
      </c>
      <c r="B1296" s="7">
        <v>45224</v>
      </c>
      <c r="C1296" s="8" t="s">
        <v>101</v>
      </c>
      <c r="D1296" s="8" t="s">
        <v>93</v>
      </c>
      <c r="E1296" s="8" t="s">
        <v>84</v>
      </c>
      <c r="F1296" s="8" t="s">
        <v>148</v>
      </c>
      <c r="G1296" s="6">
        <v>50</v>
      </c>
      <c r="H1296" s="6">
        <v>4400</v>
      </c>
      <c r="I1296" s="6">
        <v>5</v>
      </c>
      <c r="J1296" s="6">
        <f t="shared" si="40"/>
        <v>220000</v>
      </c>
      <c r="K1296" s="6">
        <f t="shared" si="41"/>
        <v>209000</v>
      </c>
      <c r="L1296" s="8" t="s">
        <v>76</v>
      </c>
      <c r="M1296" s="8"/>
    </row>
    <row r="1297" spans="1:13" x14ac:dyDescent="0.25">
      <c r="A1297" s="9">
        <v>1270</v>
      </c>
      <c r="B1297" s="10">
        <v>45327</v>
      </c>
      <c r="C1297" s="11" t="s">
        <v>119</v>
      </c>
      <c r="D1297" s="11" t="s">
        <v>83</v>
      </c>
      <c r="E1297" s="11" t="s">
        <v>111</v>
      </c>
      <c r="F1297" s="11" t="s">
        <v>135</v>
      </c>
      <c r="G1297" s="9">
        <v>18</v>
      </c>
      <c r="H1297" s="9" t="s">
        <v>523</v>
      </c>
      <c r="I1297" s="9">
        <v>0</v>
      </c>
      <c r="J1297" s="9">
        <f t="shared" si="40"/>
        <v>2334600</v>
      </c>
      <c r="K1297" s="9">
        <f t="shared" si="41"/>
        <v>2334600</v>
      </c>
      <c r="L1297" s="11" t="s">
        <v>76</v>
      </c>
      <c r="M1297" s="11" t="s">
        <v>81</v>
      </c>
    </row>
    <row r="1298" spans="1:13" x14ac:dyDescent="0.25">
      <c r="A1298" s="6">
        <v>1271</v>
      </c>
      <c r="B1298" s="7">
        <v>45578</v>
      </c>
      <c r="C1298" s="8" t="s">
        <v>78</v>
      </c>
      <c r="D1298" s="8" t="s">
        <v>117</v>
      </c>
      <c r="E1298" s="8" t="s">
        <v>191</v>
      </c>
      <c r="F1298" s="8" t="s">
        <v>165</v>
      </c>
      <c r="G1298" s="6">
        <v>11</v>
      </c>
      <c r="H1298" s="6">
        <v>17200</v>
      </c>
      <c r="I1298" s="6">
        <v>10</v>
      </c>
      <c r="J1298" s="6">
        <f t="shared" si="40"/>
        <v>189200</v>
      </c>
      <c r="K1298" s="6">
        <f t="shared" si="41"/>
        <v>170280</v>
      </c>
      <c r="L1298" s="8" t="s">
        <v>76</v>
      </c>
      <c r="M1298" s="8" t="s">
        <v>77</v>
      </c>
    </row>
    <row r="1299" spans="1:13" x14ac:dyDescent="0.25">
      <c r="A1299" s="9">
        <v>1272</v>
      </c>
      <c r="B1299" s="10">
        <v>45552</v>
      </c>
      <c r="C1299" s="11" t="s">
        <v>88</v>
      </c>
      <c r="D1299" s="11" t="s">
        <v>109</v>
      </c>
      <c r="E1299" s="11" t="s">
        <v>102</v>
      </c>
      <c r="F1299" s="11" t="s">
        <v>138</v>
      </c>
      <c r="G1299" s="9">
        <v>2</v>
      </c>
      <c r="H1299" s="9">
        <v>7400</v>
      </c>
      <c r="I1299" s="9">
        <v>20</v>
      </c>
      <c r="J1299" s="9">
        <f t="shared" si="40"/>
        <v>14800</v>
      </c>
      <c r="K1299" s="9">
        <f t="shared" si="41"/>
        <v>11840</v>
      </c>
      <c r="L1299" s="11" t="s">
        <v>86</v>
      </c>
      <c r="M1299" s="11" t="s">
        <v>77</v>
      </c>
    </row>
    <row r="1300" spans="1:13" x14ac:dyDescent="0.25">
      <c r="A1300" s="6">
        <v>1273</v>
      </c>
      <c r="B1300" s="7">
        <v>45648</v>
      </c>
      <c r="C1300" s="8" t="s">
        <v>235</v>
      </c>
      <c r="D1300" s="8" t="s">
        <v>117</v>
      </c>
      <c r="E1300" s="8" t="s">
        <v>102</v>
      </c>
      <c r="F1300" s="8" t="s">
        <v>137</v>
      </c>
      <c r="G1300" s="6">
        <v>34</v>
      </c>
      <c r="H1300" s="6">
        <v>2300</v>
      </c>
      <c r="I1300" s="6">
        <v>0</v>
      </c>
      <c r="J1300" s="6">
        <f t="shared" si="40"/>
        <v>78200</v>
      </c>
      <c r="K1300" s="6">
        <f t="shared" si="41"/>
        <v>78200</v>
      </c>
      <c r="L1300" s="8" t="s">
        <v>76</v>
      </c>
      <c r="M1300" s="8" t="s">
        <v>81</v>
      </c>
    </row>
    <row r="1301" spans="1:13" x14ac:dyDescent="0.25">
      <c r="A1301" s="9">
        <v>1274</v>
      </c>
      <c r="B1301" s="10">
        <v>45475</v>
      </c>
      <c r="C1301" s="11" t="s">
        <v>114</v>
      </c>
      <c r="D1301" s="11" t="s">
        <v>109</v>
      </c>
      <c r="E1301" s="11" t="s">
        <v>74</v>
      </c>
      <c r="F1301" s="11" t="s">
        <v>142</v>
      </c>
      <c r="G1301" s="9">
        <v>22</v>
      </c>
      <c r="H1301" s="9">
        <v>13500</v>
      </c>
      <c r="I1301" s="9">
        <v>0</v>
      </c>
      <c r="J1301" s="9">
        <f t="shared" si="40"/>
        <v>297000</v>
      </c>
      <c r="K1301" s="9">
        <f t="shared" si="41"/>
        <v>297000</v>
      </c>
      <c r="L1301" s="11" t="s">
        <v>129</v>
      </c>
      <c r="M1301" s="11" t="s">
        <v>81</v>
      </c>
    </row>
    <row r="1302" spans="1:13" x14ac:dyDescent="0.25">
      <c r="A1302" s="6">
        <v>1275</v>
      </c>
      <c r="B1302" s="7">
        <v>44963</v>
      </c>
      <c r="C1302" s="8" t="s">
        <v>78</v>
      </c>
      <c r="D1302" s="8" t="s">
        <v>93</v>
      </c>
      <c r="E1302" s="8" t="s">
        <v>79</v>
      </c>
      <c r="F1302" s="8" t="s">
        <v>115</v>
      </c>
      <c r="G1302" s="6">
        <v>3</v>
      </c>
      <c r="H1302" s="6">
        <v>9900</v>
      </c>
      <c r="I1302" s="6">
        <v>0</v>
      </c>
      <c r="J1302" s="6">
        <f t="shared" si="40"/>
        <v>29700</v>
      </c>
      <c r="K1302" s="6">
        <f t="shared" si="41"/>
        <v>29700</v>
      </c>
      <c r="L1302" s="8" t="s">
        <v>76</v>
      </c>
      <c r="M1302" s="8" t="s">
        <v>96</v>
      </c>
    </row>
    <row r="1303" spans="1:13" x14ac:dyDescent="0.25">
      <c r="A1303" s="9">
        <v>1276</v>
      </c>
      <c r="B1303" s="10">
        <v>45162</v>
      </c>
      <c r="C1303" s="11" t="s">
        <v>106</v>
      </c>
      <c r="D1303" s="11" t="s">
        <v>73</v>
      </c>
      <c r="E1303" s="11" t="s">
        <v>74</v>
      </c>
      <c r="F1303" s="11" t="s">
        <v>118</v>
      </c>
      <c r="G1303" s="9">
        <v>25</v>
      </c>
      <c r="H1303" s="9" t="s">
        <v>524</v>
      </c>
      <c r="I1303" s="9">
        <v>20</v>
      </c>
      <c r="J1303" s="9" t="e">
        <f t="shared" si="40"/>
        <v>#VALUE!</v>
      </c>
      <c r="K1303" s="9" t="e">
        <f t="shared" si="41"/>
        <v>#VALUE!</v>
      </c>
      <c r="L1303" s="11" t="s">
        <v>86</v>
      </c>
      <c r="M1303" s="11" t="s">
        <v>81</v>
      </c>
    </row>
    <row r="1304" spans="1:13" x14ac:dyDescent="0.25">
      <c r="A1304" s="6">
        <v>1277</v>
      </c>
      <c r="B1304" s="7">
        <v>45203</v>
      </c>
      <c r="C1304" s="8" t="s">
        <v>72</v>
      </c>
      <c r="D1304" s="8" t="s">
        <v>73</v>
      </c>
      <c r="E1304" s="8" t="s">
        <v>79</v>
      </c>
      <c r="F1304" s="8" t="s">
        <v>115</v>
      </c>
      <c r="G1304" s="6">
        <v>48</v>
      </c>
      <c r="H1304" s="6">
        <v>8100</v>
      </c>
      <c r="I1304" s="6">
        <v>0</v>
      </c>
      <c r="J1304" s="6">
        <f t="shared" si="40"/>
        <v>388800</v>
      </c>
      <c r="K1304" s="6">
        <f t="shared" si="41"/>
        <v>388800</v>
      </c>
      <c r="L1304" s="8" t="s">
        <v>86</v>
      </c>
      <c r="M1304" s="8" t="s">
        <v>81</v>
      </c>
    </row>
    <row r="1305" spans="1:13" x14ac:dyDescent="0.25">
      <c r="A1305" s="9">
        <v>1278</v>
      </c>
      <c r="B1305" s="10">
        <v>45529</v>
      </c>
      <c r="C1305" s="11" t="s">
        <v>114</v>
      </c>
      <c r="D1305" s="11" t="s">
        <v>109</v>
      </c>
      <c r="E1305" s="11" t="s">
        <v>102</v>
      </c>
      <c r="F1305" s="11" t="s">
        <v>110</v>
      </c>
      <c r="G1305" s="9">
        <v>28</v>
      </c>
      <c r="H1305" s="9">
        <v>24100</v>
      </c>
      <c r="I1305" s="9">
        <v>0</v>
      </c>
      <c r="J1305" s="9">
        <f t="shared" si="40"/>
        <v>674800</v>
      </c>
      <c r="K1305" s="9">
        <f t="shared" si="41"/>
        <v>674800</v>
      </c>
      <c r="L1305" s="11" t="s">
        <v>76</v>
      </c>
      <c r="M1305" s="11" t="s">
        <v>77</v>
      </c>
    </row>
    <row r="1306" spans="1:13" x14ac:dyDescent="0.25">
      <c r="A1306" s="6">
        <v>1279</v>
      </c>
      <c r="B1306" s="8" t="s">
        <v>495</v>
      </c>
      <c r="C1306" s="8" t="s">
        <v>119</v>
      </c>
      <c r="D1306" s="8" t="s">
        <v>109</v>
      </c>
      <c r="E1306" s="8" t="s">
        <v>79</v>
      </c>
      <c r="F1306" s="8" t="s">
        <v>179</v>
      </c>
      <c r="G1306" s="6">
        <v>37</v>
      </c>
      <c r="H1306" s="6">
        <v>2900</v>
      </c>
      <c r="I1306" s="6">
        <v>5</v>
      </c>
      <c r="J1306" s="6">
        <f t="shared" si="40"/>
        <v>107300</v>
      </c>
      <c r="K1306" s="6">
        <f t="shared" si="41"/>
        <v>101935</v>
      </c>
      <c r="L1306" s="8" t="s">
        <v>76</v>
      </c>
      <c r="M1306" s="8" t="s">
        <v>96</v>
      </c>
    </row>
    <row r="1307" spans="1:13" x14ac:dyDescent="0.25">
      <c r="A1307" s="9">
        <v>1280</v>
      </c>
      <c r="B1307" s="10">
        <v>45022</v>
      </c>
      <c r="C1307" s="11" t="s">
        <v>106</v>
      </c>
      <c r="D1307" s="11" t="s">
        <v>83</v>
      </c>
      <c r="E1307" s="11" t="s">
        <v>102</v>
      </c>
      <c r="F1307" s="11" t="s">
        <v>110</v>
      </c>
      <c r="G1307" s="9">
        <v>45</v>
      </c>
      <c r="H1307" s="9">
        <v>22500</v>
      </c>
      <c r="I1307" s="9">
        <v>5</v>
      </c>
      <c r="J1307" s="9">
        <f t="shared" si="40"/>
        <v>1012500</v>
      </c>
      <c r="K1307" s="9">
        <f t="shared" si="41"/>
        <v>961875</v>
      </c>
      <c r="L1307" s="11" t="s">
        <v>76</v>
      </c>
      <c r="M1307" s="11" t="s">
        <v>81</v>
      </c>
    </row>
    <row r="1308" spans="1:13" x14ac:dyDescent="0.25">
      <c r="A1308" s="6">
        <v>1281</v>
      </c>
      <c r="B1308" s="7">
        <v>44944</v>
      </c>
      <c r="C1308" s="8" t="s">
        <v>119</v>
      </c>
      <c r="D1308" s="8" t="s">
        <v>83</v>
      </c>
      <c r="E1308" s="8" t="s">
        <v>74</v>
      </c>
      <c r="F1308" s="8" t="s">
        <v>118</v>
      </c>
      <c r="G1308" s="6">
        <v>37</v>
      </c>
      <c r="H1308" s="6">
        <v>28400</v>
      </c>
      <c r="I1308" s="6">
        <v>20</v>
      </c>
      <c r="J1308" s="6">
        <f t="shared" si="40"/>
        <v>1050800</v>
      </c>
      <c r="K1308" s="6">
        <f t="shared" si="41"/>
        <v>840640</v>
      </c>
      <c r="L1308" s="8" t="s">
        <v>125</v>
      </c>
      <c r="M1308" s="8" t="s">
        <v>91</v>
      </c>
    </row>
    <row r="1309" spans="1:13" x14ac:dyDescent="0.25">
      <c r="A1309" s="9">
        <v>1282</v>
      </c>
      <c r="B1309" s="10">
        <v>45164</v>
      </c>
      <c r="C1309" s="11" t="s">
        <v>119</v>
      </c>
      <c r="D1309" s="11" t="s">
        <v>117</v>
      </c>
      <c r="E1309" s="11" t="s">
        <v>111</v>
      </c>
      <c r="F1309" s="11" t="s">
        <v>112</v>
      </c>
      <c r="G1309" s="9">
        <v>22</v>
      </c>
      <c r="H1309" s="9">
        <v>68900</v>
      </c>
      <c r="I1309" s="9">
        <v>0</v>
      </c>
      <c r="J1309" s="9">
        <f t="shared" si="40"/>
        <v>1515800</v>
      </c>
      <c r="K1309" s="9">
        <f t="shared" si="41"/>
        <v>1515800</v>
      </c>
      <c r="L1309" s="11" t="s">
        <v>76</v>
      </c>
      <c r="M1309" s="11" t="s">
        <v>77</v>
      </c>
    </row>
    <row r="1310" spans="1:13" x14ac:dyDescent="0.25">
      <c r="A1310" s="6">
        <v>1283</v>
      </c>
      <c r="B1310" s="7">
        <v>45501</v>
      </c>
      <c r="C1310" s="8" t="s">
        <v>108</v>
      </c>
      <c r="D1310" s="8" t="s">
        <v>279</v>
      </c>
      <c r="E1310" s="8" t="s">
        <v>111</v>
      </c>
      <c r="F1310" s="8" t="s">
        <v>156</v>
      </c>
      <c r="G1310" s="6">
        <v>26</v>
      </c>
      <c r="H1310" s="6">
        <v>38700</v>
      </c>
      <c r="I1310" s="6">
        <v>10</v>
      </c>
      <c r="J1310" s="6">
        <f t="shared" si="40"/>
        <v>1006200</v>
      </c>
      <c r="K1310" s="6">
        <f t="shared" si="41"/>
        <v>905580</v>
      </c>
      <c r="L1310" s="8" t="s">
        <v>76</v>
      </c>
      <c r="M1310" s="8" t="s">
        <v>91</v>
      </c>
    </row>
    <row r="1311" spans="1:13" x14ac:dyDescent="0.25">
      <c r="A1311" s="9">
        <v>1284</v>
      </c>
      <c r="B1311" s="10">
        <v>45507</v>
      </c>
      <c r="C1311" s="11" t="s">
        <v>106</v>
      </c>
      <c r="D1311" s="11" t="s">
        <v>73</v>
      </c>
      <c r="E1311" s="11" t="s">
        <v>263</v>
      </c>
      <c r="F1311" s="11" t="s">
        <v>135</v>
      </c>
      <c r="G1311" s="9">
        <v>48</v>
      </c>
      <c r="H1311" s="9" t="s">
        <v>525</v>
      </c>
      <c r="I1311" s="9">
        <v>0</v>
      </c>
      <c r="J1311" s="9" t="e">
        <f t="shared" si="40"/>
        <v>#VALUE!</v>
      </c>
      <c r="K1311" s="9" t="e">
        <f t="shared" si="41"/>
        <v>#VALUE!</v>
      </c>
      <c r="L1311" s="11" t="s">
        <v>76</v>
      </c>
      <c r="M1311" s="11" t="s">
        <v>81</v>
      </c>
    </row>
    <row r="1312" spans="1:13" x14ac:dyDescent="0.25">
      <c r="A1312" s="6">
        <v>1285</v>
      </c>
      <c r="B1312" s="7">
        <v>45256</v>
      </c>
      <c r="C1312" s="8" t="s">
        <v>124</v>
      </c>
      <c r="D1312" s="8" t="s">
        <v>93</v>
      </c>
      <c r="E1312" s="8" t="s">
        <v>111</v>
      </c>
      <c r="F1312" s="8" t="s">
        <v>192</v>
      </c>
      <c r="G1312" s="6">
        <v>14</v>
      </c>
      <c r="H1312" s="6">
        <v>91900</v>
      </c>
      <c r="I1312" s="6">
        <v>10</v>
      </c>
      <c r="J1312" s="6">
        <f t="shared" si="40"/>
        <v>1286600</v>
      </c>
      <c r="K1312" s="6">
        <f t="shared" si="41"/>
        <v>1157940</v>
      </c>
      <c r="L1312" s="8" t="s">
        <v>250</v>
      </c>
      <c r="M1312" s="8" t="s">
        <v>91</v>
      </c>
    </row>
    <row r="1313" spans="1:13" x14ac:dyDescent="0.25">
      <c r="A1313" s="9">
        <v>1286</v>
      </c>
      <c r="B1313" s="10">
        <v>45438</v>
      </c>
      <c r="C1313" s="11" t="s">
        <v>88</v>
      </c>
      <c r="D1313" s="11" t="s">
        <v>109</v>
      </c>
      <c r="E1313" s="11" t="s">
        <v>74</v>
      </c>
      <c r="F1313" s="11" t="s">
        <v>99</v>
      </c>
      <c r="G1313" s="9">
        <v>33</v>
      </c>
      <c r="H1313" s="9">
        <v>3800</v>
      </c>
      <c r="I1313" s="9">
        <v>0</v>
      </c>
      <c r="J1313" s="9">
        <f t="shared" si="40"/>
        <v>125400</v>
      </c>
      <c r="K1313" s="9">
        <f t="shared" si="41"/>
        <v>125400</v>
      </c>
      <c r="L1313" s="11" t="s">
        <v>76</v>
      </c>
      <c r="M1313" s="11" t="s">
        <v>77</v>
      </c>
    </row>
    <row r="1314" spans="1:13" x14ac:dyDescent="0.25">
      <c r="A1314" s="6">
        <v>1287</v>
      </c>
      <c r="B1314" s="7">
        <v>45362</v>
      </c>
      <c r="C1314" s="8" t="s">
        <v>97</v>
      </c>
      <c r="D1314" s="8" t="s">
        <v>83</v>
      </c>
      <c r="E1314" s="8" t="s">
        <v>84</v>
      </c>
      <c r="F1314" s="8" t="s">
        <v>206</v>
      </c>
      <c r="G1314" s="6">
        <v>48</v>
      </c>
      <c r="H1314" s="6">
        <v>13200</v>
      </c>
      <c r="I1314" s="6">
        <v>5</v>
      </c>
      <c r="J1314" s="6">
        <f t="shared" si="40"/>
        <v>633600</v>
      </c>
      <c r="K1314" s="6">
        <f t="shared" si="41"/>
        <v>601920</v>
      </c>
      <c r="L1314" s="8" t="s">
        <v>76</v>
      </c>
      <c r="M1314" s="8" t="s">
        <v>81</v>
      </c>
    </row>
    <row r="1315" spans="1:13" x14ac:dyDescent="0.25">
      <c r="A1315" s="9">
        <v>1288</v>
      </c>
      <c r="B1315" s="10">
        <v>45043</v>
      </c>
      <c r="C1315" s="11" t="s">
        <v>78</v>
      </c>
      <c r="D1315" s="11" t="s">
        <v>83</v>
      </c>
      <c r="E1315" s="11" t="s">
        <v>111</v>
      </c>
      <c r="F1315" s="11" t="s">
        <v>166</v>
      </c>
      <c r="G1315" s="9">
        <v>34</v>
      </c>
      <c r="H1315" s="9">
        <v>29600</v>
      </c>
      <c r="I1315" s="9">
        <v>5</v>
      </c>
      <c r="J1315" s="9">
        <f t="shared" si="40"/>
        <v>1006400</v>
      </c>
      <c r="K1315" s="9">
        <f t="shared" si="41"/>
        <v>956080</v>
      </c>
      <c r="L1315" s="11" t="s">
        <v>76</v>
      </c>
      <c r="M1315" s="11" t="s">
        <v>91</v>
      </c>
    </row>
    <row r="1316" spans="1:13" x14ac:dyDescent="0.25">
      <c r="A1316" s="6">
        <v>1289</v>
      </c>
      <c r="B1316" s="7">
        <v>44936</v>
      </c>
      <c r="C1316" s="8" t="s">
        <v>101</v>
      </c>
      <c r="D1316" s="8"/>
      <c r="E1316" s="8" t="s">
        <v>111</v>
      </c>
      <c r="F1316" s="8" t="s">
        <v>135</v>
      </c>
      <c r="G1316" s="6">
        <v>44</v>
      </c>
      <c r="H1316" s="6">
        <v>124200</v>
      </c>
      <c r="I1316" s="6">
        <v>10</v>
      </c>
      <c r="J1316" s="6">
        <f t="shared" si="40"/>
        <v>5464800</v>
      </c>
      <c r="K1316" s="6">
        <f t="shared" si="41"/>
        <v>4918320</v>
      </c>
      <c r="L1316" s="8" t="s">
        <v>129</v>
      </c>
      <c r="M1316" s="8" t="s">
        <v>96</v>
      </c>
    </row>
    <row r="1317" spans="1:13" x14ac:dyDescent="0.25">
      <c r="A1317" s="9">
        <v>1290</v>
      </c>
      <c r="B1317" s="10">
        <v>45307</v>
      </c>
      <c r="C1317" s="11" t="s">
        <v>448</v>
      </c>
      <c r="D1317" s="11" t="s">
        <v>109</v>
      </c>
      <c r="E1317" s="11" t="s">
        <v>84</v>
      </c>
      <c r="F1317" s="11" t="s">
        <v>134</v>
      </c>
      <c r="G1317" s="9">
        <v>14</v>
      </c>
      <c r="H1317" s="9">
        <v>9900</v>
      </c>
      <c r="I1317" s="9">
        <v>10</v>
      </c>
      <c r="J1317" s="9">
        <f t="shared" si="40"/>
        <v>138600</v>
      </c>
      <c r="K1317" s="9">
        <f t="shared" si="41"/>
        <v>124740</v>
      </c>
      <c r="L1317" s="11" t="s">
        <v>86</v>
      </c>
      <c r="M1317" s="11" t="s">
        <v>96</v>
      </c>
    </row>
    <row r="1318" spans="1:13" x14ac:dyDescent="0.25">
      <c r="A1318" s="6">
        <v>1291</v>
      </c>
      <c r="B1318" s="7">
        <v>45546</v>
      </c>
      <c r="C1318" s="8" t="s">
        <v>101</v>
      </c>
      <c r="D1318" s="8" t="s">
        <v>83</v>
      </c>
      <c r="E1318" s="8" t="s">
        <v>111</v>
      </c>
      <c r="F1318" s="8" t="s">
        <v>156</v>
      </c>
      <c r="G1318" s="6">
        <v>48</v>
      </c>
      <c r="H1318" s="6">
        <v>47600</v>
      </c>
      <c r="I1318" s="6">
        <v>0</v>
      </c>
      <c r="J1318" s="6">
        <f t="shared" si="40"/>
        <v>2284800</v>
      </c>
      <c r="K1318" s="6">
        <f t="shared" si="41"/>
        <v>2284800</v>
      </c>
      <c r="L1318" s="8" t="s">
        <v>86</v>
      </c>
      <c r="M1318" s="8" t="s">
        <v>81</v>
      </c>
    </row>
    <row r="1319" spans="1:13" x14ac:dyDescent="0.25">
      <c r="A1319" s="9">
        <v>1292</v>
      </c>
      <c r="B1319" s="10">
        <v>45463</v>
      </c>
      <c r="C1319" s="11" t="s">
        <v>119</v>
      </c>
      <c r="D1319" s="11" t="s">
        <v>73</v>
      </c>
      <c r="E1319" s="11" t="s">
        <v>74</v>
      </c>
      <c r="F1319" s="11" t="s">
        <v>140</v>
      </c>
      <c r="G1319" s="9">
        <v>31</v>
      </c>
      <c r="H1319" s="9">
        <v>4300</v>
      </c>
      <c r="I1319" s="9">
        <v>0</v>
      </c>
      <c r="J1319" s="9">
        <f t="shared" si="40"/>
        <v>133300</v>
      </c>
      <c r="K1319" s="9">
        <f t="shared" si="41"/>
        <v>133300</v>
      </c>
      <c r="L1319" s="11" t="s">
        <v>76</v>
      </c>
      <c r="M1319" s="11" t="s">
        <v>77</v>
      </c>
    </row>
    <row r="1320" spans="1:13" x14ac:dyDescent="0.25">
      <c r="A1320" s="6">
        <v>1293</v>
      </c>
      <c r="B1320" s="7">
        <v>45645</v>
      </c>
      <c r="C1320" s="8" t="s">
        <v>106</v>
      </c>
      <c r="D1320" s="8" t="s">
        <v>109</v>
      </c>
      <c r="E1320" s="8" t="s">
        <v>79</v>
      </c>
      <c r="F1320" s="8" t="s">
        <v>172</v>
      </c>
      <c r="G1320" s="6">
        <v>4</v>
      </c>
      <c r="H1320" s="6">
        <v>24600</v>
      </c>
      <c r="I1320" s="6">
        <v>0</v>
      </c>
      <c r="J1320" s="6">
        <f t="shared" si="40"/>
        <v>98400</v>
      </c>
      <c r="K1320" s="6">
        <f t="shared" si="41"/>
        <v>98400</v>
      </c>
      <c r="L1320" s="8" t="s">
        <v>76</v>
      </c>
      <c r="M1320" s="8" t="s">
        <v>81</v>
      </c>
    </row>
    <row r="1321" spans="1:13" x14ac:dyDescent="0.25">
      <c r="A1321" s="9">
        <v>1294</v>
      </c>
      <c r="B1321" s="10">
        <v>45285</v>
      </c>
      <c r="C1321" s="11" t="s">
        <v>82</v>
      </c>
      <c r="D1321" s="11" t="s">
        <v>109</v>
      </c>
      <c r="E1321" s="11" t="s">
        <v>74</v>
      </c>
      <c r="F1321" s="11" t="s">
        <v>94</v>
      </c>
      <c r="G1321" s="9">
        <v>18</v>
      </c>
      <c r="H1321" s="9">
        <v>39600</v>
      </c>
      <c r="I1321" s="9">
        <v>10</v>
      </c>
      <c r="J1321" s="9">
        <f t="shared" si="40"/>
        <v>712800</v>
      </c>
      <c r="K1321" s="9">
        <f t="shared" si="41"/>
        <v>641520</v>
      </c>
      <c r="L1321" s="11" t="s">
        <v>76</v>
      </c>
      <c r="M1321" s="11" t="s">
        <v>91</v>
      </c>
    </row>
    <row r="1322" spans="1:13" x14ac:dyDescent="0.25">
      <c r="A1322" s="6">
        <v>1295</v>
      </c>
      <c r="B1322" s="7">
        <v>45240</v>
      </c>
      <c r="C1322" s="8" t="s">
        <v>88</v>
      </c>
      <c r="D1322" s="8" t="s">
        <v>93</v>
      </c>
      <c r="E1322" s="8" t="s">
        <v>111</v>
      </c>
      <c r="F1322" s="8" t="s">
        <v>135</v>
      </c>
      <c r="G1322" s="6">
        <v>42</v>
      </c>
      <c r="H1322" s="6">
        <v>119600</v>
      </c>
      <c r="I1322" s="6">
        <v>10</v>
      </c>
      <c r="J1322" s="6">
        <f t="shared" si="40"/>
        <v>5023200</v>
      </c>
      <c r="K1322" s="6">
        <f t="shared" si="41"/>
        <v>4520880</v>
      </c>
      <c r="L1322" s="8" t="s">
        <v>86</v>
      </c>
      <c r="M1322" s="8" t="s">
        <v>77</v>
      </c>
    </row>
    <row r="1323" spans="1:13" x14ac:dyDescent="0.25">
      <c r="A1323" s="9">
        <v>1296</v>
      </c>
      <c r="B1323" s="11" t="s">
        <v>526</v>
      </c>
      <c r="C1323" s="11" t="s">
        <v>97</v>
      </c>
      <c r="D1323" s="11" t="s">
        <v>109</v>
      </c>
      <c r="E1323" s="11" t="s">
        <v>74</v>
      </c>
      <c r="F1323" s="11" t="s">
        <v>142</v>
      </c>
      <c r="G1323" s="9">
        <v>7</v>
      </c>
      <c r="H1323" s="9">
        <v>11600</v>
      </c>
      <c r="I1323" s="9">
        <v>0</v>
      </c>
      <c r="J1323" s="9">
        <f t="shared" si="40"/>
        <v>81200</v>
      </c>
      <c r="K1323" s="9">
        <f t="shared" si="41"/>
        <v>81200</v>
      </c>
      <c r="L1323" s="11" t="s">
        <v>76</v>
      </c>
      <c r="M1323" s="11" t="s">
        <v>91</v>
      </c>
    </row>
    <row r="1324" spans="1:13" x14ac:dyDescent="0.25">
      <c r="A1324" s="6">
        <v>1297</v>
      </c>
      <c r="B1324" s="7">
        <v>45516</v>
      </c>
      <c r="C1324" s="8" t="s">
        <v>238</v>
      </c>
      <c r="D1324" s="8" t="s">
        <v>93</v>
      </c>
      <c r="E1324" s="8" t="s">
        <v>74</v>
      </c>
      <c r="F1324" s="8" t="s">
        <v>99</v>
      </c>
      <c r="G1324" s="6">
        <v>1</v>
      </c>
      <c r="H1324" s="6" t="s">
        <v>527</v>
      </c>
      <c r="I1324" s="6">
        <v>0</v>
      </c>
      <c r="J1324" s="6" t="e">
        <f t="shared" si="40"/>
        <v>#VALUE!</v>
      </c>
      <c r="K1324" s="6" t="e">
        <f t="shared" si="41"/>
        <v>#VALUE!</v>
      </c>
      <c r="L1324" s="8" t="s">
        <v>247</v>
      </c>
      <c r="M1324" s="8" t="s">
        <v>81</v>
      </c>
    </row>
    <row r="1325" spans="1:13" x14ac:dyDescent="0.25">
      <c r="A1325" s="9">
        <v>1298</v>
      </c>
      <c r="B1325" s="10">
        <v>45556</v>
      </c>
      <c r="C1325" s="11" t="s">
        <v>108</v>
      </c>
      <c r="D1325" s="11" t="s">
        <v>109</v>
      </c>
      <c r="E1325" s="11" t="s">
        <v>84</v>
      </c>
      <c r="F1325" s="11" t="s">
        <v>85</v>
      </c>
      <c r="G1325" s="9">
        <v>21</v>
      </c>
      <c r="H1325" s="9">
        <v>6000</v>
      </c>
      <c r="I1325" s="9">
        <v>0</v>
      </c>
      <c r="J1325" s="9">
        <f t="shared" si="40"/>
        <v>126000</v>
      </c>
      <c r="K1325" s="9">
        <f t="shared" si="41"/>
        <v>126000</v>
      </c>
      <c r="L1325" s="11" t="s">
        <v>76</v>
      </c>
      <c r="M1325" s="11" t="s">
        <v>77</v>
      </c>
    </row>
    <row r="1326" spans="1:13" x14ac:dyDescent="0.25">
      <c r="A1326" s="6">
        <v>1299</v>
      </c>
      <c r="B1326" s="7">
        <v>45450</v>
      </c>
      <c r="C1326" s="8" t="s">
        <v>119</v>
      </c>
      <c r="D1326" s="8"/>
      <c r="E1326" s="8" t="s">
        <v>111</v>
      </c>
      <c r="F1326" s="8" t="s">
        <v>132</v>
      </c>
      <c r="G1326" s="6">
        <v>49</v>
      </c>
      <c r="H1326" s="6">
        <v>7300</v>
      </c>
      <c r="I1326" s="6">
        <v>5</v>
      </c>
      <c r="J1326" s="6">
        <f t="shared" si="40"/>
        <v>357700</v>
      </c>
      <c r="K1326" s="6">
        <f t="shared" si="41"/>
        <v>339815</v>
      </c>
      <c r="L1326" s="8" t="s">
        <v>76</v>
      </c>
      <c r="M1326" s="8" t="s">
        <v>91</v>
      </c>
    </row>
    <row r="1327" spans="1:13" x14ac:dyDescent="0.25">
      <c r="A1327" s="9">
        <v>1300</v>
      </c>
      <c r="B1327" s="10">
        <v>45321</v>
      </c>
      <c r="C1327" s="11" t="s">
        <v>119</v>
      </c>
      <c r="D1327" s="11" t="s">
        <v>117</v>
      </c>
      <c r="E1327" s="11" t="s">
        <v>74</v>
      </c>
      <c r="F1327" s="11" t="s">
        <v>212</v>
      </c>
      <c r="G1327" s="9">
        <v>39</v>
      </c>
      <c r="H1327" s="9">
        <v>8300</v>
      </c>
      <c r="I1327" s="9">
        <v>15</v>
      </c>
      <c r="J1327" s="9">
        <f t="shared" si="40"/>
        <v>323700</v>
      </c>
      <c r="K1327" s="9">
        <f t="shared" si="41"/>
        <v>275145</v>
      </c>
      <c r="L1327" s="11" t="s">
        <v>86</v>
      </c>
      <c r="M1327" s="11" t="s">
        <v>81</v>
      </c>
    </row>
    <row r="1328" spans="1:13" x14ac:dyDescent="0.25">
      <c r="A1328" s="6">
        <v>1301</v>
      </c>
      <c r="B1328" s="7">
        <v>45211</v>
      </c>
      <c r="C1328" s="8" t="s">
        <v>108</v>
      </c>
      <c r="D1328" s="8" t="s">
        <v>83</v>
      </c>
      <c r="E1328" s="8" t="s">
        <v>102</v>
      </c>
      <c r="F1328" s="8" t="s">
        <v>197</v>
      </c>
      <c r="G1328" s="6">
        <v>17</v>
      </c>
      <c r="H1328" s="6">
        <v>3900</v>
      </c>
      <c r="I1328" s="6">
        <v>15</v>
      </c>
      <c r="J1328" s="6">
        <f t="shared" si="40"/>
        <v>66300</v>
      </c>
      <c r="K1328" s="6">
        <f t="shared" si="41"/>
        <v>56355</v>
      </c>
      <c r="L1328" s="8" t="s">
        <v>86</v>
      </c>
      <c r="M1328" s="8" t="s">
        <v>91</v>
      </c>
    </row>
    <row r="1329" spans="1:13" x14ac:dyDescent="0.25">
      <c r="A1329" s="9">
        <v>1302</v>
      </c>
      <c r="B1329" s="10">
        <v>45283</v>
      </c>
      <c r="C1329" s="11" t="s">
        <v>108</v>
      </c>
      <c r="D1329" s="11" t="s">
        <v>73</v>
      </c>
      <c r="E1329" s="11" t="s">
        <v>74</v>
      </c>
      <c r="F1329" s="11" t="s">
        <v>99</v>
      </c>
      <c r="G1329" s="9">
        <v>23</v>
      </c>
      <c r="H1329" s="9">
        <v>3800</v>
      </c>
      <c r="I1329" s="9">
        <v>10</v>
      </c>
      <c r="J1329" s="9">
        <f t="shared" si="40"/>
        <v>87400</v>
      </c>
      <c r="K1329" s="9">
        <f t="shared" si="41"/>
        <v>78660</v>
      </c>
      <c r="L1329" s="11" t="s">
        <v>86</v>
      </c>
      <c r="M1329" s="11" t="s">
        <v>81</v>
      </c>
    </row>
    <row r="1330" spans="1:13" x14ac:dyDescent="0.25">
      <c r="A1330" s="6">
        <v>1303</v>
      </c>
      <c r="B1330" s="7">
        <v>45500</v>
      </c>
      <c r="C1330" s="8" t="s">
        <v>106</v>
      </c>
      <c r="D1330" s="8" t="s">
        <v>83</v>
      </c>
      <c r="E1330" s="8" t="s">
        <v>74</v>
      </c>
      <c r="F1330" s="8" t="s">
        <v>142</v>
      </c>
      <c r="G1330" s="6">
        <v>1</v>
      </c>
      <c r="H1330" s="6">
        <v>13600</v>
      </c>
      <c r="I1330" s="6">
        <v>10</v>
      </c>
      <c r="J1330" s="6">
        <f t="shared" si="40"/>
        <v>13600</v>
      </c>
      <c r="K1330" s="6">
        <f t="shared" si="41"/>
        <v>12240</v>
      </c>
      <c r="L1330" s="8" t="s">
        <v>76</v>
      </c>
      <c r="M1330" s="8" t="s">
        <v>96</v>
      </c>
    </row>
    <row r="1331" spans="1:13" x14ac:dyDescent="0.25">
      <c r="A1331" s="9">
        <v>1304</v>
      </c>
      <c r="B1331" s="10">
        <v>45126</v>
      </c>
      <c r="C1331" s="11" t="s">
        <v>78</v>
      </c>
      <c r="D1331" s="11" t="s">
        <v>93</v>
      </c>
      <c r="E1331" s="11" t="s">
        <v>74</v>
      </c>
      <c r="F1331" s="11" t="s">
        <v>212</v>
      </c>
      <c r="G1331" s="9">
        <v>24</v>
      </c>
      <c r="H1331" s="9">
        <v>7400</v>
      </c>
      <c r="I1331" s="9">
        <v>10</v>
      </c>
      <c r="J1331" s="9">
        <f t="shared" si="40"/>
        <v>177600</v>
      </c>
      <c r="K1331" s="9">
        <f t="shared" si="41"/>
        <v>159840</v>
      </c>
      <c r="L1331" s="11" t="s">
        <v>107</v>
      </c>
      <c r="M1331" s="11" t="s">
        <v>77</v>
      </c>
    </row>
    <row r="1332" spans="1:13" x14ac:dyDescent="0.25">
      <c r="A1332" s="6">
        <v>1305</v>
      </c>
      <c r="B1332" s="7">
        <v>45206</v>
      </c>
      <c r="C1332" s="8" t="s">
        <v>78</v>
      </c>
      <c r="D1332" s="8" t="s">
        <v>117</v>
      </c>
      <c r="E1332" s="8" t="s">
        <v>111</v>
      </c>
      <c r="F1332" s="8" t="s">
        <v>165</v>
      </c>
      <c r="G1332" s="6">
        <v>45</v>
      </c>
      <c r="H1332" s="6">
        <v>16400</v>
      </c>
      <c r="I1332" s="6">
        <v>15</v>
      </c>
      <c r="J1332" s="6">
        <f t="shared" si="40"/>
        <v>738000</v>
      </c>
      <c r="K1332" s="6">
        <f t="shared" si="41"/>
        <v>627300</v>
      </c>
      <c r="L1332" s="8" t="s">
        <v>86</v>
      </c>
      <c r="M1332" s="8" t="s">
        <v>96</v>
      </c>
    </row>
    <row r="1333" spans="1:13" x14ac:dyDescent="0.25">
      <c r="A1333" s="9">
        <v>1306</v>
      </c>
      <c r="B1333" s="10">
        <v>44985</v>
      </c>
      <c r="C1333" s="11" t="s">
        <v>124</v>
      </c>
      <c r="D1333" s="11" t="s">
        <v>73</v>
      </c>
      <c r="E1333" s="11" t="s">
        <v>111</v>
      </c>
      <c r="F1333" s="11" t="s">
        <v>159</v>
      </c>
      <c r="G1333" s="9">
        <v>31</v>
      </c>
      <c r="H1333" s="9">
        <v>12300</v>
      </c>
      <c r="I1333" s="9">
        <v>0</v>
      </c>
      <c r="J1333" s="9">
        <f t="shared" si="40"/>
        <v>381300</v>
      </c>
      <c r="K1333" s="9">
        <f t="shared" si="41"/>
        <v>381300</v>
      </c>
      <c r="L1333" s="11" t="s">
        <v>86</v>
      </c>
      <c r="M1333" s="11" t="s">
        <v>77</v>
      </c>
    </row>
    <row r="1334" spans="1:13" x14ac:dyDescent="0.25">
      <c r="A1334" s="6">
        <v>1307</v>
      </c>
      <c r="B1334" s="7">
        <v>45305</v>
      </c>
      <c r="C1334" s="8" t="s">
        <v>78</v>
      </c>
      <c r="D1334" s="8" t="s">
        <v>93</v>
      </c>
      <c r="E1334" s="8" t="s">
        <v>84</v>
      </c>
      <c r="F1334" s="8" t="s">
        <v>128</v>
      </c>
      <c r="G1334" s="6">
        <v>9</v>
      </c>
      <c r="H1334" s="6">
        <v>4700</v>
      </c>
      <c r="I1334" s="6">
        <v>0</v>
      </c>
      <c r="J1334" s="6">
        <f t="shared" si="40"/>
        <v>42300</v>
      </c>
      <c r="K1334" s="6">
        <f t="shared" si="41"/>
        <v>42300</v>
      </c>
      <c r="L1334" s="8" t="s">
        <v>76</v>
      </c>
      <c r="M1334" s="8" t="s">
        <v>77</v>
      </c>
    </row>
    <row r="1335" spans="1:13" x14ac:dyDescent="0.25">
      <c r="A1335" s="9">
        <v>1308</v>
      </c>
      <c r="B1335" s="10">
        <v>45381</v>
      </c>
      <c r="C1335" s="11" t="s">
        <v>78</v>
      </c>
      <c r="D1335" s="11" t="s">
        <v>117</v>
      </c>
      <c r="E1335" s="11" t="s">
        <v>79</v>
      </c>
      <c r="F1335" s="11" t="s">
        <v>179</v>
      </c>
      <c r="G1335" s="9">
        <v>13</v>
      </c>
      <c r="H1335" s="9">
        <v>2900</v>
      </c>
      <c r="I1335" s="9">
        <v>0</v>
      </c>
      <c r="J1335" s="9">
        <f t="shared" si="40"/>
        <v>37700</v>
      </c>
      <c r="K1335" s="9">
        <f t="shared" si="41"/>
        <v>37700</v>
      </c>
      <c r="L1335" s="11" t="s">
        <v>86</v>
      </c>
      <c r="M1335" s="11" t="s">
        <v>77</v>
      </c>
    </row>
    <row r="1336" spans="1:13" x14ac:dyDescent="0.25">
      <c r="A1336" s="6">
        <v>1309</v>
      </c>
      <c r="B1336" s="7">
        <v>45615</v>
      </c>
      <c r="C1336" s="8" t="s">
        <v>282</v>
      </c>
      <c r="D1336" s="8" t="s">
        <v>109</v>
      </c>
      <c r="E1336" s="8" t="s">
        <v>102</v>
      </c>
      <c r="F1336" s="8" t="s">
        <v>157</v>
      </c>
      <c r="G1336" s="6">
        <v>43</v>
      </c>
      <c r="H1336" s="6">
        <v>12300</v>
      </c>
      <c r="I1336" s="6">
        <v>0</v>
      </c>
      <c r="J1336" s="6">
        <f t="shared" si="40"/>
        <v>528900</v>
      </c>
      <c r="K1336" s="6">
        <f t="shared" si="41"/>
        <v>528900</v>
      </c>
      <c r="L1336" s="8" t="s">
        <v>76</v>
      </c>
      <c r="M1336" s="8" t="s">
        <v>77</v>
      </c>
    </row>
    <row r="1337" spans="1:13" x14ac:dyDescent="0.25">
      <c r="A1337" s="9">
        <v>1310</v>
      </c>
      <c r="B1337" s="11" t="s">
        <v>528</v>
      </c>
      <c r="C1337" s="11" t="s">
        <v>82</v>
      </c>
      <c r="D1337" s="11" t="s">
        <v>109</v>
      </c>
      <c r="E1337" s="11" t="s">
        <v>74</v>
      </c>
      <c r="F1337" s="11" t="s">
        <v>118</v>
      </c>
      <c r="G1337" s="9">
        <v>3</v>
      </c>
      <c r="H1337" s="9">
        <v>26400</v>
      </c>
      <c r="I1337" s="9">
        <v>15</v>
      </c>
      <c r="J1337" s="9">
        <f t="shared" si="40"/>
        <v>79200</v>
      </c>
      <c r="K1337" s="9">
        <f t="shared" si="41"/>
        <v>67320</v>
      </c>
      <c r="L1337" s="11" t="s">
        <v>76</v>
      </c>
      <c r="M1337" s="11" t="s">
        <v>81</v>
      </c>
    </row>
    <row r="1338" spans="1:13" x14ac:dyDescent="0.25">
      <c r="A1338" s="6">
        <v>1311</v>
      </c>
      <c r="B1338" s="8" t="s">
        <v>529</v>
      </c>
      <c r="C1338" s="8" t="s">
        <v>114</v>
      </c>
      <c r="D1338" s="8" t="s">
        <v>109</v>
      </c>
      <c r="E1338" s="8" t="s">
        <v>79</v>
      </c>
      <c r="F1338" s="8" t="s">
        <v>179</v>
      </c>
      <c r="G1338" s="6">
        <v>23</v>
      </c>
      <c r="H1338" s="6">
        <v>2400</v>
      </c>
      <c r="I1338" s="6">
        <v>10</v>
      </c>
      <c r="J1338" s="6">
        <f t="shared" si="40"/>
        <v>55200</v>
      </c>
      <c r="K1338" s="6">
        <f t="shared" si="41"/>
        <v>49680</v>
      </c>
      <c r="L1338" s="8" t="s">
        <v>76</v>
      </c>
      <c r="M1338" s="8" t="s">
        <v>91</v>
      </c>
    </row>
    <row r="1339" spans="1:13" x14ac:dyDescent="0.25">
      <c r="A1339" s="9">
        <v>1312</v>
      </c>
      <c r="B1339" s="10">
        <v>45640</v>
      </c>
      <c r="C1339" s="11" t="s">
        <v>97</v>
      </c>
      <c r="D1339" s="11" t="s">
        <v>93</v>
      </c>
      <c r="E1339" s="11" t="s">
        <v>111</v>
      </c>
      <c r="F1339" s="11" t="s">
        <v>112</v>
      </c>
      <c r="G1339" s="9">
        <v>6</v>
      </c>
      <c r="H1339" s="9">
        <v>60400</v>
      </c>
      <c r="I1339" s="9">
        <v>0</v>
      </c>
      <c r="J1339" s="9">
        <f t="shared" si="40"/>
        <v>362400</v>
      </c>
      <c r="K1339" s="9">
        <f t="shared" si="41"/>
        <v>362400</v>
      </c>
      <c r="L1339" s="11" t="s">
        <v>76</v>
      </c>
      <c r="M1339" s="11" t="s">
        <v>77</v>
      </c>
    </row>
    <row r="1340" spans="1:13" x14ac:dyDescent="0.25">
      <c r="A1340" s="6">
        <v>1313</v>
      </c>
      <c r="B1340" s="7">
        <v>45252</v>
      </c>
      <c r="C1340" s="8" t="s">
        <v>124</v>
      </c>
      <c r="D1340" s="8" t="s">
        <v>73</v>
      </c>
      <c r="E1340" s="8" t="s">
        <v>84</v>
      </c>
      <c r="F1340" s="8" t="s">
        <v>206</v>
      </c>
      <c r="G1340" s="6">
        <v>24</v>
      </c>
      <c r="H1340" s="6">
        <v>13400</v>
      </c>
      <c r="I1340" s="6">
        <v>0</v>
      </c>
      <c r="J1340" s="6">
        <f t="shared" si="40"/>
        <v>321600</v>
      </c>
      <c r="K1340" s="6">
        <f t="shared" si="41"/>
        <v>321600</v>
      </c>
      <c r="L1340" s="8" t="s">
        <v>76</v>
      </c>
      <c r="M1340" s="8" t="s">
        <v>81</v>
      </c>
    </row>
    <row r="1341" spans="1:13" x14ac:dyDescent="0.25">
      <c r="A1341" s="9">
        <v>1314</v>
      </c>
      <c r="B1341" s="10">
        <v>45624</v>
      </c>
      <c r="C1341" s="11" t="s">
        <v>106</v>
      </c>
      <c r="D1341" s="11" t="s">
        <v>109</v>
      </c>
      <c r="E1341" s="11" t="s">
        <v>74</v>
      </c>
      <c r="F1341" s="11" t="s">
        <v>94</v>
      </c>
      <c r="G1341" s="9">
        <v>19</v>
      </c>
      <c r="H1341" s="9">
        <v>34800</v>
      </c>
      <c r="I1341" s="9">
        <v>10</v>
      </c>
      <c r="J1341" s="9">
        <f t="shared" si="40"/>
        <v>661200</v>
      </c>
      <c r="K1341" s="9">
        <f t="shared" si="41"/>
        <v>595080</v>
      </c>
      <c r="L1341" s="11" t="s">
        <v>76</v>
      </c>
      <c r="M1341" s="11" t="s">
        <v>81</v>
      </c>
    </row>
    <row r="1342" spans="1:13" x14ac:dyDescent="0.25">
      <c r="A1342" s="6">
        <v>1315</v>
      </c>
      <c r="B1342" s="7">
        <v>45250</v>
      </c>
      <c r="C1342" s="8" t="s">
        <v>114</v>
      </c>
      <c r="D1342" s="8" t="s">
        <v>178</v>
      </c>
      <c r="E1342" s="8" t="s">
        <v>84</v>
      </c>
      <c r="F1342" s="8" t="s">
        <v>134</v>
      </c>
      <c r="G1342" s="6">
        <v>12</v>
      </c>
      <c r="H1342" s="6">
        <v>10800</v>
      </c>
      <c r="I1342" s="6">
        <v>15</v>
      </c>
      <c r="J1342" s="6">
        <f t="shared" si="40"/>
        <v>129600</v>
      </c>
      <c r="K1342" s="6">
        <f t="shared" si="41"/>
        <v>110160</v>
      </c>
      <c r="L1342" s="8" t="s">
        <v>125</v>
      </c>
      <c r="M1342" s="8" t="s">
        <v>96</v>
      </c>
    </row>
    <row r="1343" spans="1:13" x14ac:dyDescent="0.25">
      <c r="A1343" s="9">
        <v>1316</v>
      </c>
      <c r="B1343" s="10">
        <v>45377</v>
      </c>
      <c r="C1343" s="11" t="s">
        <v>101</v>
      </c>
      <c r="D1343" s="11" t="s">
        <v>73</v>
      </c>
      <c r="E1343" s="11" t="s">
        <v>111</v>
      </c>
      <c r="F1343" s="11" t="s">
        <v>132</v>
      </c>
      <c r="G1343" s="9">
        <v>23</v>
      </c>
      <c r="H1343" s="9">
        <v>7800</v>
      </c>
      <c r="I1343" s="9">
        <v>20</v>
      </c>
      <c r="J1343" s="9">
        <f t="shared" si="40"/>
        <v>179400</v>
      </c>
      <c r="K1343" s="9">
        <f t="shared" si="41"/>
        <v>143520</v>
      </c>
      <c r="L1343" s="11" t="s">
        <v>86</v>
      </c>
      <c r="M1343" s="11" t="s">
        <v>91</v>
      </c>
    </row>
    <row r="1344" spans="1:13" x14ac:dyDescent="0.25">
      <c r="A1344" s="6">
        <v>1317</v>
      </c>
      <c r="B1344" s="7">
        <v>45573</v>
      </c>
      <c r="C1344" s="8" t="s">
        <v>108</v>
      </c>
      <c r="D1344" s="8" t="s">
        <v>268</v>
      </c>
      <c r="E1344" s="8" t="s">
        <v>102</v>
      </c>
      <c r="F1344" s="8" t="s">
        <v>151</v>
      </c>
      <c r="G1344" s="6">
        <v>37</v>
      </c>
      <c r="H1344" s="6">
        <v>7000</v>
      </c>
      <c r="I1344" s="6">
        <v>0</v>
      </c>
      <c r="J1344" s="6">
        <f t="shared" si="40"/>
        <v>259000</v>
      </c>
      <c r="K1344" s="6">
        <f t="shared" si="41"/>
        <v>259000</v>
      </c>
      <c r="L1344" s="8" t="s">
        <v>76</v>
      </c>
      <c r="M1344" s="8"/>
    </row>
    <row r="1345" spans="1:13" x14ac:dyDescent="0.25">
      <c r="A1345" s="9">
        <v>1318</v>
      </c>
      <c r="B1345" s="10">
        <v>45588</v>
      </c>
      <c r="C1345" s="11" t="s">
        <v>169</v>
      </c>
      <c r="D1345" s="11" t="s">
        <v>109</v>
      </c>
      <c r="E1345" s="11" t="s">
        <v>74</v>
      </c>
      <c r="F1345" s="11" t="s">
        <v>190</v>
      </c>
      <c r="G1345" s="9">
        <v>50</v>
      </c>
      <c r="H1345" s="9">
        <v>29500</v>
      </c>
      <c r="I1345" s="9">
        <v>5</v>
      </c>
      <c r="J1345" s="9">
        <f t="shared" si="40"/>
        <v>1475000</v>
      </c>
      <c r="K1345" s="9">
        <f t="shared" si="41"/>
        <v>1401250</v>
      </c>
      <c r="L1345" s="11" t="s">
        <v>76</v>
      </c>
      <c r="M1345" s="11"/>
    </row>
    <row r="1346" spans="1:13" x14ac:dyDescent="0.25">
      <c r="A1346" s="6">
        <v>1319</v>
      </c>
      <c r="B1346" s="7">
        <v>45194</v>
      </c>
      <c r="C1346" s="8" t="s">
        <v>78</v>
      </c>
      <c r="D1346" s="8" t="s">
        <v>73</v>
      </c>
      <c r="E1346" s="8" t="s">
        <v>102</v>
      </c>
      <c r="F1346" s="8" t="s">
        <v>103</v>
      </c>
      <c r="G1346" s="6">
        <v>30</v>
      </c>
      <c r="H1346" s="6" t="s">
        <v>530</v>
      </c>
      <c r="I1346" s="6">
        <v>10</v>
      </c>
      <c r="J1346" s="6" t="e">
        <f t="shared" ref="J1346:J1409" si="42">G1346*H1346</f>
        <v>#VALUE!</v>
      </c>
      <c r="K1346" s="6" t="e">
        <f t="shared" ref="K1346:K1409" si="43">J1346*(1-I1346/100)</f>
        <v>#VALUE!</v>
      </c>
      <c r="L1346" s="8" t="s">
        <v>76</v>
      </c>
      <c r="M1346" s="8" t="s">
        <v>96</v>
      </c>
    </row>
    <row r="1347" spans="1:13" x14ac:dyDescent="0.25">
      <c r="A1347" s="9">
        <v>1320</v>
      </c>
      <c r="B1347" s="10">
        <v>45313</v>
      </c>
      <c r="C1347" s="11" t="s">
        <v>124</v>
      </c>
      <c r="D1347" s="11" t="s">
        <v>73</v>
      </c>
      <c r="E1347" s="11" t="s">
        <v>74</v>
      </c>
      <c r="F1347" s="11" t="s">
        <v>118</v>
      </c>
      <c r="G1347" s="9">
        <v>1</v>
      </c>
      <c r="H1347" s="9">
        <v>29600</v>
      </c>
      <c r="I1347" s="9">
        <v>0</v>
      </c>
      <c r="J1347" s="9">
        <f t="shared" si="42"/>
        <v>29600</v>
      </c>
      <c r="K1347" s="9">
        <f t="shared" si="43"/>
        <v>29600</v>
      </c>
      <c r="L1347" s="11" t="s">
        <v>76</v>
      </c>
      <c r="M1347" s="11" t="s">
        <v>91</v>
      </c>
    </row>
    <row r="1348" spans="1:13" x14ac:dyDescent="0.25">
      <c r="A1348" s="6">
        <v>1321</v>
      </c>
      <c r="B1348" s="7">
        <v>45271</v>
      </c>
      <c r="C1348" s="8" t="s">
        <v>97</v>
      </c>
      <c r="D1348" s="8" t="s">
        <v>109</v>
      </c>
      <c r="E1348" s="8" t="s">
        <v>74</v>
      </c>
      <c r="F1348" s="8" t="s">
        <v>190</v>
      </c>
      <c r="G1348" s="6">
        <v>35</v>
      </c>
      <c r="H1348" s="6">
        <v>30100</v>
      </c>
      <c r="I1348" s="6">
        <v>5</v>
      </c>
      <c r="J1348" s="6">
        <f t="shared" si="42"/>
        <v>1053500</v>
      </c>
      <c r="K1348" s="6">
        <f t="shared" si="43"/>
        <v>1000825</v>
      </c>
      <c r="L1348" s="8" t="s">
        <v>76</v>
      </c>
      <c r="M1348" s="8" t="s">
        <v>77</v>
      </c>
    </row>
    <row r="1349" spans="1:13" x14ac:dyDescent="0.25">
      <c r="A1349" s="9">
        <v>1322</v>
      </c>
      <c r="B1349" s="10">
        <v>45558</v>
      </c>
      <c r="C1349" s="11" t="s">
        <v>119</v>
      </c>
      <c r="D1349" s="11" t="s">
        <v>93</v>
      </c>
      <c r="E1349" s="11" t="s">
        <v>102</v>
      </c>
      <c r="F1349" s="11" t="s">
        <v>151</v>
      </c>
      <c r="G1349" s="9">
        <v>31</v>
      </c>
      <c r="H1349" s="9">
        <v>8100</v>
      </c>
      <c r="I1349" s="9">
        <v>15</v>
      </c>
      <c r="J1349" s="9">
        <f t="shared" si="42"/>
        <v>251100</v>
      </c>
      <c r="K1349" s="9">
        <f t="shared" si="43"/>
        <v>213435</v>
      </c>
      <c r="L1349" s="11" t="s">
        <v>86</v>
      </c>
      <c r="M1349" s="11" t="s">
        <v>96</v>
      </c>
    </row>
    <row r="1350" spans="1:13" x14ac:dyDescent="0.25">
      <c r="A1350" s="6">
        <v>1323</v>
      </c>
      <c r="B1350" s="7">
        <v>45309</v>
      </c>
      <c r="C1350" s="8" t="s">
        <v>214</v>
      </c>
      <c r="D1350" s="8" t="s">
        <v>117</v>
      </c>
      <c r="E1350" s="8" t="s">
        <v>111</v>
      </c>
      <c r="F1350" s="8" t="s">
        <v>165</v>
      </c>
      <c r="G1350" s="6">
        <v>15</v>
      </c>
      <c r="H1350" s="6">
        <v>17600</v>
      </c>
      <c r="I1350" s="6">
        <v>5</v>
      </c>
      <c r="J1350" s="6">
        <f t="shared" si="42"/>
        <v>264000</v>
      </c>
      <c r="K1350" s="6">
        <f t="shared" si="43"/>
        <v>250800</v>
      </c>
      <c r="L1350" s="8" t="s">
        <v>86</v>
      </c>
      <c r="M1350" s="8" t="s">
        <v>77</v>
      </c>
    </row>
    <row r="1351" spans="1:13" x14ac:dyDescent="0.25">
      <c r="A1351" s="9">
        <v>1324</v>
      </c>
      <c r="B1351" s="10">
        <v>45363</v>
      </c>
      <c r="C1351" s="11" t="s">
        <v>101</v>
      </c>
      <c r="D1351" s="11" t="s">
        <v>93</v>
      </c>
      <c r="E1351" s="11" t="s">
        <v>111</v>
      </c>
      <c r="F1351" s="11" t="s">
        <v>192</v>
      </c>
      <c r="G1351" s="9">
        <v>11</v>
      </c>
      <c r="H1351" s="9">
        <v>89400</v>
      </c>
      <c r="I1351" s="9">
        <v>10</v>
      </c>
      <c r="J1351" s="9">
        <f t="shared" si="42"/>
        <v>983400</v>
      </c>
      <c r="K1351" s="9">
        <f t="shared" si="43"/>
        <v>885060</v>
      </c>
      <c r="L1351" s="11" t="s">
        <v>107</v>
      </c>
      <c r="M1351" s="11" t="s">
        <v>81</v>
      </c>
    </row>
    <row r="1352" spans="1:13" x14ac:dyDescent="0.25">
      <c r="A1352" s="6">
        <v>1325</v>
      </c>
      <c r="B1352" s="7">
        <v>45069</v>
      </c>
      <c r="C1352" s="8" t="s">
        <v>108</v>
      </c>
      <c r="D1352" s="8" t="s">
        <v>117</v>
      </c>
      <c r="E1352" s="8" t="s">
        <v>79</v>
      </c>
      <c r="F1352" s="8" t="s">
        <v>131</v>
      </c>
      <c r="G1352" s="6">
        <v>50</v>
      </c>
      <c r="H1352" s="6">
        <v>117300</v>
      </c>
      <c r="I1352" s="6">
        <v>5</v>
      </c>
      <c r="J1352" s="6">
        <f t="shared" si="42"/>
        <v>5865000</v>
      </c>
      <c r="K1352" s="6">
        <f t="shared" si="43"/>
        <v>5571750</v>
      </c>
      <c r="L1352" s="8" t="s">
        <v>76</v>
      </c>
      <c r="M1352" s="8" t="s">
        <v>96</v>
      </c>
    </row>
    <row r="1353" spans="1:13" x14ac:dyDescent="0.25">
      <c r="A1353" s="9">
        <v>1326</v>
      </c>
      <c r="B1353" s="10">
        <v>45332</v>
      </c>
      <c r="C1353" s="11" t="s">
        <v>108</v>
      </c>
      <c r="D1353" s="11" t="s">
        <v>83</v>
      </c>
      <c r="E1353" s="11" t="s">
        <v>324</v>
      </c>
      <c r="F1353" s="11" t="s">
        <v>122</v>
      </c>
      <c r="G1353" s="9">
        <v>12</v>
      </c>
      <c r="H1353" s="9">
        <v>17100</v>
      </c>
      <c r="I1353" s="9">
        <v>0</v>
      </c>
      <c r="J1353" s="9">
        <f t="shared" si="42"/>
        <v>205200</v>
      </c>
      <c r="K1353" s="9">
        <f t="shared" si="43"/>
        <v>205200</v>
      </c>
      <c r="L1353" s="11" t="s">
        <v>76</v>
      </c>
      <c r="M1353" s="11" t="s">
        <v>77</v>
      </c>
    </row>
    <row r="1354" spans="1:13" x14ac:dyDescent="0.25">
      <c r="A1354" s="6">
        <v>1327</v>
      </c>
      <c r="B1354" s="7">
        <v>45168</v>
      </c>
      <c r="C1354" s="8" t="s">
        <v>106</v>
      </c>
      <c r="D1354" s="8" t="s">
        <v>531</v>
      </c>
      <c r="E1354" s="8" t="s">
        <v>79</v>
      </c>
      <c r="F1354" s="8" t="s">
        <v>80</v>
      </c>
      <c r="G1354" s="6">
        <v>36</v>
      </c>
      <c r="H1354" s="6">
        <v>8000</v>
      </c>
      <c r="I1354" s="6">
        <v>0</v>
      </c>
      <c r="J1354" s="6">
        <f t="shared" si="42"/>
        <v>288000</v>
      </c>
      <c r="K1354" s="6">
        <f t="shared" si="43"/>
        <v>288000</v>
      </c>
      <c r="L1354" s="8" t="s">
        <v>86</v>
      </c>
      <c r="M1354" s="8" t="s">
        <v>96</v>
      </c>
    </row>
    <row r="1355" spans="1:13" x14ac:dyDescent="0.25">
      <c r="A1355" s="9">
        <v>1328</v>
      </c>
      <c r="B1355" s="10">
        <v>45415</v>
      </c>
      <c r="C1355" s="11" t="s">
        <v>108</v>
      </c>
      <c r="D1355" s="11" t="s">
        <v>117</v>
      </c>
      <c r="E1355" s="11" t="s">
        <v>79</v>
      </c>
      <c r="F1355" s="11" t="s">
        <v>172</v>
      </c>
      <c r="G1355" s="9">
        <v>26</v>
      </c>
      <c r="H1355" s="9">
        <v>25900</v>
      </c>
      <c r="I1355" s="9">
        <v>15</v>
      </c>
      <c r="J1355" s="9">
        <f t="shared" si="42"/>
        <v>673400</v>
      </c>
      <c r="K1355" s="9">
        <f t="shared" si="43"/>
        <v>572390</v>
      </c>
      <c r="L1355" s="11" t="s">
        <v>86</v>
      </c>
      <c r="M1355" s="11" t="s">
        <v>91</v>
      </c>
    </row>
    <row r="1356" spans="1:13" x14ac:dyDescent="0.25">
      <c r="A1356" s="6">
        <v>1329</v>
      </c>
      <c r="B1356" s="7">
        <v>45312</v>
      </c>
      <c r="C1356" s="8" t="s">
        <v>119</v>
      </c>
      <c r="D1356" s="8" t="s">
        <v>109</v>
      </c>
      <c r="E1356" s="8" t="s">
        <v>79</v>
      </c>
      <c r="F1356" s="8" t="s">
        <v>115</v>
      </c>
      <c r="G1356" s="6">
        <v>49</v>
      </c>
      <c r="H1356" s="6">
        <v>8400</v>
      </c>
      <c r="I1356" s="6">
        <v>20</v>
      </c>
      <c r="J1356" s="6">
        <f t="shared" si="42"/>
        <v>411600</v>
      </c>
      <c r="K1356" s="6">
        <f t="shared" si="43"/>
        <v>329280</v>
      </c>
      <c r="L1356" s="8" t="s">
        <v>125</v>
      </c>
      <c r="M1356" s="8" t="s">
        <v>91</v>
      </c>
    </row>
    <row r="1357" spans="1:13" x14ac:dyDescent="0.25">
      <c r="A1357" s="9">
        <v>1330</v>
      </c>
      <c r="B1357" s="10">
        <v>45261</v>
      </c>
      <c r="C1357" s="11" t="s">
        <v>101</v>
      </c>
      <c r="D1357" s="11" t="s">
        <v>83</v>
      </c>
      <c r="E1357" s="11" t="s">
        <v>102</v>
      </c>
      <c r="F1357" s="11" t="s">
        <v>151</v>
      </c>
      <c r="G1357" s="9">
        <v>23</v>
      </c>
      <c r="H1357" s="9">
        <v>7800</v>
      </c>
      <c r="I1357" s="9">
        <v>0</v>
      </c>
      <c r="J1357" s="9">
        <f t="shared" si="42"/>
        <v>179400</v>
      </c>
      <c r="K1357" s="9">
        <f t="shared" si="43"/>
        <v>179400</v>
      </c>
      <c r="L1357" s="11" t="s">
        <v>164</v>
      </c>
      <c r="M1357" s="11" t="s">
        <v>77</v>
      </c>
    </row>
    <row r="1358" spans="1:13" x14ac:dyDescent="0.25">
      <c r="A1358" s="6">
        <v>1331</v>
      </c>
      <c r="B1358" s="7">
        <v>45550</v>
      </c>
      <c r="C1358" s="8" t="s">
        <v>108</v>
      </c>
      <c r="D1358" s="8" t="s">
        <v>109</v>
      </c>
      <c r="E1358" s="8" t="s">
        <v>74</v>
      </c>
      <c r="F1358" s="8" t="s">
        <v>212</v>
      </c>
      <c r="G1358" s="6">
        <v>1</v>
      </c>
      <c r="H1358" s="6">
        <v>7900</v>
      </c>
      <c r="I1358" s="6">
        <v>0</v>
      </c>
      <c r="J1358" s="6">
        <f t="shared" si="42"/>
        <v>7900</v>
      </c>
      <c r="K1358" s="6">
        <f t="shared" si="43"/>
        <v>7900</v>
      </c>
      <c r="L1358" s="8" t="s">
        <v>174</v>
      </c>
      <c r="M1358" s="8" t="s">
        <v>91</v>
      </c>
    </row>
    <row r="1359" spans="1:13" x14ac:dyDescent="0.25">
      <c r="A1359" s="9">
        <v>1332</v>
      </c>
      <c r="B1359" s="10">
        <v>45588</v>
      </c>
      <c r="C1359" s="11" t="s">
        <v>106</v>
      </c>
      <c r="D1359" s="11" t="s">
        <v>109</v>
      </c>
      <c r="E1359" s="11" t="s">
        <v>111</v>
      </c>
      <c r="F1359" s="11" t="s">
        <v>156</v>
      </c>
      <c r="G1359" s="9">
        <v>20</v>
      </c>
      <c r="H1359" s="9">
        <v>38300</v>
      </c>
      <c r="I1359" s="9">
        <v>5</v>
      </c>
      <c r="J1359" s="9">
        <f t="shared" si="42"/>
        <v>766000</v>
      </c>
      <c r="K1359" s="9">
        <f t="shared" si="43"/>
        <v>727700</v>
      </c>
      <c r="L1359" s="11" t="s">
        <v>76</v>
      </c>
      <c r="M1359" s="11" t="s">
        <v>96</v>
      </c>
    </row>
    <row r="1360" spans="1:13" x14ac:dyDescent="0.25">
      <c r="A1360" s="6">
        <v>1333</v>
      </c>
      <c r="B1360" s="7">
        <v>45596</v>
      </c>
      <c r="C1360" s="8" t="s">
        <v>108</v>
      </c>
      <c r="D1360" s="8" t="s">
        <v>83</v>
      </c>
      <c r="E1360" s="8" t="s">
        <v>84</v>
      </c>
      <c r="F1360" s="8" t="s">
        <v>134</v>
      </c>
      <c r="G1360" s="6">
        <v>44</v>
      </c>
      <c r="H1360" s="6">
        <v>9400</v>
      </c>
      <c r="I1360" s="6">
        <v>0</v>
      </c>
      <c r="J1360" s="6">
        <f t="shared" si="42"/>
        <v>413600</v>
      </c>
      <c r="K1360" s="6">
        <f t="shared" si="43"/>
        <v>413600</v>
      </c>
      <c r="L1360" s="8" t="s">
        <v>86</v>
      </c>
      <c r="M1360" s="8" t="s">
        <v>77</v>
      </c>
    </row>
    <row r="1361" spans="1:13" x14ac:dyDescent="0.25">
      <c r="A1361" s="9">
        <v>1334</v>
      </c>
      <c r="B1361" s="11" t="s">
        <v>532</v>
      </c>
      <c r="C1361" s="11" t="s">
        <v>108</v>
      </c>
      <c r="D1361" s="11" t="s">
        <v>109</v>
      </c>
      <c r="E1361" s="11" t="s">
        <v>111</v>
      </c>
      <c r="F1361" s="11" t="s">
        <v>112</v>
      </c>
      <c r="G1361" s="9">
        <v>6</v>
      </c>
      <c r="H1361" s="9">
        <v>66100</v>
      </c>
      <c r="I1361" s="9">
        <v>15</v>
      </c>
      <c r="J1361" s="9">
        <f t="shared" si="42"/>
        <v>396600</v>
      </c>
      <c r="K1361" s="9">
        <f t="shared" si="43"/>
        <v>337110</v>
      </c>
      <c r="L1361" s="11" t="s">
        <v>76</v>
      </c>
      <c r="M1361" s="11" t="s">
        <v>77</v>
      </c>
    </row>
    <row r="1362" spans="1:13" x14ac:dyDescent="0.25">
      <c r="A1362" s="6">
        <v>1335</v>
      </c>
      <c r="B1362" s="7">
        <v>45341</v>
      </c>
      <c r="C1362" s="8" t="s">
        <v>78</v>
      </c>
      <c r="D1362" s="8" t="s">
        <v>109</v>
      </c>
      <c r="E1362" s="8" t="s">
        <v>74</v>
      </c>
      <c r="F1362" s="8" t="s">
        <v>142</v>
      </c>
      <c r="G1362" s="6">
        <v>25</v>
      </c>
      <c r="H1362" s="6">
        <v>12500</v>
      </c>
      <c r="I1362" s="6">
        <v>5</v>
      </c>
      <c r="J1362" s="6">
        <f t="shared" si="42"/>
        <v>312500</v>
      </c>
      <c r="K1362" s="6">
        <f t="shared" si="43"/>
        <v>296875</v>
      </c>
      <c r="L1362" s="8" t="s">
        <v>86</v>
      </c>
      <c r="M1362" s="8" t="s">
        <v>77</v>
      </c>
    </row>
    <row r="1363" spans="1:13" x14ac:dyDescent="0.25">
      <c r="A1363" s="9">
        <v>1336</v>
      </c>
      <c r="B1363" s="10">
        <v>45596</v>
      </c>
      <c r="C1363" s="11" t="s">
        <v>114</v>
      </c>
      <c r="D1363" s="11" t="s">
        <v>83</v>
      </c>
      <c r="E1363" s="11" t="s">
        <v>79</v>
      </c>
      <c r="F1363" s="11" t="s">
        <v>179</v>
      </c>
      <c r="G1363" s="9">
        <v>48</v>
      </c>
      <c r="H1363" s="9">
        <v>2500</v>
      </c>
      <c r="I1363" s="9">
        <v>10</v>
      </c>
      <c r="J1363" s="9">
        <f t="shared" si="42"/>
        <v>120000</v>
      </c>
      <c r="K1363" s="9">
        <f t="shared" si="43"/>
        <v>108000</v>
      </c>
      <c r="L1363" s="11" t="s">
        <v>76</v>
      </c>
      <c r="M1363" s="11" t="s">
        <v>91</v>
      </c>
    </row>
    <row r="1364" spans="1:13" x14ac:dyDescent="0.25">
      <c r="A1364" s="6">
        <v>1337</v>
      </c>
      <c r="B1364" s="7">
        <v>45308</v>
      </c>
      <c r="C1364" s="8" t="s">
        <v>119</v>
      </c>
      <c r="D1364" s="8" t="s">
        <v>117</v>
      </c>
      <c r="E1364" s="8" t="s">
        <v>102</v>
      </c>
      <c r="F1364" s="8" t="s">
        <v>157</v>
      </c>
      <c r="G1364" s="6">
        <v>12</v>
      </c>
      <c r="H1364" s="6">
        <v>11100</v>
      </c>
      <c r="I1364" s="6">
        <v>20</v>
      </c>
      <c r="J1364" s="6">
        <f t="shared" si="42"/>
        <v>133200</v>
      </c>
      <c r="K1364" s="6">
        <f t="shared" si="43"/>
        <v>106560</v>
      </c>
      <c r="L1364" s="8" t="s">
        <v>125</v>
      </c>
      <c r="M1364" s="8" t="s">
        <v>91</v>
      </c>
    </row>
    <row r="1365" spans="1:13" x14ac:dyDescent="0.25">
      <c r="A1365" s="9">
        <v>1338</v>
      </c>
      <c r="B1365" s="10">
        <v>45617</v>
      </c>
      <c r="C1365" s="11" t="s">
        <v>97</v>
      </c>
      <c r="D1365" s="11" t="s">
        <v>109</v>
      </c>
      <c r="E1365" s="11" t="s">
        <v>79</v>
      </c>
      <c r="F1365" s="11" t="s">
        <v>120</v>
      </c>
      <c r="G1365" s="9">
        <v>46</v>
      </c>
      <c r="H1365" s="9">
        <v>6800</v>
      </c>
      <c r="I1365" s="9">
        <v>10</v>
      </c>
      <c r="J1365" s="9">
        <f t="shared" si="42"/>
        <v>312800</v>
      </c>
      <c r="K1365" s="9">
        <f t="shared" si="43"/>
        <v>281520</v>
      </c>
      <c r="L1365" s="11" t="s">
        <v>76</v>
      </c>
      <c r="M1365" s="11" t="s">
        <v>81</v>
      </c>
    </row>
    <row r="1366" spans="1:13" x14ac:dyDescent="0.25">
      <c r="A1366" s="6">
        <v>1339</v>
      </c>
      <c r="B1366" s="7">
        <v>45556</v>
      </c>
      <c r="C1366" s="8" t="s">
        <v>194</v>
      </c>
      <c r="D1366" s="8" t="s">
        <v>83</v>
      </c>
      <c r="E1366" s="8" t="s">
        <v>79</v>
      </c>
      <c r="F1366" s="8" t="s">
        <v>172</v>
      </c>
      <c r="G1366" s="6">
        <v>8</v>
      </c>
      <c r="H1366" s="6">
        <v>24300</v>
      </c>
      <c r="I1366" s="6">
        <v>0</v>
      </c>
      <c r="J1366" s="6">
        <f t="shared" si="42"/>
        <v>194400</v>
      </c>
      <c r="K1366" s="6">
        <f t="shared" si="43"/>
        <v>194400</v>
      </c>
      <c r="L1366" s="8" t="s">
        <v>107</v>
      </c>
      <c r="M1366" s="8" t="s">
        <v>91</v>
      </c>
    </row>
    <row r="1367" spans="1:13" x14ac:dyDescent="0.25">
      <c r="A1367" s="9">
        <v>1340</v>
      </c>
      <c r="B1367" s="10">
        <v>44978</v>
      </c>
      <c r="C1367" s="11" t="s">
        <v>124</v>
      </c>
      <c r="D1367" s="11" t="s">
        <v>117</v>
      </c>
      <c r="E1367" s="11" t="s">
        <v>74</v>
      </c>
      <c r="F1367" s="11" t="s">
        <v>140</v>
      </c>
      <c r="G1367" s="9">
        <v>19</v>
      </c>
      <c r="H1367" s="9">
        <v>4400</v>
      </c>
      <c r="I1367" s="9">
        <v>10</v>
      </c>
      <c r="J1367" s="9">
        <f t="shared" si="42"/>
        <v>83600</v>
      </c>
      <c r="K1367" s="9">
        <f t="shared" si="43"/>
        <v>75240</v>
      </c>
      <c r="L1367" s="11" t="s">
        <v>86</v>
      </c>
      <c r="M1367" s="11" t="s">
        <v>77</v>
      </c>
    </row>
    <row r="1368" spans="1:13" x14ac:dyDescent="0.25">
      <c r="A1368" s="6">
        <v>1341</v>
      </c>
      <c r="B1368" s="7">
        <v>45200</v>
      </c>
      <c r="C1368" s="8" t="s">
        <v>290</v>
      </c>
      <c r="D1368" s="8" t="s">
        <v>117</v>
      </c>
      <c r="E1368" s="8" t="s">
        <v>74</v>
      </c>
      <c r="F1368" s="8" t="s">
        <v>140</v>
      </c>
      <c r="G1368" s="6">
        <v>21</v>
      </c>
      <c r="H1368" s="6">
        <v>4100</v>
      </c>
      <c r="I1368" s="6">
        <v>10</v>
      </c>
      <c r="J1368" s="6">
        <f t="shared" si="42"/>
        <v>86100</v>
      </c>
      <c r="K1368" s="6">
        <f t="shared" si="43"/>
        <v>77490</v>
      </c>
      <c r="L1368" s="8" t="s">
        <v>76</v>
      </c>
      <c r="M1368" s="8" t="s">
        <v>77</v>
      </c>
    </row>
    <row r="1369" spans="1:13" x14ac:dyDescent="0.25">
      <c r="A1369" s="9">
        <v>1342</v>
      </c>
      <c r="B1369" s="10">
        <v>45041</v>
      </c>
      <c r="C1369" s="11" t="s">
        <v>88</v>
      </c>
      <c r="D1369" s="11" t="s">
        <v>73</v>
      </c>
      <c r="E1369" s="11" t="s">
        <v>102</v>
      </c>
      <c r="F1369" s="11" t="s">
        <v>151</v>
      </c>
      <c r="G1369" s="9">
        <v>6</v>
      </c>
      <c r="H1369" s="9">
        <v>7200</v>
      </c>
      <c r="I1369" s="9">
        <v>15</v>
      </c>
      <c r="J1369" s="9">
        <f t="shared" si="42"/>
        <v>43200</v>
      </c>
      <c r="K1369" s="9">
        <f t="shared" si="43"/>
        <v>36720</v>
      </c>
      <c r="L1369" s="11" t="s">
        <v>76</v>
      </c>
      <c r="M1369" s="11" t="s">
        <v>81</v>
      </c>
    </row>
    <row r="1370" spans="1:13" x14ac:dyDescent="0.25">
      <c r="A1370" s="6">
        <v>1343</v>
      </c>
      <c r="B1370" s="7">
        <v>45075</v>
      </c>
      <c r="C1370" s="8" t="s">
        <v>119</v>
      </c>
      <c r="D1370" s="8" t="s">
        <v>83</v>
      </c>
      <c r="E1370" s="8" t="s">
        <v>74</v>
      </c>
      <c r="F1370" s="8" t="s">
        <v>212</v>
      </c>
      <c r="G1370" s="6">
        <v>45</v>
      </c>
      <c r="H1370" s="6">
        <v>9100</v>
      </c>
      <c r="I1370" s="6">
        <v>0</v>
      </c>
      <c r="J1370" s="6">
        <f t="shared" si="42"/>
        <v>409500</v>
      </c>
      <c r="K1370" s="6">
        <f t="shared" si="43"/>
        <v>409500</v>
      </c>
      <c r="L1370" s="8" t="s">
        <v>76</v>
      </c>
      <c r="M1370" s="8" t="s">
        <v>91</v>
      </c>
    </row>
    <row r="1371" spans="1:13" x14ac:dyDescent="0.25">
      <c r="A1371" s="9">
        <v>1344</v>
      </c>
      <c r="B1371" s="10">
        <v>45005</v>
      </c>
      <c r="C1371" s="11" t="s">
        <v>282</v>
      </c>
      <c r="D1371" s="11" t="s">
        <v>117</v>
      </c>
      <c r="E1371" s="11" t="s">
        <v>79</v>
      </c>
      <c r="F1371" s="11" t="s">
        <v>122</v>
      </c>
      <c r="G1371" s="9">
        <v>47</v>
      </c>
      <c r="H1371" s="9">
        <v>18900</v>
      </c>
      <c r="I1371" s="9">
        <v>5</v>
      </c>
      <c r="J1371" s="9">
        <f t="shared" si="42"/>
        <v>888300</v>
      </c>
      <c r="K1371" s="9">
        <f t="shared" si="43"/>
        <v>843885</v>
      </c>
      <c r="L1371" s="11" t="s">
        <v>76</v>
      </c>
      <c r="M1371" s="11" t="s">
        <v>77</v>
      </c>
    </row>
    <row r="1372" spans="1:13" x14ac:dyDescent="0.25">
      <c r="A1372" s="6">
        <v>1345</v>
      </c>
      <c r="B1372" s="7">
        <v>45451</v>
      </c>
      <c r="C1372" s="8" t="s">
        <v>97</v>
      </c>
      <c r="D1372" s="8" t="s">
        <v>117</v>
      </c>
      <c r="E1372" s="8" t="s">
        <v>74</v>
      </c>
      <c r="F1372" s="8" t="s">
        <v>140</v>
      </c>
      <c r="G1372" s="6">
        <v>12</v>
      </c>
      <c r="H1372" s="6">
        <v>4500</v>
      </c>
      <c r="I1372" s="6">
        <v>15</v>
      </c>
      <c r="J1372" s="6">
        <f t="shared" si="42"/>
        <v>54000</v>
      </c>
      <c r="K1372" s="6">
        <f t="shared" si="43"/>
        <v>45900</v>
      </c>
      <c r="L1372" s="8" t="s">
        <v>125</v>
      </c>
      <c r="M1372" s="8" t="s">
        <v>96</v>
      </c>
    </row>
    <row r="1373" spans="1:13" x14ac:dyDescent="0.25">
      <c r="A1373" s="9">
        <v>1346</v>
      </c>
      <c r="B1373" s="10">
        <v>45595</v>
      </c>
      <c r="C1373" s="11" t="s">
        <v>97</v>
      </c>
      <c r="D1373" s="11" t="s">
        <v>83</v>
      </c>
      <c r="E1373" s="11" t="s">
        <v>79</v>
      </c>
      <c r="F1373" s="11" t="s">
        <v>80</v>
      </c>
      <c r="G1373" s="9">
        <v>20</v>
      </c>
      <c r="H1373" s="9">
        <v>8900</v>
      </c>
      <c r="I1373" s="9">
        <v>15</v>
      </c>
      <c r="J1373" s="9">
        <f t="shared" si="42"/>
        <v>178000</v>
      </c>
      <c r="K1373" s="9">
        <f t="shared" si="43"/>
        <v>151300</v>
      </c>
      <c r="L1373" s="11" t="s">
        <v>76</v>
      </c>
      <c r="M1373" s="11" t="s">
        <v>81</v>
      </c>
    </row>
    <row r="1374" spans="1:13" x14ac:dyDescent="0.25">
      <c r="A1374" s="6">
        <v>1347</v>
      </c>
      <c r="B1374" s="7">
        <v>44977</v>
      </c>
      <c r="C1374" s="8" t="s">
        <v>88</v>
      </c>
      <c r="D1374" s="8" t="s">
        <v>93</v>
      </c>
      <c r="E1374" s="8" t="s">
        <v>111</v>
      </c>
      <c r="F1374" s="8" t="s">
        <v>156</v>
      </c>
      <c r="G1374" s="6">
        <v>28</v>
      </c>
      <c r="H1374" s="6">
        <v>45800</v>
      </c>
      <c r="I1374" s="6">
        <v>0</v>
      </c>
      <c r="J1374" s="6">
        <f t="shared" si="42"/>
        <v>1282400</v>
      </c>
      <c r="K1374" s="6">
        <f t="shared" si="43"/>
        <v>1282400</v>
      </c>
      <c r="L1374" s="8" t="s">
        <v>76</v>
      </c>
      <c r="M1374" s="8" t="s">
        <v>81</v>
      </c>
    </row>
    <row r="1375" spans="1:13" x14ac:dyDescent="0.25">
      <c r="A1375" s="9">
        <v>1348</v>
      </c>
      <c r="B1375" s="10">
        <v>45440</v>
      </c>
      <c r="C1375" s="11" t="s">
        <v>78</v>
      </c>
      <c r="D1375" s="11" t="s">
        <v>93</v>
      </c>
      <c r="E1375" s="11" t="s">
        <v>111</v>
      </c>
      <c r="F1375" s="11" t="s">
        <v>166</v>
      </c>
      <c r="G1375" s="9">
        <v>18</v>
      </c>
      <c r="H1375" s="9">
        <v>29900</v>
      </c>
      <c r="I1375" s="9">
        <v>0</v>
      </c>
      <c r="J1375" s="9">
        <f t="shared" si="42"/>
        <v>538200</v>
      </c>
      <c r="K1375" s="9">
        <f t="shared" si="43"/>
        <v>538200</v>
      </c>
      <c r="L1375" s="11" t="s">
        <v>76</v>
      </c>
      <c r="M1375" s="11" t="s">
        <v>81</v>
      </c>
    </row>
    <row r="1376" spans="1:13" x14ac:dyDescent="0.25">
      <c r="A1376" s="6">
        <v>1349</v>
      </c>
      <c r="B1376" s="7">
        <v>45351</v>
      </c>
      <c r="C1376" s="8" t="s">
        <v>108</v>
      </c>
      <c r="D1376" s="8" t="s">
        <v>117</v>
      </c>
      <c r="E1376" s="8" t="s">
        <v>74</v>
      </c>
      <c r="F1376" s="8" t="s">
        <v>99</v>
      </c>
      <c r="G1376" s="6">
        <v>41</v>
      </c>
      <c r="H1376" s="6">
        <v>3700</v>
      </c>
      <c r="I1376" s="6">
        <v>0</v>
      </c>
      <c r="J1376" s="6">
        <f t="shared" si="42"/>
        <v>151700</v>
      </c>
      <c r="K1376" s="6">
        <f t="shared" si="43"/>
        <v>151700</v>
      </c>
      <c r="L1376" s="8" t="s">
        <v>76</v>
      </c>
      <c r="M1376" s="8" t="s">
        <v>81</v>
      </c>
    </row>
    <row r="1377" spans="1:13" x14ac:dyDescent="0.25">
      <c r="A1377" s="9">
        <v>1350</v>
      </c>
      <c r="B1377" s="10">
        <v>44945</v>
      </c>
      <c r="C1377" s="11" t="s">
        <v>88</v>
      </c>
      <c r="D1377" s="11" t="s">
        <v>109</v>
      </c>
      <c r="E1377" s="11" t="s">
        <v>79</v>
      </c>
      <c r="F1377" s="11" t="s">
        <v>179</v>
      </c>
      <c r="G1377" s="9">
        <v>39</v>
      </c>
      <c r="H1377" s="9">
        <v>2700</v>
      </c>
      <c r="I1377" s="9">
        <v>15</v>
      </c>
      <c r="J1377" s="9">
        <f t="shared" si="42"/>
        <v>105300</v>
      </c>
      <c r="K1377" s="9">
        <f t="shared" si="43"/>
        <v>89505</v>
      </c>
      <c r="L1377" s="11" t="s">
        <v>86</v>
      </c>
      <c r="M1377" s="11" t="s">
        <v>91</v>
      </c>
    </row>
    <row r="1378" spans="1:13" x14ac:dyDescent="0.25">
      <c r="A1378" s="6">
        <v>1351</v>
      </c>
      <c r="B1378" s="7">
        <v>45536</v>
      </c>
      <c r="C1378" s="8" t="s">
        <v>88</v>
      </c>
      <c r="D1378" s="8" t="s">
        <v>93</v>
      </c>
      <c r="E1378" s="8" t="s">
        <v>111</v>
      </c>
      <c r="F1378" s="8" t="s">
        <v>159</v>
      </c>
      <c r="G1378" s="6">
        <v>1</v>
      </c>
      <c r="H1378" s="6">
        <v>13600</v>
      </c>
      <c r="I1378" s="6">
        <v>0</v>
      </c>
      <c r="J1378" s="6">
        <f t="shared" si="42"/>
        <v>13600</v>
      </c>
      <c r="K1378" s="6">
        <f t="shared" si="43"/>
        <v>13600</v>
      </c>
      <c r="L1378" s="8" t="s">
        <v>129</v>
      </c>
      <c r="M1378" s="8" t="s">
        <v>96</v>
      </c>
    </row>
    <row r="1379" spans="1:13" x14ac:dyDescent="0.25">
      <c r="A1379" s="9">
        <v>1352</v>
      </c>
      <c r="B1379" s="10">
        <v>45382</v>
      </c>
      <c r="C1379" s="11" t="s">
        <v>108</v>
      </c>
      <c r="D1379" s="11" t="s">
        <v>83</v>
      </c>
      <c r="E1379" s="11" t="s">
        <v>111</v>
      </c>
      <c r="F1379" s="11" t="s">
        <v>156</v>
      </c>
      <c r="G1379" s="9">
        <v>11</v>
      </c>
      <c r="H1379" s="9">
        <v>43400</v>
      </c>
      <c r="I1379" s="9">
        <v>5</v>
      </c>
      <c r="J1379" s="9">
        <f t="shared" si="42"/>
        <v>477400</v>
      </c>
      <c r="K1379" s="9">
        <f t="shared" si="43"/>
        <v>453530</v>
      </c>
      <c r="L1379" s="11" t="s">
        <v>86</v>
      </c>
      <c r="M1379" s="11" t="s">
        <v>96</v>
      </c>
    </row>
    <row r="1380" spans="1:13" x14ac:dyDescent="0.25">
      <c r="A1380" s="6">
        <v>1353</v>
      </c>
      <c r="B1380" s="7">
        <v>44960</v>
      </c>
      <c r="C1380" s="8" t="s">
        <v>124</v>
      </c>
      <c r="D1380" s="8" t="s">
        <v>73</v>
      </c>
      <c r="E1380" s="8" t="s">
        <v>111</v>
      </c>
      <c r="F1380" s="8" t="s">
        <v>132</v>
      </c>
      <c r="G1380" s="6">
        <v>48</v>
      </c>
      <c r="H1380" s="6">
        <v>6900</v>
      </c>
      <c r="I1380" s="6">
        <v>0</v>
      </c>
      <c r="J1380" s="6">
        <f t="shared" si="42"/>
        <v>331200</v>
      </c>
      <c r="K1380" s="6">
        <f t="shared" si="43"/>
        <v>331200</v>
      </c>
      <c r="L1380" s="8" t="s">
        <v>218</v>
      </c>
      <c r="M1380" s="8" t="s">
        <v>96</v>
      </c>
    </row>
    <row r="1381" spans="1:13" x14ac:dyDescent="0.25">
      <c r="A1381" s="9">
        <v>1354</v>
      </c>
      <c r="B1381" s="10">
        <v>45225</v>
      </c>
      <c r="C1381" s="11" t="s">
        <v>88</v>
      </c>
      <c r="D1381" s="11" t="s">
        <v>83</v>
      </c>
      <c r="E1381" s="11" t="s">
        <v>111</v>
      </c>
      <c r="F1381" s="11" t="s">
        <v>192</v>
      </c>
      <c r="G1381" s="9">
        <v>38</v>
      </c>
      <c r="H1381" s="9">
        <v>89200</v>
      </c>
      <c r="I1381" s="9">
        <v>10</v>
      </c>
      <c r="J1381" s="9">
        <f t="shared" si="42"/>
        <v>3389600</v>
      </c>
      <c r="K1381" s="9">
        <f t="shared" si="43"/>
        <v>3050640</v>
      </c>
      <c r="L1381" s="11" t="s">
        <v>229</v>
      </c>
      <c r="M1381" s="11"/>
    </row>
    <row r="1382" spans="1:13" x14ac:dyDescent="0.25">
      <c r="A1382" s="6">
        <v>1355</v>
      </c>
      <c r="B1382" s="8" t="s">
        <v>533</v>
      </c>
      <c r="C1382" s="8" t="s">
        <v>114</v>
      </c>
      <c r="D1382" s="8" t="s">
        <v>73</v>
      </c>
      <c r="E1382" s="8" t="s">
        <v>74</v>
      </c>
      <c r="F1382" s="8" t="s">
        <v>99</v>
      </c>
      <c r="G1382" s="6">
        <v>25</v>
      </c>
      <c r="H1382" s="6">
        <v>4000</v>
      </c>
      <c r="I1382" s="6">
        <v>5</v>
      </c>
      <c r="J1382" s="6">
        <f t="shared" si="42"/>
        <v>100000</v>
      </c>
      <c r="K1382" s="6">
        <f t="shared" si="43"/>
        <v>95000</v>
      </c>
      <c r="L1382" s="8" t="s">
        <v>107</v>
      </c>
      <c r="M1382" s="8" t="s">
        <v>81</v>
      </c>
    </row>
    <row r="1383" spans="1:13" x14ac:dyDescent="0.25">
      <c r="A1383" s="9">
        <v>1356</v>
      </c>
      <c r="B1383" s="10">
        <v>45548</v>
      </c>
      <c r="C1383" s="11" t="s">
        <v>97</v>
      </c>
      <c r="D1383" s="11" t="s">
        <v>73</v>
      </c>
      <c r="E1383" s="11" t="s">
        <v>111</v>
      </c>
      <c r="F1383" s="11" t="s">
        <v>156</v>
      </c>
      <c r="G1383" s="9">
        <v>8</v>
      </c>
      <c r="H1383" s="9">
        <v>40000</v>
      </c>
      <c r="I1383" s="9">
        <v>20</v>
      </c>
      <c r="J1383" s="9">
        <f t="shared" si="42"/>
        <v>320000</v>
      </c>
      <c r="K1383" s="9">
        <f t="shared" si="43"/>
        <v>256000</v>
      </c>
      <c r="L1383" s="11" t="s">
        <v>76</v>
      </c>
      <c r="M1383" s="11" t="s">
        <v>81</v>
      </c>
    </row>
    <row r="1384" spans="1:13" x14ac:dyDescent="0.25">
      <c r="A1384" s="6">
        <v>1357</v>
      </c>
      <c r="B1384" s="7">
        <v>45089</v>
      </c>
      <c r="C1384" s="8" t="s">
        <v>114</v>
      </c>
      <c r="D1384" s="8" t="s">
        <v>93</v>
      </c>
      <c r="E1384" s="8" t="s">
        <v>111</v>
      </c>
      <c r="F1384" s="8" t="s">
        <v>132</v>
      </c>
      <c r="G1384" s="6">
        <v>27</v>
      </c>
      <c r="H1384" s="6">
        <v>8200</v>
      </c>
      <c r="I1384" s="6">
        <v>0</v>
      </c>
      <c r="J1384" s="6">
        <f t="shared" si="42"/>
        <v>221400</v>
      </c>
      <c r="K1384" s="6">
        <f t="shared" si="43"/>
        <v>221400</v>
      </c>
      <c r="L1384" s="8" t="s">
        <v>107</v>
      </c>
      <c r="M1384" s="8" t="s">
        <v>96</v>
      </c>
    </row>
    <row r="1385" spans="1:13" x14ac:dyDescent="0.25">
      <c r="A1385" s="9">
        <v>1358</v>
      </c>
      <c r="B1385" s="10">
        <v>45298</v>
      </c>
      <c r="C1385" s="11" t="s">
        <v>216</v>
      </c>
      <c r="D1385" s="11" t="s">
        <v>117</v>
      </c>
      <c r="E1385" s="11" t="s">
        <v>102</v>
      </c>
      <c r="F1385" s="11" t="s">
        <v>151</v>
      </c>
      <c r="G1385" s="9">
        <v>26</v>
      </c>
      <c r="H1385" s="9">
        <v>7200</v>
      </c>
      <c r="I1385" s="9">
        <v>0</v>
      </c>
      <c r="J1385" s="9">
        <f t="shared" si="42"/>
        <v>187200</v>
      </c>
      <c r="K1385" s="9">
        <f t="shared" si="43"/>
        <v>187200</v>
      </c>
      <c r="L1385" s="11" t="s">
        <v>76</v>
      </c>
      <c r="M1385" s="11" t="s">
        <v>91</v>
      </c>
    </row>
    <row r="1386" spans="1:13" x14ac:dyDescent="0.25">
      <c r="A1386" s="6">
        <v>1359</v>
      </c>
      <c r="B1386" s="7">
        <v>45387</v>
      </c>
      <c r="C1386" s="8" t="s">
        <v>108</v>
      </c>
      <c r="D1386" s="8" t="s">
        <v>109</v>
      </c>
      <c r="E1386" s="8" t="s">
        <v>111</v>
      </c>
      <c r="F1386" s="8" t="s">
        <v>135</v>
      </c>
      <c r="G1386" s="6">
        <v>22</v>
      </c>
      <c r="H1386" s="6">
        <v>103600</v>
      </c>
      <c r="I1386" s="6">
        <v>15</v>
      </c>
      <c r="J1386" s="6">
        <f t="shared" si="42"/>
        <v>2279200</v>
      </c>
      <c r="K1386" s="6">
        <f t="shared" si="43"/>
        <v>1937320</v>
      </c>
      <c r="L1386" s="8" t="s">
        <v>86</v>
      </c>
      <c r="M1386" s="8" t="s">
        <v>81</v>
      </c>
    </row>
    <row r="1387" spans="1:13" x14ac:dyDescent="0.25">
      <c r="A1387" s="9">
        <v>1360</v>
      </c>
      <c r="B1387" s="10">
        <v>45027</v>
      </c>
      <c r="C1387" s="11" t="s">
        <v>114</v>
      </c>
      <c r="D1387" s="11" t="s">
        <v>93</v>
      </c>
      <c r="E1387" s="11" t="s">
        <v>111</v>
      </c>
      <c r="F1387" s="11" t="s">
        <v>165</v>
      </c>
      <c r="G1387" s="9">
        <v>41</v>
      </c>
      <c r="H1387" s="9">
        <v>18000</v>
      </c>
      <c r="I1387" s="9">
        <v>0</v>
      </c>
      <c r="J1387" s="9">
        <f t="shared" si="42"/>
        <v>738000</v>
      </c>
      <c r="K1387" s="9">
        <f t="shared" si="43"/>
        <v>738000</v>
      </c>
      <c r="L1387" s="11" t="s">
        <v>164</v>
      </c>
      <c r="M1387" s="11" t="s">
        <v>81</v>
      </c>
    </row>
    <row r="1388" spans="1:13" x14ac:dyDescent="0.25">
      <c r="A1388" s="6">
        <v>1361</v>
      </c>
      <c r="B1388" s="8" t="s">
        <v>534</v>
      </c>
      <c r="C1388" s="8" t="s">
        <v>124</v>
      </c>
      <c r="D1388" s="8" t="s">
        <v>284</v>
      </c>
      <c r="E1388" s="8" t="s">
        <v>79</v>
      </c>
      <c r="F1388" s="8" t="s">
        <v>115</v>
      </c>
      <c r="G1388" s="6">
        <v>21</v>
      </c>
      <c r="H1388" s="6">
        <v>10200</v>
      </c>
      <c r="I1388" s="6">
        <v>10</v>
      </c>
      <c r="J1388" s="6">
        <f t="shared" si="42"/>
        <v>214200</v>
      </c>
      <c r="K1388" s="6">
        <f t="shared" si="43"/>
        <v>192780</v>
      </c>
      <c r="L1388" s="8" t="s">
        <v>76</v>
      </c>
      <c r="M1388" s="8" t="s">
        <v>81</v>
      </c>
    </row>
    <row r="1389" spans="1:13" x14ac:dyDescent="0.25">
      <c r="A1389" s="9">
        <v>1362</v>
      </c>
      <c r="B1389" s="10">
        <v>45567</v>
      </c>
      <c r="C1389" s="11" t="s">
        <v>119</v>
      </c>
      <c r="D1389" s="11" t="s">
        <v>127</v>
      </c>
      <c r="E1389" s="11" t="s">
        <v>74</v>
      </c>
      <c r="F1389" s="11" t="s">
        <v>94</v>
      </c>
      <c r="G1389" s="9">
        <v>42</v>
      </c>
      <c r="H1389" s="9">
        <v>38000</v>
      </c>
      <c r="I1389" s="9">
        <v>20</v>
      </c>
      <c r="J1389" s="9">
        <f t="shared" si="42"/>
        <v>1596000</v>
      </c>
      <c r="K1389" s="9">
        <f t="shared" si="43"/>
        <v>1276800</v>
      </c>
      <c r="L1389" s="11" t="s">
        <v>76</v>
      </c>
      <c r="M1389" s="11" t="s">
        <v>81</v>
      </c>
    </row>
    <row r="1390" spans="1:13" x14ac:dyDescent="0.25">
      <c r="A1390" s="6">
        <v>1363</v>
      </c>
      <c r="B1390" s="7">
        <v>45092</v>
      </c>
      <c r="C1390" s="8" t="s">
        <v>119</v>
      </c>
      <c r="D1390" s="8" t="s">
        <v>117</v>
      </c>
      <c r="E1390" s="8" t="s">
        <v>84</v>
      </c>
      <c r="F1390" s="8" t="s">
        <v>128</v>
      </c>
      <c r="G1390" s="6">
        <v>46</v>
      </c>
      <c r="H1390" s="6" t="s">
        <v>535</v>
      </c>
      <c r="I1390" s="6">
        <v>0</v>
      </c>
      <c r="J1390" s="6" t="e">
        <f t="shared" si="42"/>
        <v>#VALUE!</v>
      </c>
      <c r="K1390" s="6" t="e">
        <f t="shared" si="43"/>
        <v>#VALUE!</v>
      </c>
      <c r="L1390" s="8" t="s">
        <v>107</v>
      </c>
      <c r="M1390" s="8" t="s">
        <v>96</v>
      </c>
    </row>
    <row r="1391" spans="1:13" x14ac:dyDescent="0.25">
      <c r="A1391" s="9">
        <v>1364</v>
      </c>
      <c r="B1391" s="10">
        <v>45227</v>
      </c>
      <c r="C1391" s="11" t="s">
        <v>97</v>
      </c>
      <c r="D1391" s="11" t="s">
        <v>73</v>
      </c>
      <c r="E1391" s="11" t="s">
        <v>84</v>
      </c>
      <c r="F1391" s="11" t="s">
        <v>85</v>
      </c>
      <c r="G1391" s="9">
        <v>44</v>
      </c>
      <c r="H1391" s="9">
        <v>5500</v>
      </c>
      <c r="I1391" s="9">
        <v>20</v>
      </c>
      <c r="J1391" s="9">
        <f t="shared" si="42"/>
        <v>242000</v>
      </c>
      <c r="K1391" s="9">
        <f t="shared" si="43"/>
        <v>193600</v>
      </c>
      <c r="L1391" s="11" t="s">
        <v>76</v>
      </c>
      <c r="M1391" s="11" t="s">
        <v>81</v>
      </c>
    </row>
    <row r="1392" spans="1:13" x14ac:dyDescent="0.25">
      <c r="A1392" s="6">
        <v>1365</v>
      </c>
      <c r="B1392" s="7">
        <v>45108</v>
      </c>
      <c r="C1392" s="8" t="s">
        <v>119</v>
      </c>
      <c r="D1392" s="8" t="s">
        <v>93</v>
      </c>
      <c r="E1392" s="8" t="s">
        <v>79</v>
      </c>
      <c r="F1392" s="8" t="s">
        <v>120</v>
      </c>
      <c r="G1392" s="6">
        <v>11</v>
      </c>
      <c r="H1392" s="6">
        <v>6700</v>
      </c>
      <c r="I1392" s="6">
        <v>0</v>
      </c>
      <c r="J1392" s="6">
        <f t="shared" si="42"/>
        <v>73700</v>
      </c>
      <c r="K1392" s="6">
        <f t="shared" si="43"/>
        <v>73700</v>
      </c>
      <c r="L1392" s="8" t="s">
        <v>76</v>
      </c>
      <c r="M1392" s="8" t="s">
        <v>77</v>
      </c>
    </row>
    <row r="1393" spans="1:13" x14ac:dyDescent="0.25">
      <c r="A1393" s="9">
        <v>1366</v>
      </c>
      <c r="B1393" s="10">
        <v>44960</v>
      </c>
      <c r="C1393" s="11" t="s">
        <v>114</v>
      </c>
      <c r="D1393" s="11" t="s">
        <v>93</v>
      </c>
      <c r="E1393" s="11" t="s">
        <v>111</v>
      </c>
      <c r="F1393" s="11" t="s">
        <v>165</v>
      </c>
      <c r="G1393" s="9">
        <v>27</v>
      </c>
      <c r="H1393" s="9">
        <v>16500</v>
      </c>
      <c r="I1393" s="9">
        <v>15</v>
      </c>
      <c r="J1393" s="9">
        <f t="shared" si="42"/>
        <v>445500</v>
      </c>
      <c r="K1393" s="9">
        <f t="shared" si="43"/>
        <v>378675</v>
      </c>
      <c r="L1393" s="11" t="s">
        <v>125</v>
      </c>
      <c r="M1393" s="11"/>
    </row>
    <row r="1394" spans="1:13" x14ac:dyDescent="0.25">
      <c r="A1394" s="6">
        <v>1367</v>
      </c>
      <c r="B1394" s="7">
        <v>45548</v>
      </c>
      <c r="C1394" s="8" t="s">
        <v>82</v>
      </c>
      <c r="D1394" s="8" t="s">
        <v>73</v>
      </c>
      <c r="E1394" s="8" t="s">
        <v>111</v>
      </c>
      <c r="F1394" s="8" t="s">
        <v>159</v>
      </c>
      <c r="G1394" s="6">
        <v>4</v>
      </c>
      <c r="H1394" s="6">
        <v>13300</v>
      </c>
      <c r="I1394" s="6">
        <v>20</v>
      </c>
      <c r="J1394" s="6">
        <f t="shared" si="42"/>
        <v>53200</v>
      </c>
      <c r="K1394" s="6">
        <f t="shared" si="43"/>
        <v>42560</v>
      </c>
      <c r="L1394" s="8" t="s">
        <v>76</v>
      </c>
      <c r="M1394" s="8" t="s">
        <v>91</v>
      </c>
    </row>
    <row r="1395" spans="1:13" x14ac:dyDescent="0.25">
      <c r="A1395" s="9">
        <v>1368</v>
      </c>
      <c r="B1395" s="10">
        <v>44967</v>
      </c>
      <c r="C1395" s="11" t="s">
        <v>88</v>
      </c>
      <c r="D1395" s="11" t="s">
        <v>83</v>
      </c>
      <c r="E1395" s="11" t="s">
        <v>102</v>
      </c>
      <c r="F1395" s="11" t="s">
        <v>197</v>
      </c>
      <c r="G1395" s="9">
        <v>8</v>
      </c>
      <c r="H1395" s="9">
        <v>3800</v>
      </c>
      <c r="I1395" s="9">
        <v>20</v>
      </c>
      <c r="J1395" s="9">
        <f t="shared" si="42"/>
        <v>30400</v>
      </c>
      <c r="K1395" s="9">
        <f t="shared" si="43"/>
        <v>24320</v>
      </c>
      <c r="L1395" s="11" t="s">
        <v>76</v>
      </c>
      <c r="M1395" s="11" t="s">
        <v>96</v>
      </c>
    </row>
    <row r="1396" spans="1:13" x14ac:dyDescent="0.25">
      <c r="A1396" s="6">
        <v>1369</v>
      </c>
      <c r="B1396" s="7">
        <v>45520</v>
      </c>
      <c r="C1396" s="8" t="s">
        <v>97</v>
      </c>
      <c r="D1396" s="8" t="s">
        <v>109</v>
      </c>
      <c r="E1396" s="8" t="s">
        <v>74</v>
      </c>
      <c r="F1396" s="8" t="s">
        <v>140</v>
      </c>
      <c r="G1396" s="6">
        <v>10</v>
      </c>
      <c r="H1396" s="6">
        <v>4800</v>
      </c>
      <c r="I1396" s="6"/>
      <c r="J1396" s="6">
        <f t="shared" si="42"/>
        <v>48000</v>
      </c>
      <c r="K1396" s="6">
        <f t="shared" si="43"/>
        <v>48000</v>
      </c>
      <c r="L1396" s="8" t="s">
        <v>107</v>
      </c>
      <c r="M1396" s="8" t="s">
        <v>91</v>
      </c>
    </row>
    <row r="1397" spans="1:13" x14ac:dyDescent="0.25">
      <c r="A1397" s="9">
        <v>1370</v>
      </c>
      <c r="B1397" s="10">
        <v>45197</v>
      </c>
      <c r="C1397" s="11" t="s">
        <v>97</v>
      </c>
      <c r="D1397" s="11" t="s">
        <v>117</v>
      </c>
      <c r="E1397" s="11" t="s">
        <v>79</v>
      </c>
      <c r="F1397" s="11" t="s">
        <v>172</v>
      </c>
      <c r="G1397" s="9">
        <v>32</v>
      </c>
      <c r="H1397" s="9">
        <v>28100</v>
      </c>
      <c r="I1397" s="9">
        <v>0</v>
      </c>
      <c r="J1397" s="9">
        <f t="shared" si="42"/>
        <v>899200</v>
      </c>
      <c r="K1397" s="9">
        <f t="shared" si="43"/>
        <v>899200</v>
      </c>
      <c r="L1397" s="11" t="s">
        <v>86</v>
      </c>
      <c r="M1397" s="11" t="s">
        <v>96</v>
      </c>
    </row>
    <row r="1398" spans="1:13" x14ac:dyDescent="0.25">
      <c r="A1398" s="6">
        <v>1371</v>
      </c>
      <c r="B1398" s="7">
        <v>45229</v>
      </c>
      <c r="C1398" s="8" t="s">
        <v>119</v>
      </c>
      <c r="D1398" s="8" t="s">
        <v>117</v>
      </c>
      <c r="E1398" s="8" t="s">
        <v>111</v>
      </c>
      <c r="F1398" s="8" t="s">
        <v>135</v>
      </c>
      <c r="G1398" s="6">
        <v>39</v>
      </c>
      <c r="H1398" s="6">
        <v>119800</v>
      </c>
      <c r="I1398" s="6">
        <v>0</v>
      </c>
      <c r="J1398" s="6">
        <f t="shared" si="42"/>
        <v>4672200</v>
      </c>
      <c r="K1398" s="6">
        <f t="shared" si="43"/>
        <v>4672200</v>
      </c>
      <c r="L1398" s="8" t="s">
        <v>76</v>
      </c>
      <c r="M1398" s="8" t="s">
        <v>81</v>
      </c>
    </row>
    <row r="1399" spans="1:13" x14ac:dyDescent="0.25">
      <c r="A1399" s="9">
        <v>1372</v>
      </c>
      <c r="B1399" s="10">
        <v>45461</v>
      </c>
      <c r="C1399" s="11" t="s">
        <v>101</v>
      </c>
      <c r="D1399" s="11" t="s">
        <v>73</v>
      </c>
      <c r="E1399" s="11" t="s">
        <v>84</v>
      </c>
      <c r="F1399" s="11" t="s">
        <v>200</v>
      </c>
      <c r="G1399" s="9">
        <v>46</v>
      </c>
      <c r="H1399" s="9">
        <v>3300</v>
      </c>
      <c r="I1399" s="9">
        <v>10</v>
      </c>
      <c r="J1399" s="9">
        <f t="shared" si="42"/>
        <v>151800</v>
      </c>
      <c r="K1399" s="9">
        <f t="shared" si="43"/>
        <v>136620</v>
      </c>
      <c r="L1399" s="11" t="s">
        <v>76</v>
      </c>
      <c r="M1399" s="11" t="s">
        <v>81</v>
      </c>
    </row>
    <row r="1400" spans="1:13" x14ac:dyDescent="0.25">
      <c r="A1400" s="6">
        <v>1373</v>
      </c>
      <c r="B1400" s="8" t="s">
        <v>536</v>
      </c>
      <c r="C1400" s="8" t="s">
        <v>95</v>
      </c>
      <c r="D1400" s="8"/>
      <c r="E1400" s="8" t="s">
        <v>111</v>
      </c>
      <c r="F1400" s="8" t="s">
        <v>135</v>
      </c>
      <c r="G1400" s="6">
        <v>45</v>
      </c>
      <c r="H1400" s="6">
        <v>107900</v>
      </c>
      <c r="I1400" s="6">
        <v>20</v>
      </c>
      <c r="J1400" s="6">
        <f t="shared" si="42"/>
        <v>4855500</v>
      </c>
      <c r="K1400" s="6">
        <f t="shared" si="43"/>
        <v>3884400</v>
      </c>
      <c r="L1400" s="8" t="s">
        <v>76</v>
      </c>
      <c r="M1400" s="8" t="s">
        <v>96</v>
      </c>
    </row>
    <row r="1401" spans="1:13" x14ac:dyDescent="0.25">
      <c r="A1401" s="9">
        <v>1374</v>
      </c>
      <c r="B1401" s="10">
        <v>45320</v>
      </c>
      <c r="C1401" s="11" t="s">
        <v>101</v>
      </c>
      <c r="D1401" s="11" t="s">
        <v>109</v>
      </c>
      <c r="E1401" s="11" t="s">
        <v>79</v>
      </c>
      <c r="F1401" s="11" t="s">
        <v>80</v>
      </c>
      <c r="G1401" s="9">
        <v>10</v>
      </c>
      <c r="H1401" s="9">
        <v>8900</v>
      </c>
      <c r="I1401" s="9">
        <v>0</v>
      </c>
      <c r="J1401" s="9">
        <f t="shared" si="42"/>
        <v>89000</v>
      </c>
      <c r="K1401" s="9">
        <f t="shared" si="43"/>
        <v>89000</v>
      </c>
      <c r="L1401" s="11" t="s">
        <v>76</v>
      </c>
      <c r="M1401" s="11" t="s">
        <v>96</v>
      </c>
    </row>
    <row r="1402" spans="1:13" x14ac:dyDescent="0.25">
      <c r="A1402" s="6">
        <v>1375</v>
      </c>
      <c r="B1402" s="7">
        <v>45447</v>
      </c>
      <c r="C1402" s="8" t="s">
        <v>82</v>
      </c>
      <c r="D1402" s="8" t="s">
        <v>83</v>
      </c>
      <c r="E1402" s="8" t="s">
        <v>111</v>
      </c>
      <c r="F1402" s="8" t="s">
        <v>166</v>
      </c>
      <c r="G1402" s="6">
        <v>42</v>
      </c>
      <c r="H1402" s="6" t="s">
        <v>537</v>
      </c>
      <c r="I1402" s="6">
        <v>10</v>
      </c>
      <c r="J1402" s="6">
        <f t="shared" si="42"/>
        <v>1344000</v>
      </c>
      <c r="K1402" s="6">
        <f t="shared" si="43"/>
        <v>1209600</v>
      </c>
      <c r="L1402" s="8" t="s">
        <v>76</v>
      </c>
      <c r="M1402" s="8" t="s">
        <v>96</v>
      </c>
    </row>
    <row r="1403" spans="1:13" x14ac:dyDescent="0.25">
      <c r="A1403" s="9">
        <v>1376</v>
      </c>
      <c r="B1403" s="10">
        <v>45310</v>
      </c>
      <c r="C1403" s="11" t="s">
        <v>114</v>
      </c>
      <c r="D1403" s="11" t="s">
        <v>83</v>
      </c>
      <c r="E1403" s="11" t="s">
        <v>84</v>
      </c>
      <c r="F1403" s="11" t="s">
        <v>85</v>
      </c>
      <c r="G1403" s="9">
        <v>25</v>
      </c>
      <c r="H1403" s="9">
        <v>5100</v>
      </c>
      <c r="I1403" s="9">
        <v>0</v>
      </c>
      <c r="J1403" s="9">
        <f t="shared" si="42"/>
        <v>127500</v>
      </c>
      <c r="K1403" s="9">
        <f t="shared" si="43"/>
        <v>127500</v>
      </c>
      <c r="L1403" s="11" t="s">
        <v>76</v>
      </c>
      <c r="M1403" s="11" t="s">
        <v>77</v>
      </c>
    </row>
    <row r="1404" spans="1:13" x14ac:dyDescent="0.25">
      <c r="A1404" s="6">
        <v>1377</v>
      </c>
      <c r="B1404" s="7">
        <v>45157</v>
      </c>
      <c r="C1404" s="8" t="s">
        <v>101</v>
      </c>
      <c r="D1404" s="8" t="s">
        <v>109</v>
      </c>
      <c r="E1404" s="8" t="s">
        <v>176</v>
      </c>
      <c r="F1404" s="8" t="s">
        <v>128</v>
      </c>
      <c r="G1404" s="6">
        <v>50</v>
      </c>
      <c r="H1404" s="6">
        <v>4100</v>
      </c>
      <c r="I1404" s="6">
        <v>15</v>
      </c>
      <c r="J1404" s="6">
        <f t="shared" si="42"/>
        <v>205000</v>
      </c>
      <c r="K1404" s="6">
        <f t="shared" si="43"/>
        <v>174250</v>
      </c>
      <c r="L1404" s="8" t="s">
        <v>86</v>
      </c>
      <c r="M1404" s="8" t="s">
        <v>77</v>
      </c>
    </row>
    <row r="1405" spans="1:13" x14ac:dyDescent="0.25">
      <c r="A1405" s="9">
        <v>1378</v>
      </c>
      <c r="B1405" s="10">
        <v>45128</v>
      </c>
      <c r="C1405" s="11" t="s">
        <v>88</v>
      </c>
      <c r="D1405" s="11" t="s">
        <v>83</v>
      </c>
      <c r="E1405" s="11" t="s">
        <v>111</v>
      </c>
      <c r="F1405" s="11" t="s">
        <v>192</v>
      </c>
      <c r="G1405" s="9">
        <v>34</v>
      </c>
      <c r="H1405" s="9">
        <v>105400</v>
      </c>
      <c r="I1405" s="9">
        <v>0</v>
      </c>
      <c r="J1405" s="9">
        <f t="shared" si="42"/>
        <v>3583600</v>
      </c>
      <c r="K1405" s="9">
        <f t="shared" si="43"/>
        <v>3583600</v>
      </c>
      <c r="L1405" s="11" t="s">
        <v>107</v>
      </c>
      <c r="M1405" s="11" t="s">
        <v>81</v>
      </c>
    </row>
    <row r="1406" spans="1:13" x14ac:dyDescent="0.25">
      <c r="A1406" s="6">
        <v>1379</v>
      </c>
      <c r="B1406" s="8" t="s">
        <v>538</v>
      </c>
      <c r="C1406" s="8" t="s">
        <v>78</v>
      </c>
      <c r="D1406" s="8" t="s">
        <v>83</v>
      </c>
      <c r="E1406" s="8" t="s">
        <v>79</v>
      </c>
      <c r="F1406" s="8" t="s">
        <v>120</v>
      </c>
      <c r="G1406" s="6">
        <v>18</v>
      </c>
      <c r="H1406" s="6">
        <v>6200</v>
      </c>
      <c r="I1406" s="6">
        <v>20</v>
      </c>
      <c r="J1406" s="6">
        <f t="shared" si="42"/>
        <v>111600</v>
      </c>
      <c r="K1406" s="6">
        <f t="shared" si="43"/>
        <v>89280</v>
      </c>
      <c r="L1406" s="8" t="s">
        <v>76</v>
      </c>
      <c r="M1406" s="8" t="s">
        <v>77</v>
      </c>
    </row>
    <row r="1407" spans="1:13" x14ac:dyDescent="0.25">
      <c r="A1407" s="9">
        <v>1380</v>
      </c>
      <c r="B1407" s="10">
        <v>44984</v>
      </c>
      <c r="C1407" s="11" t="s">
        <v>119</v>
      </c>
      <c r="D1407" s="11" t="s">
        <v>93</v>
      </c>
      <c r="E1407" s="11" t="s">
        <v>102</v>
      </c>
      <c r="F1407" s="11" t="s">
        <v>181</v>
      </c>
      <c r="G1407" s="9">
        <v>48</v>
      </c>
      <c r="H1407" s="9">
        <v>4300</v>
      </c>
      <c r="I1407" s="9">
        <v>0</v>
      </c>
      <c r="J1407" s="9">
        <f t="shared" si="42"/>
        <v>206400</v>
      </c>
      <c r="K1407" s="9">
        <f t="shared" si="43"/>
        <v>206400</v>
      </c>
      <c r="L1407" s="11" t="s">
        <v>76</v>
      </c>
      <c r="M1407" s="11" t="s">
        <v>81</v>
      </c>
    </row>
    <row r="1408" spans="1:13" x14ac:dyDescent="0.25">
      <c r="A1408" s="6">
        <v>1381</v>
      </c>
      <c r="B1408" s="7">
        <v>45633</v>
      </c>
      <c r="C1408" s="8" t="s">
        <v>194</v>
      </c>
      <c r="D1408" s="8" t="s">
        <v>109</v>
      </c>
      <c r="E1408" s="8" t="s">
        <v>79</v>
      </c>
      <c r="F1408" s="8" t="s">
        <v>179</v>
      </c>
      <c r="G1408" s="6">
        <v>6</v>
      </c>
      <c r="H1408" s="6">
        <v>2600</v>
      </c>
      <c r="I1408" s="6">
        <v>0</v>
      </c>
      <c r="J1408" s="6">
        <f t="shared" si="42"/>
        <v>15600</v>
      </c>
      <c r="K1408" s="6">
        <f t="shared" si="43"/>
        <v>15600</v>
      </c>
      <c r="L1408" s="8" t="s">
        <v>86</v>
      </c>
      <c r="M1408" s="8" t="s">
        <v>77</v>
      </c>
    </row>
    <row r="1409" spans="1:13" x14ac:dyDescent="0.25">
      <c r="A1409" s="9">
        <v>1382</v>
      </c>
      <c r="B1409" s="10">
        <v>45462</v>
      </c>
      <c r="C1409" s="11" t="s">
        <v>95</v>
      </c>
      <c r="D1409" s="11" t="s">
        <v>73</v>
      </c>
      <c r="E1409" s="11" t="s">
        <v>84</v>
      </c>
      <c r="F1409" s="11" t="s">
        <v>90</v>
      </c>
      <c r="G1409" s="9">
        <v>49</v>
      </c>
      <c r="H1409" s="9">
        <v>1700</v>
      </c>
      <c r="I1409" s="9">
        <v>0</v>
      </c>
      <c r="J1409" s="9">
        <f t="shared" si="42"/>
        <v>83300</v>
      </c>
      <c r="K1409" s="9">
        <f t="shared" si="43"/>
        <v>83300</v>
      </c>
      <c r="L1409" s="11" t="s">
        <v>76</v>
      </c>
      <c r="M1409" s="11" t="s">
        <v>91</v>
      </c>
    </row>
    <row r="1410" spans="1:13" x14ac:dyDescent="0.25">
      <c r="A1410" s="6">
        <v>1383</v>
      </c>
      <c r="B1410" s="7">
        <v>45476</v>
      </c>
      <c r="C1410" s="8" t="s">
        <v>260</v>
      </c>
      <c r="D1410" s="8" t="s">
        <v>117</v>
      </c>
      <c r="E1410" s="8" t="s">
        <v>79</v>
      </c>
      <c r="F1410" s="8" t="s">
        <v>80</v>
      </c>
      <c r="G1410" s="6">
        <v>29</v>
      </c>
      <c r="H1410" s="6" t="s">
        <v>539</v>
      </c>
      <c r="I1410" s="6">
        <v>0</v>
      </c>
      <c r="J1410" s="6" t="e">
        <f t="shared" ref="J1410:J1473" si="44">G1410*H1410</f>
        <v>#VALUE!</v>
      </c>
      <c r="K1410" s="6" t="e">
        <f t="shared" ref="K1410:K1473" si="45">J1410*(1-I1410/100)</f>
        <v>#VALUE!</v>
      </c>
      <c r="L1410" s="8" t="s">
        <v>76</v>
      </c>
      <c r="M1410" s="8" t="s">
        <v>81</v>
      </c>
    </row>
    <row r="1411" spans="1:13" x14ac:dyDescent="0.25">
      <c r="A1411" s="9">
        <v>1384</v>
      </c>
      <c r="B1411" s="10">
        <v>45482</v>
      </c>
      <c r="C1411" s="11" t="s">
        <v>124</v>
      </c>
      <c r="D1411" s="11" t="s">
        <v>109</v>
      </c>
      <c r="E1411" s="11" t="s">
        <v>102</v>
      </c>
      <c r="F1411" s="11" t="s">
        <v>197</v>
      </c>
      <c r="G1411" s="9">
        <v>1</v>
      </c>
      <c r="H1411" s="9" t="s">
        <v>296</v>
      </c>
      <c r="I1411" s="9">
        <v>15</v>
      </c>
      <c r="J1411" s="9">
        <f t="shared" si="44"/>
        <v>3700</v>
      </c>
      <c r="K1411" s="9">
        <f t="shared" si="45"/>
        <v>3145</v>
      </c>
      <c r="L1411" s="11" t="s">
        <v>76</v>
      </c>
      <c r="M1411" s="11" t="s">
        <v>77</v>
      </c>
    </row>
    <row r="1412" spans="1:13" x14ac:dyDescent="0.25">
      <c r="A1412" s="6">
        <v>1385</v>
      </c>
      <c r="B1412" s="7">
        <v>45380</v>
      </c>
      <c r="C1412" s="8" t="s">
        <v>106</v>
      </c>
      <c r="D1412" s="8" t="s">
        <v>93</v>
      </c>
      <c r="E1412" s="8" t="s">
        <v>102</v>
      </c>
      <c r="F1412" s="8" t="s">
        <v>197</v>
      </c>
      <c r="G1412" s="6">
        <v>17</v>
      </c>
      <c r="H1412" s="6">
        <v>4400</v>
      </c>
      <c r="I1412" s="6">
        <v>5</v>
      </c>
      <c r="J1412" s="6">
        <f t="shared" si="44"/>
        <v>74800</v>
      </c>
      <c r="K1412" s="6">
        <f t="shared" si="45"/>
        <v>71060</v>
      </c>
      <c r="L1412" s="8" t="s">
        <v>86</v>
      </c>
      <c r="M1412" s="8" t="s">
        <v>96</v>
      </c>
    </row>
    <row r="1413" spans="1:13" x14ac:dyDescent="0.25">
      <c r="A1413" s="9">
        <v>1386</v>
      </c>
      <c r="B1413" s="10">
        <v>45573</v>
      </c>
      <c r="C1413" s="11" t="s">
        <v>108</v>
      </c>
      <c r="D1413" s="11" t="s">
        <v>117</v>
      </c>
      <c r="E1413" s="11" t="s">
        <v>102</v>
      </c>
      <c r="F1413" s="11" t="s">
        <v>197</v>
      </c>
      <c r="G1413" s="9">
        <v>42</v>
      </c>
      <c r="H1413" s="9">
        <v>3900</v>
      </c>
      <c r="I1413" s="9">
        <v>0</v>
      </c>
      <c r="J1413" s="9">
        <f t="shared" si="44"/>
        <v>163800</v>
      </c>
      <c r="K1413" s="9">
        <f t="shared" si="45"/>
        <v>163800</v>
      </c>
      <c r="L1413" s="11" t="s">
        <v>76</v>
      </c>
      <c r="M1413" s="11" t="s">
        <v>81</v>
      </c>
    </row>
    <row r="1414" spans="1:13" x14ac:dyDescent="0.25">
      <c r="A1414" s="6">
        <v>1387</v>
      </c>
      <c r="B1414" s="7">
        <v>45208</v>
      </c>
      <c r="C1414" s="8" t="s">
        <v>82</v>
      </c>
      <c r="D1414" s="8" t="s">
        <v>93</v>
      </c>
      <c r="E1414" s="8" t="s">
        <v>74</v>
      </c>
      <c r="F1414" s="8" t="s">
        <v>99</v>
      </c>
      <c r="G1414" s="6">
        <v>49</v>
      </c>
      <c r="H1414" s="6">
        <v>3200</v>
      </c>
      <c r="I1414" s="6">
        <v>0</v>
      </c>
      <c r="J1414" s="6">
        <f t="shared" si="44"/>
        <v>156800</v>
      </c>
      <c r="K1414" s="6">
        <f t="shared" si="45"/>
        <v>156800</v>
      </c>
      <c r="L1414" s="8" t="s">
        <v>125</v>
      </c>
      <c r="M1414" s="8" t="s">
        <v>91</v>
      </c>
    </row>
    <row r="1415" spans="1:13" x14ac:dyDescent="0.25">
      <c r="A1415" s="9">
        <v>1388</v>
      </c>
      <c r="B1415" s="10">
        <v>45253</v>
      </c>
      <c r="C1415" s="11" t="s">
        <v>82</v>
      </c>
      <c r="D1415" s="11" t="s">
        <v>83</v>
      </c>
      <c r="E1415" s="11" t="s">
        <v>263</v>
      </c>
      <c r="F1415" s="11" t="s">
        <v>166</v>
      </c>
      <c r="G1415" s="9">
        <v>49</v>
      </c>
      <c r="H1415" s="9">
        <v>26500</v>
      </c>
      <c r="I1415" s="9">
        <v>0</v>
      </c>
      <c r="J1415" s="9">
        <f t="shared" si="44"/>
        <v>1298500</v>
      </c>
      <c r="K1415" s="9">
        <f t="shared" si="45"/>
        <v>1298500</v>
      </c>
      <c r="L1415" s="11" t="s">
        <v>76</v>
      </c>
      <c r="M1415" s="11" t="s">
        <v>96</v>
      </c>
    </row>
    <row r="1416" spans="1:13" x14ac:dyDescent="0.25">
      <c r="A1416" s="6">
        <v>1389</v>
      </c>
      <c r="B1416" s="8" t="s">
        <v>540</v>
      </c>
      <c r="C1416" s="8" t="s">
        <v>88</v>
      </c>
      <c r="D1416" s="8" t="s">
        <v>93</v>
      </c>
      <c r="E1416" s="8" t="s">
        <v>84</v>
      </c>
      <c r="F1416" s="8" t="s">
        <v>90</v>
      </c>
      <c r="G1416" s="6">
        <v>49</v>
      </c>
      <c r="H1416" s="6">
        <v>2000</v>
      </c>
      <c r="I1416" s="6">
        <v>10</v>
      </c>
      <c r="J1416" s="6">
        <f t="shared" si="44"/>
        <v>98000</v>
      </c>
      <c r="K1416" s="6">
        <f t="shared" si="45"/>
        <v>88200</v>
      </c>
      <c r="L1416" s="8" t="s">
        <v>164</v>
      </c>
      <c r="M1416" s="8" t="s">
        <v>96</v>
      </c>
    </row>
    <row r="1417" spans="1:13" x14ac:dyDescent="0.25">
      <c r="A1417" s="9">
        <v>1390</v>
      </c>
      <c r="B1417" s="10">
        <v>45239</v>
      </c>
      <c r="C1417" s="11" t="s">
        <v>88</v>
      </c>
      <c r="D1417" s="11" t="s">
        <v>93</v>
      </c>
      <c r="E1417" s="11" t="s">
        <v>111</v>
      </c>
      <c r="F1417" s="11" t="s">
        <v>112</v>
      </c>
      <c r="G1417" s="9">
        <v>40</v>
      </c>
      <c r="H1417" s="9">
        <v>69600</v>
      </c>
      <c r="I1417" s="9">
        <v>0</v>
      </c>
      <c r="J1417" s="9">
        <f t="shared" si="44"/>
        <v>2784000</v>
      </c>
      <c r="K1417" s="9">
        <f t="shared" si="45"/>
        <v>2784000</v>
      </c>
      <c r="L1417" s="11" t="s">
        <v>76</v>
      </c>
      <c r="M1417" s="11" t="s">
        <v>81</v>
      </c>
    </row>
    <row r="1418" spans="1:13" x14ac:dyDescent="0.25">
      <c r="A1418" s="6">
        <v>1391</v>
      </c>
      <c r="B1418" s="7">
        <v>45087</v>
      </c>
      <c r="C1418" s="8" t="s">
        <v>106</v>
      </c>
      <c r="D1418" s="8" t="s">
        <v>83</v>
      </c>
      <c r="E1418" s="8" t="s">
        <v>84</v>
      </c>
      <c r="F1418" s="8" t="s">
        <v>128</v>
      </c>
      <c r="G1418" s="6">
        <v>11</v>
      </c>
      <c r="H1418" s="6">
        <v>4400</v>
      </c>
      <c r="I1418" s="6">
        <v>15</v>
      </c>
      <c r="J1418" s="6">
        <f t="shared" si="44"/>
        <v>48400</v>
      </c>
      <c r="K1418" s="6">
        <f t="shared" si="45"/>
        <v>41140</v>
      </c>
      <c r="L1418" s="8" t="s">
        <v>76</v>
      </c>
      <c r="M1418" s="8" t="s">
        <v>91</v>
      </c>
    </row>
    <row r="1419" spans="1:13" x14ac:dyDescent="0.25">
      <c r="A1419" s="9">
        <v>1392</v>
      </c>
      <c r="B1419" s="10">
        <v>45536</v>
      </c>
      <c r="C1419" s="11" t="s">
        <v>114</v>
      </c>
      <c r="D1419" s="11" t="s">
        <v>117</v>
      </c>
      <c r="E1419" s="11" t="s">
        <v>84</v>
      </c>
      <c r="F1419" s="11" t="s">
        <v>134</v>
      </c>
      <c r="G1419" s="9">
        <v>20</v>
      </c>
      <c r="H1419" s="9">
        <v>9800</v>
      </c>
      <c r="I1419" s="9">
        <v>0</v>
      </c>
      <c r="J1419" s="9">
        <f t="shared" si="44"/>
        <v>196000</v>
      </c>
      <c r="K1419" s="9">
        <f t="shared" si="45"/>
        <v>196000</v>
      </c>
      <c r="L1419" s="11" t="s">
        <v>76</v>
      </c>
      <c r="M1419" s="11" t="s">
        <v>96</v>
      </c>
    </row>
    <row r="1420" spans="1:13" x14ac:dyDescent="0.25">
      <c r="A1420" s="6">
        <v>1393</v>
      </c>
      <c r="B1420" s="7">
        <v>45289</v>
      </c>
      <c r="C1420" s="8" t="s">
        <v>88</v>
      </c>
      <c r="D1420" s="8" t="s">
        <v>83</v>
      </c>
      <c r="E1420" s="8" t="s">
        <v>74</v>
      </c>
      <c r="F1420" s="8" t="s">
        <v>140</v>
      </c>
      <c r="G1420" s="6">
        <v>49</v>
      </c>
      <c r="H1420" s="6">
        <v>4700</v>
      </c>
      <c r="I1420" s="6">
        <v>0</v>
      </c>
      <c r="J1420" s="6">
        <f t="shared" si="44"/>
        <v>230300</v>
      </c>
      <c r="K1420" s="6">
        <f t="shared" si="45"/>
        <v>230300</v>
      </c>
      <c r="L1420" s="8" t="s">
        <v>76</v>
      </c>
      <c r="M1420" s="8" t="s">
        <v>91</v>
      </c>
    </row>
    <row r="1421" spans="1:13" x14ac:dyDescent="0.25">
      <c r="A1421" s="9">
        <v>195</v>
      </c>
      <c r="B1421" s="10">
        <v>45583</v>
      </c>
      <c r="C1421" s="11" t="s">
        <v>108</v>
      </c>
      <c r="D1421" s="11" t="s">
        <v>93</v>
      </c>
      <c r="E1421" s="11" t="s">
        <v>102</v>
      </c>
      <c r="F1421" s="11" t="s">
        <v>103</v>
      </c>
      <c r="G1421" s="9">
        <v>40</v>
      </c>
      <c r="H1421" s="9">
        <v>9200</v>
      </c>
      <c r="I1421" s="9">
        <v>20</v>
      </c>
      <c r="J1421" s="9">
        <f t="shared" si="44"/>
        <v>368000</v>
      </c>
      <c r="K1421" s="9">
        <f t="shared" si="45"/>
        <v>294400</v>
      </c>
      <c r="L1421" s="11" t="s">
        <v>86</v>
      </c>
      <c r="M1421" s="11" t="s">
        <v>96</v>
      </c>
    </row>
    <row r="1422" spans="1:13" x14ac:dyDescent="0.25">
      <c r="A1422" s="6">
        <v>1394</v>
      </c>
      <c r="B1422" s="7">
        <v>45345</v>
      </c>
      <c r="C1422" s="8" t="s">
        <v>88</v>
      </c>
      <c r="D1422" s="8" t="s">
        <v>109</v>
      </c>
      <c r="E1422" s="8" t="s">
        <v>155</v>
      </c>
      <c r="F1422" s="8" t="s">
        <v>135</v>
      </c>
      <c r="G1422" s="6">
        <v>46</v>
      </c>
      <c r="H1422" s="6">
        <v>104100</v>
      </c>
      <c r="I1422" s="6">
        <v>0</v>
      </c>
      <c r="J1422" s="6">
        <f t="shared" si="44"/>
        <v>4788600</v>
      </c>
      <c r="K1422" s="6">
        <f t="shared" si="45"/>
        <v>4788600</v>
      </c>
      <c r="L1422" s="8" t="s">
        <v>76</v>
      </c>
      <c r="M1422" s="8" t="s">
        <v>96</v>
      </c>
    </row>
    <row r="1423" spans="1:13" x14ac:dyDescent="0.25">
      <c r="A1423" s="9">
        <v>1395</v>
      </c>
      <c r="B1423" s="10">
        <v>45309</v>
      </c>
      <c r="C1423" s="11" t="s">
        <v>78</v>
      </c>
      <c r="D1423" s="11" t="s">
        <v>117</v>
      </c>
      <c r="E1423" s="11" t="s">
        <v>111</v>
      </c>
      <c r="F1423" s="11" t="s">
        <v>165</v>
      </c>
      <c r="G1423" s="9">
        <v>36</v>
      </c>
      <c r="H1423" s="9">
        <v>17700</v>
      </c>
      <c r="I1423" s="9">
        <v>10</v>
      </c>
      <c r="J1423" s="9">
        <f t="shared" si="44"/>
        <v>637200</v>
      </c>
      <c r="K1423" s="9">
        <f t="shared" si="45"/>
        <v>573480</v>
      </c>
      <c r="L1423" s="11" t="s">
        <v>247</v>
      </c>
      <c r="M1423" s="11" t="s">
        <v>81</v>
      </c>
    </row>
    <row r="1424" spans="1:13" x14ac:dyDescent="0.25">
      <c r="A1424" s="6">
        <v>1396</v>
      </c>
      <c r="B1424" s="7">
        <v>45442</v>
      </c>
      <c r="C1424" s="8" t="s">
        <v>338</v>
      </c>
      <c r="D1424" s="8" t="s">
        <v>117</v>
      </c>
      <c r="E1424" s="8" t="s">
        <v>79</v>
      </c>
      <c r="F1424" s="8" t="s">
        <v>131</v>
      </c>
      <c r="G1424" s="6">
        <v>21</v>
      </c>
      <c r="H1424" s="6">
        <v>115300</v>
      </c>
      <c r="I1424" s="6">
        <v>0</v>
      </c>
      <c r="J1424" s="6">
        <f t="shared" si="44"/>
        <v>2421300</v>
      </c>
      <c r="K1424" s="6">
        <f t="shared" si="45"/>
        <v>2421300</v>
      </c>
      <c r="L1424" s="8" t="s">
        <v>86</v>
      </c>
      <c r="M1424" s="8" t="s">
        <v>91</v>
      </c>
    </row>
    <row r="1425" spans="1:13" x14ac:dyDescent="0.25">
      <c r="A1425" s="9">
        <v>1397</v>
      </c>
      <c r="B1425" s="10">
        <v>45602</v>
      </c>
      <c r="C1425" s="11" t="s">
        <v>114</v>
      </c>
      <c r="D1425" s="11" t="s">
        <v>83</v>
      </c>
      <c r="E1425" s="11" t="s">
        <v>84</v>
      </c>
      <c r="F1425" s="11" t="s">
        <v>134</v>
      </c>
      <c r="G1425" s="9">
        <v>38</v>
      </c>
      <c r="H1425" s="9">
        <v>11000</v>
      </c>
      <c r="I1425" s="9">
        <v>0</v>
      </c>
      <c r="J1425" s="9">
        <f t="shared" si="44"/>
        <v>418000</v>
      </c>
      <c r="K1425" s="9">
        <f t="shared" si="45"/>
        <v>418000</v>
      </c>
      <c r="L1425" s="11" t="s">
        <v>76</v>
      </c>
      <c r="M1425" s="11" t="s">
        <v>77</v>
      </c>
    </row>
    <row r="1426" spans="1:13" x14ac:dyDescent="0.25">
      <c r="A1426" s="6">
        <v>1398</v>
      </c>
      <c r="B1426" s="7">
        <v>45581</v>
      </c>
      <c r="C1426" s="8" t="s">
        <v>88</v>
      </c>
      <c r="D1426" s="8" t="s">
        <v>117</v>
      </c>
      <c r="E1426" s="8" t="s">
        <v>102</v>
      </c>
      <c r="F1426" s="8" t="s">
        <v>157</v>
      </c>
      <c r="G1426" s="6">
        <v>19</v>
      </c>
      <c r="H1426" s="6">
        <v>12100</v>
      </c>
      <c r="I1426" s="6">
        <v>15</v>
      </c>
      <c r="J1426" s="6">
        <f t="shared" si="44"/>
        <v>229900</v>
      </c>
      <c r="K1426" s="6">
        <f t="shared" si="45"/>
        <v>195415</v>
      </c>
      <c r="L1426" s="8" t="s">
        <v>76</v>
      </c>
      <c r="M1426" s="8" t="s">
        <v>81</v>
      </c>
    </row>
    <row r="1427" spans="1:13" x14ac:dyDescent="0.25">
      <c r="A1427" s="9">
        <v>1399</v>
      </c>
      <c r="B1427" s="10">
        <v>45002</v>
      </c>
      <c r="C1427" s="11" t="s">
        <v>88</v>
      </c>
      <c r="D1427" s="11" t="s">
        <v>83</v>
      </c>
      <c r="E1427" s="11" t="s">
        <v>173</v>
      </c>
      <c r="F1427" s="11" t="s">
        <v>128</v>
      </c>
      <c r="G1427" s="9">
        <v>37</v>
      </c>
      <c r="H1427" s="9">
        <v>4400</v>
      </c>
      <c r="I1427" s="9">
        <v>5</v>
      </c>
      <c r="J1427" s="9">
        <f t="shared" si="44"/>
        <v>162800</v>
      </c>
      <c r="K1427" s="9">
        <f t="shared" si="45"/>
        <v>154660</v>
      </c>
      <c r="L1427" s="11" t="s">
        <v>174</v>
      </c>
      <c r="M1427" s="11" t="s">
        <v>77</v>
      </c>
    </row>
    <row r="1428" spans="1:13" x14ac:dyDescent="0.25">
      <c r="A1428" s="6">
        <v>1400</v>
      </c>
      <c r="B1428" s="8" t="s">
        <v>541</v>
      </c>
      <c r="C1428" s="8" t="s">
        <v>88</v>
      </c>
      <c r="D1428" s="8" t="s">
        <v>93</v>
      </c>
      <c r="E1428" s="8" t="s">
        <v>102</v>
      </c>
      <c r="F1428" s="8" t="s">
        <v>110</v>
      </c>
      <c r="G1428" s="6">
        <v>19</v>
      </c>
      <c r="H1428" s="6">
        <v>22900</v>
      </c>
      <c r="I1428" s="6">
        <v>20</v>
      </c>
      <c r="J1428" s="6">
        <f t="shared" si="44"/>
        <v>435100</v>
      </c>
      <c r="K1428" s="6">
        <f t="shared" si="45"/>
        <v>348080</v>
      </c>
      <c r="L1428" s="8" t="s">
        <v>86</v>
      </c>
      <c r="M1428" s="8" t="s">
        <v>81</v>
      </c>
    </row>
    <row r="1429" spans="1:13" x14ac:dyDescent="0.25">
      <c r="A1429" s="9">
        <v>1401</v>
      </c>
      <c r="B1429" s="10">
        <v>44996</v>
      </c>
      <c r="C1429" s="11" t="s">
        <v>88</v>
      </c>
      <c r="D1429" s="11" t="s">
        <v>89</v>
      </c>
      <c r="E1429" s="11" t="s">
        <v>111</v>
      </c>
      <c r="F1429" s="11" t="s">
        <v>156</v>
      </c>
      <c r="G1429" s="9">
        <v>30</v>
      </c>
      <c r="H1429" s="9">
        <v>39700</v>
      </c>
      <c r="I1429" s="9">
        <v>0</v>
      </c>
      <c r="J1429" s="9">
        <f t="shared" si="44"/>
        <v>1191000</v>
      </c>
      <c r="K1429" s="9">
        <f t="shared" si="45"/>
        <v>1191000</v>
      </c>
      <c r="L1429" s="11" t="s">
        <v>76</v>
      </c>
      <c r="M1429" s="11" t="s">
        <v>96</v>
      </c>
    </row>
    <row r="1430" spans="1:13" x14ac:dyDescent="0.25">
      <c r="A1430" s="6">
        <v>1402</v>
      </c>
      <c r="B1430" s="7">
        <v>45130</v>
      </c>
      <c r="C1430" s="8" t="s">
        <v>101</v>
      </c>
      <c r="D1430" s="8" t="s">
        <v>117</v>
      </c>
      <c r="E1430" s="8" t="s">
        <v>102</v>
      </c>
      <c r="F1430" s="8" t="s">
        <v>138</v>
      </c>
      <c r="G1430" s="6">
        <v>42</v>
      </c>
      <c r="H1430" s="6">
        <v>6100</v>
      </c>
      <c r="I1430" s="6">
        <v>20</v>
      </c>
      <c r="J1430" s="6">
        <f t="shared" si="44"/>
        <v>256200</v>
      </c>
      <c r="K1430" s="6">
        <f t="shared" si="45"/>
        <v>204960</v>
      </c>
      <c r="L1430" s="8" t="s">
        <v>76</v>
      </c>
      <c r="M1430" s="8" t="s">
        <v>91</v>
      </c>
    </row>
    <row r="1431" spans="1:13" x14ac:dyDescent="0.25">
      <c r="A1431" s="9">
        <v>1403</v>
      </c>
      <c r="B1431" s="10">
        <v>45425</v>
      </c>
      <c r="C1431" s="11" t="s">
        <v>78</v>
      </c>
      <c r="D1431" s="11" t="s">
        <v>93</v>
      </c>
      <c r="E1431" s="11" t="s">
        <v>79</v>
      </c>
      <c r="F1431" s="11" t="s">
        <v>120</v>
      </c>
      <c r="G1431" s="9">
        <v>28</v>
      </c>
      <c r="H1431" s="9">
        <v>5400</v>
      </c>
      <c r="I1431" s="9">
        <v>20</v>
      </c>
      <c r="J1431" s="9">
        <f t="shared" si="44"/>
        <v>151200</v>
      </c>
      <c r="K1431" s="9">
        <f t="shared" si="45"/>
        <v>120960</v>
      </c>
      <c r="L1431" s="11" t="s">
        <v>125</v>
      </c>
      <c r="M1431" s="11" t="s">
        <v>96</v>
      </c>
    </row>
    <row r="1432" spans="1:13" x14ac:dyDescent="0.25">
      <c r="A1432" s="6">
        <v>1404</v>
      </c>
      <c r="B1432" s="7">
        <v>45478</v>
      </c>
      <c r="C1432" s="8" t="s">
        <v>119</v>
      </c>
      <c r="D1432" s="8" t="s">
        <v>117</v>
      </c>
      <c r="E1432" s="8" t="s">
        <v>102</v>
      </c>
      <c r="F1432" s="8" t="s">
        <v>157</v>
      </c>
      <c r="G1432" s="6">
        <v>48</v>
      </c>
      <c r="H1432" s="6">
        <v>12700</v>
      </c>
      <c r="I1432" s="6">
        <v>10</v>
      </c>
      <c r="J1432" s="6">
        <f t="shared" si="44"/>
        <v>609600</v>
      </c>
      <c r="K1432" s="6">
        <f t="shared" si="45"/>
        <v>548640</v>
      </c>
      <c r="L1432" s="8" t="s">
        <v>76</v>
      </c>
      <c r="M1432" s="8" t="s">
        <v>77</v>
      </c>
    </row>
    <row r="1433" spans="1:13" x14ac:dyDescent="0.25">
      <c r="A1433" s="9">
        <v>1405</v>
      </c>
      <c r="B1433" s="11" t="s">
        <v>542</v>
      </c>
      <c r="C1433" s="11" t="s">
        <v>82</v>
      </c>
      <c r="D1433" s="11" t="s">
        <v>249</v>
      </c>
      <c r="E1433" s="11" t="s">
        <v>102</v>
      </c>
      <c r="F1433" s="11" t="s">
        <v>137</v>
      </c>
      <c r="G1433" s="9">
        <v>30</v>
      </c>
      <c r="H1433" s="9">
        <v>2300</v>
      </c>
      <c r="I1433" s="9">
        <v>20</v>
      </c>
      <c r="J1433" s="9">
        <f t="shared" si="44"/>
        <v>69000</v>
      </c>
      <c r="K1433" s="9">
        <f t="shared" si="45"/>
        <v>55200</v>
      </c>
      <c r="L1433" s="11" t="s">
        <v>76</v>
      </c>
      <c r="M1433" s="11" t="s">
        <v>81</v>
      </c>
    </row>
    <row r="1434" spans="1:13" x14ac:dyDescent="0.25">
      <c r="A1434" s="6">
        <v>1406</v>
      </c>
      <c r="B1434" s="7">
        <v>45001</v>
      </c>
      <c r="C1434" s="8" t="s">
        <v>114</v>
      </c>
      <c r="D1434" s="8" t="s">
        <v>451</v>
      </c>
      <c r="E1434" s="8" t="s">
        <v>111</v>
      </c>
      <c r="F1434" s="8" t="s">
        <v>159</v>
      </c>
      <c r="G1434" s="6">
        <v>48</v>
      </c>
      <c r="H1434" s="6">
        <v>13500</v>
      </c>
      <c r="I1434" s="6">
        <v>0</v>
      </c>
      <c r="J1434" s="6">
        <f t="shared" si="44"/>
        <v>648000</v>
      </c>
      <c r="K1434" s="6">
        <f t="shared" si="45"/>
        <v>648000</v>
      </c>
      <c r="L1434" s="8" t="s">
        <v>76</v>
      </c>
      <c r="M1434" s="8" t="s">
        <v>96</v>
      </c>
    </row>
    <row r="1435" spans="1:13" x14ac:dyDescent="0.25">
      <c r="A1435" s="9">
        <v>1407</v>
      </c>
      <c r="B1435" s="10">
        <v>45113</v>
      </c>
      <c r="C1435" s="11" t="s">
        <v>124</v>
      </c>
      <c r="D1435" s="11" t="s">
        <v>117</v>
      </c>
      <c r="E1435" s="11" t="s">
        <v>111</v>
      </c>
      <c r="F1435" s="11" t="s">
        <v>165</v>
      </c>
      <c r="G1435" s="9">
        <v>26</v>
      </c>
      <c r="H1435" s="9">
        <v>20200</v>
      </c>
      <c r="I1435" s="9">
        <v>10</v>
      </c>
      <c r="J1435" s="9">
        <f t="shared" si="44"/>
        <v>525200</v>
      </c>
      <c r="K1435" s="9">
        <f t="shared" si="45"/>
        <v>472680</v>
      </c>
      <c r="L1435" s="11" t="s">
        <v>76</v>
      </c>
      <c r="M1435" s="11" t="s">
        <v>77</v>
      </c>
    </row>
    <row r="1436" spans="1:13" x14ac:dyDescent="0.25">
      <c r="A1436" s="6">
        <v>1408</v>
      </c>
      <c r="B1436" s="7">
        <v>45326</v>
      </c>
      <c r="C1436" s="8" t="s">
        <v>78</v>
      </c>
      <c r="D1436" s="8" t="s">
        <v>73</v>
      </c>
      <c r="E1436" s="8" t="s">
        <v>84</v>
      </c>
      <c r="F1436" s="8" t="s">
        <v>200</v>
      </c>
      <c r="G1436" s="6">
        <v>17</v>
      </c>
      <c r="H1436" s="6">
        <v>3200</v>
      </c>
      <c r="I1436" s="6">
        <v>10</v>
      </c>
      <c r="J1436" s="6">
        <f t="shared" si="44"/>
        <v>54400</v>
      </c>
      <c r="K1436" s="6">
        <f t="shared" si="45"/>
        <v>48960</v>
      </c>
      <c r="L1436" s="8" t="s">
        <v>107</v>
      </c>
      <c r="M1436" s="8" t="s">
        <v>96</v>
      </c>
    </row>
    <row r="1437" spans="1:13" x14ac:dyDescent="0.25">
      <c r="A1437" s="9">
        <v>1409</v>
      </c>
      <c r="B1437" s="11" t="s">
        <v>543</v>
      </c>
      <c r="C1437" s="11" t="s">
        <v>106</v>
      </c>
      <c r="D1437" s="11" t="s">
        <v>93</v>
      </c>
      <c r="E1437" s="11" t="s">
        <v>74</v>
      </c>
      <c r="F1437" s="11" t="s">
        <v>142</v>
      </c>
      <c r="G1437" s="9">
        <v>10</v>
      </c>
      <c r="H1437" s="9">
        <v>11400</v>
      </c>
      <c r="I1437" s="9">
        <v>0</v>
      </c>
      <c r="J1437" s="9">
        <f t="shared" si="44"/>
        <v>114000</v>
      </c>
      <c r="K1437" s="9">
        <f t="shared" si="45"/>
        <v>114000</v>
      </c>
      <c r="L1437" s="11" t="s">
        <v>76</v>
      </c>
      <c r="M1437" s="11" t="s">
        <v>81</v>
      </c>
    </row>
    <row r="1438" spans="1:13" x14ac:dyDescent="0.25">
      <c r="A1438" s="6">
        <v>1410</v>
      </c>
      <c r="B1438" s="7">
        <v>44953</v>
      </c>
      <c r="C1438" s="8" t="s">
        <v>82</v>
      </c>
      <c r="D1438" s="8" t="s">
        <v>93</v>
      </c>
      <c r="E1438" s="8" t="s">
        <v>79</v>
      </c>
      <c r="F1438" s="8" t="s">
        <v>122</v>
      </c>
      <c r="G1438" s="6">
        <v>5</v>
      </c>
      <c r="H1438" s="6">
        <v>18600</v>
      </c>
      <c r="I1438" s="6">
        <v>0</v>
      </c>
      <c r="J1438" s="6">
        <f t="shared" si="44"/>
        <v>93000</v>
      </c>
      <c r="K1438" s="6">
        <f t="shared" si="45"/>
        <v>93000</v>
      </c>
      <c r="L1438" s="8" t="s">
        <v>76</v>
      </c>
      <c r="M1438" s="8" t="s">
        <v>96</v>
      </c>
    </row>
    <row r="1439" spans="1:13" x14ac:dyDescent="0.25">
      <c r="A1439" s="9">
        <v>1411</v>
      </c>
      <c r="B1439" s="10">
        <v>45600</v>
      </c>
      <c r="C1439" s="11" t="s">
        <v>455</v>
      </c>
      <c r="D1439" s="11" t="s">
        <v>109</v>
      </c>
      <c r="E1439" s="11" t="s">
        <v>74</v>
      </c>
      <c r="F1439" s="11" t="s">
        <v>142</v>
      </c>
      <c r="G1439" s="9">
        <v>18</v>
      </c>
      <c r="H1439" s="9">
        <v>12100</v>
      </c>
      <c r="I1439" s="9">
        <v>20</v>
      </c>
      <c r="J1439" s="9">
        <f t="shared" si="44"/>
        <v>217800</v>
      </c>
      <c r="K1439" s="9">
        <f t="shared" si="45"/>
        <v>174240</v>
      </c>
      <c r="L1439" s="11" t="s">
        <v>164</v>
      </c>
      <c r="M1439" s="11" t="s">
        <v>81</v>
      </c>
    </row>
    <row r="1440" spans="1:13" x14ac:dyDescent="0.25">
      <c r="A1440" s="6">
        <v>1412</v>
      </c>
      <c r="B1440" s="7">
        <v>45290</v>
      </c>
      <c r="C1440" s="8" t="s">
        <v>78</v>
      </c>
      <c r="D1440" s="8" t="s">
        <v>109</v>
      </c>
      <c r="E1440" s="8" t="s">
        <v>111</v>
      </c>
      <c r="F1440" s="8" t="s">
        <v>112</v>
      </c>
      <c r="G1440" s="6">
        <v>25</v>
      </c>
      <c r="H1440" s="6">
        <v>72100</v>
      </c>
      <c r="I1440" s="6">
        <v>5</v>
      </c>
      <c r="J1440" s="6">
        <f t="shared" si="44"/>
        <v>1802500</v>
      </c>
      <c r="K1440" s="6">
        <f t="shared" si="45"/>
        <v>1712375</v>
      </c>
      <c r="L1440" s="8" t="s">
        <v>76</v>
      </c>
      <c r="M1440" s="8" t="s">
        <v>81</v>
      </c>
    </row>
    <row r="1441" spans="1:13" x14ac:dyDescent="0.25">
      <c r="A1441" s="9">
        <v>1413</v>
      </c>
      <c r="B1441" s="10">
        <v>44977</v>
      </c>
      <c r="C1441" s="11" t="s">
        <v>119</v>
      </c>
      <c r="D1441" s="11" t="s">
        <v>83</v>
      </c>
      <c r="E1441" s="11" t="s">
        <v>111</v>
      </c>
      <c r="F1441" s="11" t="s">
        <v>156</v>
      </c>
      <c r="G1441" s="9">
        <v>25</v>
      </c>
      <c r="H1441" s="9">
        <v>40000</v>
      </c>
      <c r="I1441" s="9">
        <v>0</v>
      </c>
      <c r="J1441" s="9">
        <f t="shared" si="44"/>
        <v>1000000</v>
      </c>
      <c r="K1441" s="9">
        <f t="shared" si="45"/>
        <v>1000000</v>
      </c>
      <c r="L1441" s="11" t="s">
        <v>76</v>
      </c>
      <c r="M1441" s="11" t="s">
        <v>77</v>
      </c>
    </row>
    <row r="1442" spans="1:13" x14ac:dyDescent="0.25">
      <c r="A1442" s="6">
        <v>1414</v>
      </c>
      <c r="B1442" s="7">
        <v>45106</v>
      </c>
      <c r="C1442" s="8" t="s">
        <v>82</v>
      </c>
      <c r="D1442" s="8" t="s">
        <v>93</v>
      </c>
      <c r="E1442" s="8" t="s">
        <v>102</v>
      </c>
      <c r="F1442" s="8" t="s">
        <v>137</v>
      </c>
      <c r="G1442" s="6">
        <v>14</v>
      </c>
      <c r="H1442" s="6">
        <v>2100</v>
      </c>
      <c r="I1442" s="6">
        <v>15</v>
      </c>
      <c r="J1442" s="6">
        <f t="shared" si="44"/>
        <v>29400</v>
      </c>
      <c r="K1442" s="6">
        <f t="shared" si="45"/>
        <v>24990</v>
      </c>
      <c r="L1442" s="8" t="s">
        <v>76</v>
      </c>
      <c r="M1442" s="8" t="s">
        <v>91</v>
      </c>
    </row>
    <row r="1443" spans="1:13" x14ac:dyDescent="0.25">
      <c r="A1443" s="9">
        <v>1415</v>
      </c>
      <c r="B1443" s="11" t="s">
        <v>544</v>
      </c>
      <c r="C1443" s="11" t="s">
        <v>235</v>
      </c>
      <c r="D1443" s="11" t="s">
        <v>117</v>
      </c>
      <c r="E1443" s="11" t="s">
        <v>111</v>
      </c>
      <c r="F1443" s="11" t="s">
        <v>156</v>
      </c>
      <c r="G1443" s="9">
        <v>6</v>
      </c>
      <c r="H1443" s="9">
        <v>40000</v>
      </c>
      <c r="I1443" s="9">
        <v>5</v>
      </c>
      <c r="J1443" s="9">
        <f t="shared" si="44"/>
        <v>240000</v>
      </c>
      <c r="K1443" s="9">
        <f t="shared" si="45"/>
        <v>228000</v>
      </c>
      <c r="L1443" s="11" t="s">
        <v>86</v>
      </c>
      <c r="M1443" s="11" t="s">
        <v>96</v>
      </c>
    </row>
    <row r="1444" spans="1:13" x14ac:dyDescent="0.25">
      <c r="A1444" s="6">
        <v>1416</v>
      </c>
      <c r="B1444" s="7">
        <v>45188</v>
      </c>
      <c r="C1444" s="8" t="s">
        <v>82</v>
      </c>
      <c r="D1444" s="8" t="s">
        <v>73</v>
      </c>
      <c r="E1444" s="8" t="s">
        <v>111</v>
      </c>
      <c r="F1444" s="8" t="s">
        <v>192</v>
      </c>
      <c r="G1444" s="6">
        <v>27</v>
      </c>
      <c r="H1444" s="6">
        <v>85700</v>
      </c>
      <c r="I1444" s="6"/>
      <c r="J1444" s="6">
        <f t="shared" si="44"/>
        <v>2313900</v>
      </c>
      <c r="K1444" s="6">
        <f t="shared" si="45"/>
        <v>2313900</v>
      </c>
      <c r="L1444" s="8" t="s">
        <v>76</v>
      </c>
      <c r="M1444" s="8" t="s">
        <v>77</v>
      </c>
    </row>
    <row r="1445" spans="1:13" x14ac:dyDescent="0.25">
      <c r="A1445" s="9">
        <v>1417</v>
      </c>
      <c r="B1445" s="11" t="s">
        <v>545</v>
      </c>
      <c r="C1445" s="11" t="s">
        <v>95</v>
      </c>
      <c r="D1445" s="11" t="s">
        <v>73</v>
      </c>
      <c r="E1445" s="11" t="s">
        <v>111</v>
      </c>
      <c r="F1445" s="11" t="s">
        <v>135</v>
      </c>
      <c r="G1445" s="9">
        <v>45</v>
      </c>
      <c r="H1445" s="9">
        <v>110100</v>
      </c>
      <c r="I1445" s="9">
        <v>5</v>
      </c>
      <c r="J1445" s="9">
        <f t="shared" si="44"/>
        <v>4954500</v>
      </c>
      <c r="K1445" s="9">
        <f t="shared" si="45"/>
        <v>4706775</v>
      </c>
      <c r="L1445" s="11" t="s">
        <v>76</v>
      </c>
      <c r="M1445" s="11" t="s">
        <v>91</v>
      </c>
    </row>
    <row r="1446" spans="1:13" x14ac:dyDescent="0.25">
      <c r="A1446" s="6">
        <v>1418</v>
      </c>
      <c r="B1446" s="7">
        <v>44943</v>
      </c>
      <c r="C1446" s="8" t="s">
        <v>101</v>
      </c>
      <c r="D1446" s="8" t="s">
        <v>117</v>
      </c>
      <c r="E1446" s="8" t="s">
        <v>79</v>
      </c>
      <c r="F1446" s="8" t="s">
        <v>122</v>
      </c>
      <c r="G1446" s="6">
        <v>12</v>
      </c>
      <c r="H1446" s="6">
        <v>20000</v>
      </c>
      <c r="I1446" s="6">
        <v>10</v>
      </c>
      <c r="J1446" s="6">
        <f t="shared" si="44"/>
        <v>240000</v>
      </c>
      <c r="K1446" s="6">
        <f t="shared" si="45"/>
        <v>216000</v>
      </c>
      <c r="L1446" s="8" t="s">
        <v>76</v>
      </c>
      <c r="M1446" s="8" t="s">
        <v>81</v>
      </c>
    </row>
    <row r="1447" spans="1:13" x14ac:dyDescent="0.25">
      <c r="A1447" s="9">
        <v>1419</v>
      </c>
      <c r="B1447" s="11" t="s">
        <v>546</v>
      </c>
      <c r="C1447" s="11" t="s">
        <v>108</v>
      </c>
      <c r="D1447" s="11" t="s">
        <v>83</v>
      </c>
      <c r="E1447" s="11" t="s">
        <v>79</v>
      </c>
      <c r="F1447" s="11" t="s">
        <v>136</v>
      </c>
      <c r="G1447" s="9">
        <v>14</v>
      </c>
      <c r="H1447" s="9">
        <v>89200</v>
      </c>
      <c r="I1447" s="9">
        <v>0</v>
      </c>
      <c r="J1447" s="9">
        <f t="shared" si="44"/>
        <v>1248800</v>
      </c>
      <c r="K1447" s="9">
        <f t="shared" si="45"/>
        <v>1248800</v>
      </c>
      <c r="L1447" s="11" t="s">
        <v>107</v>
      </c>
      <c r="M1447" s="11" t="s">
        <v>96</v>
      </c>
    </row>
    <row r="1448" spans="1:13" x14ac:dyDescent="0.25">
      <c r="A1448" s="6">
        <v>1420</v>
      </c>
      <c r="B1448" s="7">
        <v>45559</v>
      </c>
      <c r="C1448" s="8" t="s">
        <v>223</v>
      </c>
      <c r="D1448" s="8" t="s">
        <v>109</v>
      </c>
      <c r="E1448" s="8" t="s">
        <v>111</v>
      </c>
      <c r="F1448" s="8" t="s">
        <v>166</v>
      </c>
      <c r="G1448" s="6">
        <v>34</v>
      </c>
      <c r="H1448" s="6">
        <v>26400</v>
      </c>
      <c r="I1448" s="6">
        <v>0</v>
      </c>
      <c r="J1448" s="6">
        <f t="shared" si="44"/>
        <v>897600</v>
      </c>
      <c r="K1448" s="6">
        <f t="shared" si="45"/>
        <v>897600</v>
      </c>
      <c r="L1448" s="8" t="s">
        <v>125</v>
      </c>
      <c r="M1448" s="8" t="s">
        <v>81</v>
      </c>
    </row>
    <row r="1449" spans="1:13" x14ac:dyDescent="0.25">
      <c r="A1449" s="9">
        <v>1421</v>
      </c>
      <c r="B1449" s="10">
        <v>45039</v>
      </c>
      <c r="C1449" s="11" t="s">
        <v>108</v>
      </c>
      <c r="D1449" s="11" t="s">
        <v>73</v>
      </c>
      <c r="E1449" s="11" t="s">
        <v>155</v>
      </c>
      <c r="F1449" s="11" t="s">
        <v>156</v>
      </c>
      <c r="G1449" s="9">
        <v>41</v>
      </c>
      <c r="H1449" s="9">
        <v>41000</v>
      </c>
      <c r="I1449" s="9">
        <v>10</v>
      </c>
      <c r="J1449" s="9">
        <f t="shared" si="44"/>
        <v>1681000</v>
      </c>
      <c r="K1449" s="9">
        <f t="shared" si="45"/>
        <v>1512900</v>
      </c>
      <c r="L1449" s="11" t="s">
        <v>229</v>
      </c>
      <c r="M1449" s="11" t="s">
        <v>96</v>
      </c>
    </row>
    <row r="1450" spans="1:13" x14ac:dyDescent="0.25">
      <c r="A1450" s="6">
        <v>1422</v>
      </c>
      <c r="B1450" s="7">
        <v>45255</v>
      </c>
      <c r="C1450" s="8" t="s">
        <v>78</v>
      </c>
      <c r="D1450" s="8" t="s">
        <v>73</v>
      </c>
      <c r="E1450" s="8" t="s">
        <v>74</v>
      </c>
      <c r="F1450" s="8" t="s">
        <v>94</v>
      </c>
      <c r="G1450" s="6">
        <v>3</v>
      </c>
      <c r="H1450" s="6">
        <v>39300</v>
      </c>
      <c r="I1450" s="6">
        <v>5</v>
      </c>
      <c r="J1450" s="6">
        <f t="shared" si="44"/>
        <v>117900</v>
      </c>
      <c r="K1450" s="6">
        <f t="shared" si="45"/>
        <v>112005</v>
      </c>
      <c r="L1450" s="8" t="s">
        <v>86</v>
      </c>
      <c r="M1450" s="8" t="s">
        <v>81</v>
      </c>
    </row>
    <row r="1451" spans="1:13" x14ac:dyDescent="0.25">
      <c r="A1451" s="9">
        <v>1423</v>
      </c>
      <c r="B1451" s="10">
        <v>44974</v>
      </c>
      <c r="C1451" s="11" t="s">
        <v>82</v>
      </c>
      <c r="D1451" s="11" t="s">
        <v>83</v>
      </c>
      <c r="E1451" s="11" t="s">
        <v>145</v>
      </c>
      <c r="F1451" s="11" t="s">
        <v>103</v>
      </c>
      <c r="G1451" s="9">
        <v>1</v>
      </c>
      <c r="H1451" s="9">
        <v>9200</v>
      </c>
      <c r="I1451" s="9">
        <v>0</v>
      </c>
      <c r="J1451" s="9">
        <f t="shared" si="44"/>
        <v>9200</v>
      </c>
      <c r="K1451" s="9">
        <f t="shared" si="45"/>
        <v>9200</v>
      </c>
      <c r="L1451" s="11" t="s">
        <v>76</v>
      </c>
      <c r="M1451" s="11" t="s">
        <v>81</v>
      </c>
    </row>
    <row r="1452" spans="1:13" x14ac:dyDescent="0.25">
      <c r="A1452" s="6">
        <v>1424</v>
      </c>
      <c r="B1452" s="7">
        <v>45356</v>
      </c>
      <c r="C1452" s="8" t="s">
        <v>97</v>
      </c>
      <c r="D1452" s="8" t="s">
        <v>73</v>
      </c>
      <c r="E1452" s="8" t="s">
        <v>111</v>
      </c>
      <c r="F1452" s="8" t="s">
        <v>159</v>
      </c>
      <c r="G1452" s="6">
        <v>35</v>
      </c>
      <c r="H1452" s="6">
        <v>13800</v>
      </c>
      <c r="I1452" s="6">
        <v>0</v>
      </c>
      <c r="J1452" s="6">
        <f t="shared" si="44"/>
        <v>483000</v>
      </c>
      <c r="K1452" s="6">
        <f t="shared" si="45"/>
        <v>483000</v>
      </c>
      <c r="L1452" s="8" t="s">
        <v>76</v>
      </c>
      <c r="M1452" s="8" t="s">
        <v>77</v>
      </c>
    </row>
    <row r="1453" spans="1:13" x14ac:dyDescent="0.25">
      <c r="A1453" s="9">
        <v>218</v>
      </c>
      <c r="B1453" s="10">
        <v>45619</v>
      </c>
      <c r="C1453" s="11" t="s">
        <v>82</v>
      </c>
      <c r="D1453" s="11" t="s">
        <v>83</v>
      </c>
      <c r="E1453" s="11" t="s">
        <v>111</v>
      </c>
      <c r="F1453" s="11" t="s">
        <v>132</v>
      </c>
      <c r="G1453" s="9">
        <v>10</v>
      </c>
      <c r="H1453" s="9">
        <v>8500</v>
      </c>
      <c r="I1453" s="9">
        <v>15</v>
      </c>
      <c r="J1453" s="9">
        <f t="shared" si="44"/>
        <v>85000</v>
      </c>
      <c r="K1453" s="9">
        <f t="shared" si="45"/>
        <v>72250</v>
      </c>
      <c r="L1453" s="11" t="s">
        <v>76</v>
      </c>
      <c r="M1453" s="11" t="s">
        <v>96</v>
      </c>
    </row>
    <row r="1454" spans="1:13" x14ac:dyDescent="0.25">
      <c r="A1454" s="6">
        <v>1425</v>
      </c>
      <c r="B1454" s="7">
        <v>45414</v>
      </c>
      <c r="C1454" s="8" t="s">
        <v>119</v>
      </c>
      <c r="D1454" s="8" t="s">
        <v>117</v>
      </c>
      <c r="E1454" s="8" t="s">
        <v>84</v>
      </c>
      <c r="F1454" s="8" t="s">
        <v>200</v>
      </c>
      <c r="G1454" s="6">
        <v>24</v>
      </c>
      <c r="H1454" s="6">
        <v>3400</v>
      </c>
      <c r="I1454" s="6">
        <v>5</v>
      </c>
      <c r="J1454" s="6">
        <f t="shared" si="44"/>
        <v>81600</v>
      </c>
      <c r="K1454" s="6">
        <f t="shared" si="45"/>
        <v>77520</v>
      </c>
      <c r="L1454" s="8" t="s">
        <v>125</v>
      </c>
      <c r="M1454" s="8"/>
    </row>
    <row r="1455" spans="1:13" x14ac:dyDescent="0.25">
      <c r="A1455" s="9">
        <v>1426</v>
      </c>
      <c r="B1455" s="10">
        <v>45431</v>
      </c>
      <c r="C1455" s="11" t="s">
        <v>124</v>
      </c>
      <c r="D1455" s="11" t="s">
        <v>109</v>
      </c>
      <c r="E1455" s="11" t="s">
        <v>84</v>
      </c>
      <c r="F1455" s="11" t="s">
        <v>90</v>
      </c>
      <c r="G1455" s="9">
        <v>10</v>
      </c>
      <c r="H1455" s="9" t="s">
        <v>547</v>
      </c>
      <c r="I1455" s="9">
        <v>15</v>
      </c>
      <c r="J1455" s="9">
        <f t="shared" si="44"/>
        <v>19000</v>
      </c>
      <c r="K1455" s="9">
        <f t="shared" si="45"/>
        <v>16150</v>
      </c>
      <c r="L1455" s="11" t="s">
        <v>76</v>
      </c>
      <c r="M1455" s="11" t="s">
        <v>77</v>
      </c>
    </row>
    <row r="1456" spans="1:13" x14ac:dyDescent="0.25">
      <c r="A1456" s="6">
        <v>1427</v>
      </c>
      <c r="B1456" s="7">
        <v>45024</v>
      </c>
      <c r="C1456" s="8" t="s">
        <v>114</v>
      </c>
      <c r="D1456" s="8" t="s">
        <v>117</v>
      </c>
      <c r="E1456" s="8" t="s">
        <v>145</v>
      </c>
      <c r="F1456" s="8" t="s">
        <v>137</v>
      </c>
      <c r="G1456" s="6">
        <v>17</v>
      </c>
      <c r="H1456" s="6">
        <v>2100</v>
      </c>
      <c r="I1456" s="6">
        <v>0</v>
      </c>
      <c r="J1456" s="6">
        <f t="shared" si="44"/>
        <v>35700</v>
      </c>
      <c r="K1456" s="6">
        <f t="shared" si="45"/>
        <v>35700</v>
      </c>
      <c r="L1456" s="8" t="s">
        <v>76</v>
      </c>
      <c r="M1456" s="8" t="s">
        <v>96</v>
      </c>
    </row>
    <row r="1457" spans="1:13" x14ac:dyDescent="0.25">
      <c r="A1457" s="9">
        <v>1428</v>
      </c>
      <c r="B1457" s="10">
        <v>45654</v>
      </c>
      <c r="C1457" s="11" t="s">
        <v>119</v>
      </c>
      <c r="D1457" s="11" t="s">
        <v>93</v>
      </c>
      <c r="E1457" s="11" t="s">
        <v>102</v>
      </c>
      <c r="F1457" s="11" t="s">
        <v>110</v>
      </c>
      <c r="G1457" s="9">
        <v>9</v>
      </c>
      <c r="H1457" s="9">
        <v>24000</v>
      </c>
      <c r="I1457" s="9">
        <v>15</v>
      </c>
      <c r="J1457" s="9">
        <f t="shared" si="44"/>
        <v>216000</v>
      </c>
      <c r="K1457" s="9">
        <f t="shared" si="45"/>
        <v>183600</v>
      </c>
      <c r="L1457" s="11" t="s">
        <v>76</v>
      </c>
      <c r="M1457" s="11" t="s">
        <v>96</v>
      </c>
    </row>
    <row r="1458" spans="1:13" x14ac:dyDescent="0.25">
      <c r="A1458" s="6">
        <v>1429</v>
      </c>
      <c r="B1458" s="8" t="s">
        <v>470</v>
      </c>
      <c r="C1458" s="8" t="s">
        <v>124</v>
      </c>
      <c r="D1458" s="8" t="s">
        <v>73</v>
      </c>
      <c r="E1458" s="8" t="s">
        <v>111</v>
      </c>
      <c r="F1458" s="8" t="s">
        <v>192</v>
      </c>
      <c r="G1458" s="6">
        <v>12</v>
      </c>
      <c r="H1458" s="6">
        <v>104400</v>
      </c>
      <c r="I1458" s="6">
        <v>20</v>
      </c>
      <c r="J1458" s="6">
        <f t="shared" si="44"/>
        <v>1252800</v>
      </c>
      <c r="K1458" s="6">
        <f t="shared" si="45"/>
        <v>1002240</v>
      </c>
      <c r="L1458" s="8" t="s">
        <v>76</v>
      </c>
      <c r="M1458" s="8" t="s">
        <v>77</v>
      </c>
    </row>
    <row r="1459" spans="1:13" x14ac:dyDescent="0.25">
      <c r="A1459" s="9">
        <v>1430</v>
      </c>
      <c r="B1459" s="10">
        <v>45170</v>
      </c>
      <c r="C1459" s="11" t="s">
        <v>108</v>
      </c>
      <c r="D1459" s="11" t="s">
        <v>83</v>
      </c>
      <c r="E1459" s="11" t="s">
        <v>74</v>
      </c>
      <c r="F1459" s="11" t="s">
        <v>94</v>
      </c>
      <c r="G1459" s="9">
        <v>31</v>
      </c>
      <c r="H1459" s="9">
        <v>36500</v>
      </c>
      <c r="I1459" s="9">
        <v>15</v>
      </c>
      <c r="J1459" s="9">
        <f t="shared" si="44"/>
        <v>1131500</v>
      </c>
      <c r="K1459" s="9">
        <f t="shared" si="45"/>
        <v>961775</v>
      </c>
      <c r="L1459" s="11" t="s">
        <v>189</v>
      </c>
      <c r="M1459" s="11" t="s">
        <v>81</v>
      </c>
    </row>
    <row r="1460" spans="1:13" x14ac:dyDescent="0.25">
      <c r="A1460" s="6">
        <v>1431</v>
      </c>
      <c r="B1460" s="7">
        <v>45518</v>
      </c>
      <c r="C1460" s="8" t="s">
        <v>114</v>
      </c>
      <c r="D1460" s="8" t="s">
        <v>83</v>
      </c>
      <c r="E1460" s="8" t="s">
        <v>84</v>
      </c>
      <c r="F1460" s="8" t="s">
        <v>85</v>
      </c>
      <c r="G1460" s="6">
        <v>35</v>
      </c>
      <c r="H1460" s="6">
        <v>5700</v>
      </c>
      <c r="I1460" s="6">
        <v>15</v>
      </c>
      <c r="J1460" s="6">
        <f t="shared" si="44"/>
        <v>199500</v>
      </c>
      <c r="K1460" s="6">
        <f t="shared" si="45"/>
        <v>169575</v>
      </c>
      <c r="L1460" s="8" t="s">
        <v>76</v>
      </c>
      <c r="M1460" s="8" t="s">
        <v>96</v>
      </c>
    </row>
    <row r="1461" spans="1:13" x14ac:dyDescent="0.25">
      <c r="A1461" s="9">
        <v>1432</v>
      </c>
      <c r="B1461" s="11" t="s">
        <v>548</v>
      </c>
      <c r="C1461" s="11" t="s">
        <v>88</v>
      </c>
      <c r="D1461" s="11" t="s">
        <v>117</v>
      </c>
      <c r="E1461" s="11" t="s">
        <v>84</v>
      </c>
      <c r="F1461" s="11" t="s">
        <v>134</v>
      </c>
      <c r="G1461" s="9">
        <v>32</v>
      </c>
      <c r="H1461" s="9">
        <v>9500</v>
      </c>
      <c r="I1461" s="9">
        <v>15</v>
      </c>
      <c r="J1461" s="9">
        <f t="shared" si="44"/>
        <v>304000</v>
      </c>
      <c r="K1461" s="9">
        <f t="shared" si="45"/>
        <v>258400</v>
      </c>
      <c r="L1461" s="11" t="s">
        <v>86</v>
      </c>
      <c r="M1461" s="11" t="s">
        <v>91</v>
      </c>
    </row>
    <row r="1462" spans="1:13" x14ac:dyDescent="0.25">
      <c r="A1462" s="6">
        <v>1433</v>
      </c>
      <c r="B1462" s="7">
        <v>45025</v>
      </c>
      <c r="C1462" s="8" t="s">
        <v>88</v>
      </c>
      <c r="D1462" s="8" t="s">
        <v>93</v>
      </c>
      <c r="E1462" s="8" t="s">
        <v>255</v>
      </c>
      <c r="F1462" s="8" t="s">
        <v>118</v>
      </c>
      <c r="G1462" s="6">
        <v>28</v>
      </c>
      <c r="H1462" s="6">
        <v>30700</v>
      </c>
      <c r="I1462" s="6">
        <v>0</v>
      </c>
      <c r="J1462" s="6">
        <f t="shared" si="44"/>
        <v>859600</v>
      </c>
      <c r="K1462" s="6">
        <f t="shared" si="45"/>
        <v>859600</v>
      </c>
      <c r="L1462" s="8" t="s">
        <v>76</v>
      </c>
      <c r="M1462" s="8" t="s">
        <v>81</v>
      </c>
    </row>
    <row r="1463" spans="1:13" x14ac:dyDescent="0.25">
      <c r="A1463" s="9">
        <v>1434</v>
      </c>
      <c r="B1463" s="10">
        <v>45159</v>
      </c>
      <c r="C1463" s="11" t="s">
        <v>119</v>
      </c>
      <c r="D1463" s="11" t="s">
        <v>73</v>
      </c>
      <c r="E1463" s="11" t="s">
        <v>79</v>
      </c>
      <c r="F1463" s="11" t="s">
        <v>179</v>
      </c>
      <c r="G1463" s="9">
        <v>23</v>
      </c>
      <c r="H1463" s="9">
        <v>2300</v>
      </c>
      <c r="I1463" s="9">
        <v>10</v>
      </c>
      <c r="J1463" s="9">
        <f t="shared" si="44"/>
        <v>52900</v>
      </c>
      <c r="K1463" s="9">
        <f t="shared" si="45"/>
        <v>47610</v>
      </c>
      <c r="L1463" s="11" t="s">
        <v>76</v>
      </c>
      <c r="M1463" s="11" t="s">
        <v>91</v>
      </c>
    </row>
    <row r="1464" spans="1:13" x14ac:dyDescent="0.25">
      <c r="A1464" s="6">
        <v>1435</v>
      </c>
      <c r="B1464" s="7">
        <v>45011</v>
      </c>
      <c r="C1464" s="8" t="s">
        <v>82</v>
      </c>
      <c r="D1464" s="8" t="s">
        <v>109</v>
      </c>
      <c r="E1464" s="8" t="s">
        <v>111</v>
      </c>
      <c r="F1464" s="8" t="s">
        <v>156</v>
      </c>
      <c r="G1464" s="6">
        <v>44</v>
      </c>
      <c r="H1464" s="6">
        <v>39300</v>
      </c>
      <c r="I1464" s="6">
        <v>0</v>
      </c>
      <c r="J1464" s="6">
        <f t="shared" si="44"/>
        <v>1729200</v>
      </c>
      <c r="K1464" s="6">
        <f t="shared" si="45"/>
        <v>1729200</v>
      </c>
      <c r="L1464" s="8" t="s">
        <v>76</v>
      </c>
      <c r="M1464" s="8" t="s">
        <v>77</v>
      </c>
    </row>
    <row r="1465" spans="1:13" x14ac:dyDescent="0.25">
      <c r="A1465" s="9">
        <v>1436</v>
      </c>
      <c r="B1465" s="10">
        <v>45289</v>
      </c>
      <c r="C1465" s="11" t="s">
        <v>82</v>
      </c>
      <c r="D1465" s="11" t="s">
        <v>93</v>
      </c>
      <c r="E1465" s="11" t="s">
        <v>84</v>
      </c>
      <c r="F1465" s="11" t="s">
        <v>206</v>
      </c>
      <c r="G1465" s="12">
        <v>-24</v>
      </c>
      <c r="H1465" s="9" t="s">
        <v>549</v>
      </c>
      <c r="I1465" s="9">
        <v>0</v>
      </c>
      <c r="J1465" s="9" t="e">
        <f t="shared" si="44"/>
        <v>#VALUE!</v>
      </c>
      <c r="K1465" s="9" t="e">
        <f t="shared" si="45"/>
        <v>#VALUE!</v>
      </c>
      <c r="L1465" s="11" t="s">
        <v>76</v>
      </c>
      <c r="M1465" s="11" t="s">
        <v>81</v>
      </c>
    </row>
    <row r="1466" spans="1:13" x14ac:dyDescent="0.25">
      <c r="A1466" s="6">
        <v>1437</v>
      </c>
      <c r="B1466" s="7">
        <v>45089</v>
      </c>
      <c r="C1466" s="8" t="s">
        <v>97</v>
      </c>
      <c r="D1466" s="8" t="s">
        <v>109</v>
      </c>
      <c r="E1466" s="8" t="s">
        <v>102</v>
      </c>
      <c r="F1466" s="8" t="s">
        <v>181</v>
      </c>
      <c r="G1466" s="6">
        <v>49</v>
      </c>
      <c r="H1466" s="6">
        <v>5000</v>
      </c>
      <c r="I1466" s="6">
        <v>20</v>
      </c>
      <c r="J1466" s="6">
        <f t="shared" si="44"/>
        <v>245000</v>
      </c>
      <c r="K1466" s="6">
        <f t="shared" si="45"/>
        <v>196000</v>
      </c>
      <c r="L1466" s="8" t="s">
        <v>86</v>
      </c>
      <c r="M1466" s="8" t="s">
        <v>91</v>
      </c>
    </row>
    <row r="1467" spans="1:13" x14ac:dyDescent="0.25">
      <c r="A1467" s="9">
        <v>1438</v>
      </c>
      <c r="B1467" s="10">
        <v>45134</v>
      </c>
      <c r="C1467" s="11" t="s">
        <v>101</v>
      </c>
      <c r="D1467" s="11" t="s">
        <v>73</v>
      </c>
      <c r="E1467" s="11" t="s">
        <v>111</v>
      </c>
      <c r="F1467" s="11" t="s">
        <v>135</v>
      </c>
      <c r="G1467" s="9">
        <v>34</v>
      </c>
      <c r="H1467" s="9">
        <v>114700</v>
      </c>
      <c r="I1467" s="9">
        <v>5</v>
      </c>
      <c r="J1467" s="9">
        <f t="shared" si="44"/>
        <v>3899800</v>
      </c>
      <c r="K1467" s="9">
        <f t="shared" si="45"/>
        <v>3704810</v>
      </c>
      <c r="L1467" s="11" t="s">
        <v>125</v>
      </c>
      <c r="M1467" s="11" t="s">
        <v>91</v>
      </c>
    </row>
    <row r="1468" spans="1:13" x14ac:dyDescent="0.25">
      <c r="A1468" s="6">
        <v>1439</v>
      </c>
      <c r="B1468" s="7">
        <v>45256</v>
      </c>
      <c r="C1468" s="8" t="s">
        <v>108</v>
      </c>
      <c r="D1468" s="8" t="s">
        <v>117</v>
      </c>
      <c r="E1468" s="8" t="s">
        <v>79</v>
      </c>
      <c r="F1468" s="8" t="s">
        <v>131</v>
      </c>
      <c r="G1468" s="6">
        <v>36</v>
      </c>
      <c r="H1468" s="6">
        <v>115500</v>
      </c>
      <c r="I1468" s="6">
        <v>15</v>
      </c>
      <c r="J1468" s="6">
        <f t="shared" si="44"/>
        <v>4158000</v>
      </c>
      <c r="K1468" s="6">
        <f t="shared" si="45"/>
        <v>3534300</v>
      </c>
      <c r="L1468" s="8" t="s">
        <v>86</v>
      </c>
      <c r="M1468" s="8" t="s">
        <v>81</v>
      </c>
    </row>
    <row r="1469" spans="1:13" x14ac:dyDescent="0.25">
      <c r="A1469" s="9">
        <v>190</v>
      </c>
      <c r="B1469" s="10">
        <v>45494</v>
      </c>
      <c r="C1469" s="11" t="s">
        <v>124</v>
      </c>
      <c r="D1469" s="11" t="s">
        <v>117</v>
      </c>
      <c r="E1469" s="11" t="s">
        <v>111</v>
      </c>
      <c r="F1469" s="11" t="s">
        <v>166</v>
      </c>
      <c r="G1469" s="9">
        <v>6</v>
      </c>
      <c r="H1469" s="9">
        <v>29500</v>
      </c>
      <c r="I1469" s="9">
        <v>15</v>
      </c>
      <c r="J1469" s="9">
        <f t="shared" si="44"/>
        <v>177000</v>
      </c>
      <c r="K1469" s="9">
        <f t="shared" si="45"/>
        <v>150450</v>
      </c>
      <c r="L1469" s="11" t="s">
        <v>76</v>
      </c>
      <c r="M1469" s="11" t="s">
        <v>91</v>
      </c>
    </row>
    <row r="1470" spans="1:13" x14ac:dyDescent="0.25">
      <c r="A1470" s="6">
        <v>1440</v>
      </c>
      <c r="B1470" s="7">
        <v>45554</v>
      </c>
      <c r="C1470" s="8" t="s">
        <v>124</v>
      </c>
      <c r="D1470" s="8" t="s">
        <v>73</v>
      </c>
      <c r="E1470" s="8" t="s">
        <v>79</v>
      </c>
      <c r="F1470" s="8" t="s">
        <v>115</v>
      </c>
      <c r="G1470" s="6">
        <v>31</v>
      </c>
      <c r="H1470" s="6">
        <v>8400</v>
      </c>
      <c r="I1470" s="6">
        <v>5</v>
      </c>
      <c r="J1470" s="6">
        <f t="shared" si="44"/>
        <v>260400</v>
      </c>
      <c r="K1470" s="6">
        <f t="shared" si="45"/>
        <v>247380</v>
      </c>
      <c r="L1470" s="8" t="s">
        <v>187</v>
      </c>
      <c r="M1470" s="8" t="s">
        <v>81</v>
      </c>
    </row>
    <row r="1471" spans="1:13" x14ac:dyDescent="0.25">
      <c r="A1471" s="9">
        <v>1441</v>
      </c>
      <c r="B1471" s="10">
        <v>45090</v>
      </c>
      <c r="C1471" s="11" t="s">
        <v>114</v>
      </c>
      <c r="D1471" s="11" t="s">
        <v>83</v>
      </c>
      <c r="E1471" s="11" t="s">
        <v>102</v>
      </c>
      <c r="F1471" s="11" t="s">
        <v>181</v>
      </c>
      <c r="G1471" s="9">
        <v>23</v>
      </c>
      <c r="H1471" s="9">
        <v>4300</v>
      </c>
      <c r="I1471" s="9">
        <v>0</v>
      </c>
      <c r="J1471" s="9">
        <f t="shared" si="44"/>
        <v>98900</v>
      </c>
      <c r="K1471" s="9">
        <f t="shared" si="45"/>
        <v>98900</v>
      </c>
      <c r="L1471" s="11" t="s">
        <v>76</v>
      </c>
      <c r="M1471" s="11" t="s">
        <v>96</v>
      </c>
    </row>
    <row r="1472" spans="1:13" x14ac:dyDescent="0.25">
      <c r="A1472" s="6">
        <v>1442</v>
      </c>
      <c r="B1472" s="7">
        <v>45338</v>
      </c>
      <c r="C1472" s="8" t="s">
        <v>97</v>
      </c>
      <c r="D1472" s="8" t="s">
        <v>93</v>
      </c>
      <c r="E1472" s="8" t="s">
        <v>84</v>
      </c>
      <c r="F1472" s="8" t="s">
        <v>90</v>
      </c>
      <c r="G1472" s="6">
        <v>44</v>
      </c>
      <c r="H1472" s="6">
        <v>1800</v>
      </c>
      <c r="I1472" s="6">
        <v>0</v>
      </c>
      <c r="J1472" s="6">
        <f t="shared" si="44"/>
        <v>79200</v>
      </c>
      <c r="K1472" s="6">
        <f t="shared" si="45"/>
        <v>79200</v>
      </c>
      <c r="L1472" s="8" t="s">
        <v>76</v>
      </c>
      <c r="M1472" s="8" t="s">
        <v>96</v>
      </c>
    </row>
    <row r="1473" spans="1:13" x14ac:dyDescent="0.25">
      <c r="A1473" s="9">
        <v>1443</v>
      </c>
      <c r="B1473" s="11" t="s">
        <v>550</v>
      </c>
      <c r="C1473" s="11" t="s">
        <v>72</v>
      </c>
      <c r="D1473" s="11" t="s">
        <v>93</v>
      </c>
      <c r="E1473" s="11" t="s">
        <v>74</v>
      </c>
      <c r="F1473" s="11" t="s">
        <v>118</v>
      </c>
      <c r="G1473" s="9">
        <v>39</v>
      </c>
      <c r="H1473" s="9">
        <v>30600</v>
      </c>
      <c r="I1473" s="9">
        <v>0</v>
      </c>
      <c r="J1473" s="9">
        <f t="shared" si="44"/>
        <v>1193400</v>
      </c>
      <c r="K1473" s="9">
        <f t="shared" si="45"/>
        <v>1193400</v>
      </c>
      <c r="L1473" s="11" t="s">
        <v>76</v>
      </c>
      <c r="M1473" s="11" t="s">
        <v>91</v>
      </c>
    </row>
    <row r="1474" spans="1:13" x14ac:dyDescent="0.25">
      <c r="A1474" s="6">
        <v>1444</v>
      </c>
      <c r="B1474" s="7">
        <v>45054</v>
      </c>
      <c r="C1474" s="8" t="s">
        <v>82</v>
      </c>
      <c r="D1474" s="8" t="s">
        <v>93</v>
      </c>
      <c r="E1474" s="8" t="s">
        <v>111</v>
      </c>
      <c r="F1474" s="8" t="s">
        <v>166</v>
      </c>
      <c r="G1474" s="6">
        <v>49</v>
      </c>
      <c r="H1474" s="6">
        <v>25700</v>
      </c>
      <c r="I1474" s="6">
        <v>0</v>
      </c>
      <c r="J1474" s="6">
        <f t="shared" ref="J1474:J1537" si="46">G1474*H1474</f>
        <v>1259300</v>
      </c>
      <c r="K1474" s="6">
        <f t="shared" ref="K1474:K1537" si="47">J1474*(1-I1474/100)</f>
        <v>1259300</v>
      </c>
      <c r="L1474" s="8" t="s">
        <v>107</v>
      </c>
      <c r="M1474" s="8" t="s">
        <v>96</v>
      </c>
    </row>
    <row r="1475" spans="1:13" x14ac:dyDescent="0.25">
      <c r="A1475" s="9">
        <v>1445</v>
      </c>
      <c r="B1475" s="10">
        <v>44968</v>
      </c>
      <c r="C1475" s="11" t="s">
        <v>114</v>
      </c>
      <c r="D1475" s="11" t="s">
        <v>117</v>
      </c>
      <c r="E1475" s="11" t="s">
        <v>79</v>
      </c>
      <c r="F1475" s="11" t="s">
        <v>172</v>
      </c>
      <c r="G1475" s="9">
        <v>11</v>
      </c>
      <c r="H1475" s="9">
        <v>25200</v>
      </c>
      <c r="I1475" s="9">
        <v>20</v>
      </c>
      <c r="J1475" s="9">
        <f t="shared" si="46"/>
        <v>277200</v>
      </c>
      <c r="K1475" s="9">
        <f t="shared" si="47"/>
        <v>221760</v>
      </c>
      <c r="L1475" s="11" t="s">
        <v>189</v>
      </c>
      <c r="M1475" s="11" t="s">
        <v>91</v>
      </c>
    </row>
    <row r="1476" spans="1:13" x14ac:dyDescent="0.25">
      <c r="A1476" s="6">
        <v>1446</v>
      </c>
      <c r="B1476" s="7">
        <v>45225</v>
      </c>
      <c r="C1476" s="8" t="s">
        <v>106</v>
      </c>
      <c r="D1476" s="8" t="s">
        <v>93</v>
      </c>
      <c r="E1476" s="8" t="s">
        <v>79</v>
      </c>
      <c r="F1476" s="8" t="s">
        <v>131</v>
      </c>
      <c r="G1476" s="6">
        <v>39</v>
      </c>
      <c r="H1476" s="6">
        <v>137900</v>
      </c>
      <c r="I1476" s="6">
        <v>0</v>
      </c>
      <c r="J1476" s="6">
        <f t="shared" si="46"/>
        <v>5378100</v>
      </c>
      <c r="K1476" s="6">
        <f t="shared" si="47"/>
        <v>5378100</v>
      </c>
      <c r="L1476" s="8" t="s">
        <v>125</v>
      </c>
      <c r="M1476" s="8" t="s">
        <v>96</v>
      </c>
    </row>
    <row r="1477" spans="1:13" x14ac:dyDescent="0.25">
      <c r="A1477" s="9">
        <v>1447</v>
      </c>
      <c r="B1477" s="10">
        <v>45607</v>
      </c>
      <c r="C1477" s="11" t="s">
        <v>119</v>
      </c>
      <c r="D1477" s="11" t="s">
        <v>83</v>
      </c>
      <c r="E1477" s="11" t="s">
        <v>111</v>
      </c>
      <c r="F1477" s="11" t="s">
        <v>192</v>
      </c>
      <c r="G1477" s="9">
        <v>50</v>
      </c>
      <c r="H1477" s="9">
        <v>100700</v>
      </c>
      <c r="I1477" s="9">
        <v>0</v>
      </c>
      <c r="J1477" s="9">
        <f t="shared" si="46"/>
        <v>5035000</v>
      </c>
      <c r="K1477" s="9">
        <f t="shared" si="47"/>
        <v>5035000</v>
      </c>
      <c r="L1477" s="11" t="s">
        <v>129</v>
      </c>
      <c r="M1477" s="11" t="s">
        <v>96</v>
      </c>
    </row>
    <row r="1478" spans="1:13" x14ac:dyDescent="0.25">
      <c r="A1478" s="6">
        <v>1448</v>
      </c>
      <c r="B1478" s="8" t="s">
        <v>551</v>
      </c>
      <c r="C1478" s="8" t="s">
        <v>82</v>
      </c>
      <c r="D1478" s="8" t="s">
        <v>117</v>
      </c>
      <c r="E1478" s="8" t="s">
        <v>111</v>
      </c>
      <c r="F1478" s="8" t="s">
        <v>135</v>
      </c>
      <c r="G1478" s="6">
        <v>6</v>
      </c>
      <c r="H1478" s="6" t="s">
        <v>552</v>
      </c>
      <c r="I1478" s="6">
        <v>0</v>
      </c>
      <c r="J1478" s="6">
        <f t="shared" si="46"/>
        <v>790800</v>
      </c>
      <c r="K1478" s="6">
        <f t="shared" si="47"/>
        <v>790800</v>
      </c>
      <c r="L1478" s="8" t="s">
        <v>76</v>
      </c>
      <c r="M1478" s="8" t="s">
        <v>91</v>
      </c>
    </row>
    <row r="1479" spans="1:13" x14ac:dyDescent="0.25">
      <c r="A1479" s="9">
        <v>1449</v>
      </c>
      <c r="B1479" s="11" t="s">
        <v>505</v>
      </c>
      <c r="C1479" s="11" t="s">
        <v>338</v>
      </c>
      <c r="D1479" s="11" t="s">
        <v>109</v>
      </c>
      <c r="E1479" s="11" t="s">
        <v>102</v>
      </c>
      <c r="F1479" s="11" t="s">
        <v>151</v>
      </c>
      <c r="G1479" s="9">
        <v>7</v>
      </c>
      <c r="H1479" s="9">
        <v>8000</v>
      </c>
      <c r="I1479" s="9">
        <v>10</v>
      </c>
      <c r="J1479" s="9">
        <f t="shared" si="46"/>
        <v>56000</v>
      </c>
      <c r="K1479" s="9">
        <f t="shared" si="47"/>
        <v>50400</v>
      </c>
      <c r="L1479" s="11" t="s">
        <v>125</v>
      </c>
      <c r="M1479" s="11" t="s">
        <v>91</v>
      </c>
    </row>
    <row r="1480" spans="1:13" x14ac:dyDescent="0.25">
      <c r="A1480" s="6">
        <v>1450</v>
      </c>
      <c r="B1480" s="7">
        <v>45548</v>
      </c>
      <c r="C1480" s="8" t="s">
        <v>124</v>
      </c>
      <c r="D1480" s="8" t="s">
        <v>83</v>
      </c>
      <c r="E1480" s="8" t="s">
        <v>102</v>
      </c>
      <c r="F1480" s="8" t="s">
        <v>151</v>
      </c>
      <c r="G1480" s="6">
        <v>7</v>
      </c>
      <c r="H1480" s="6">
        <v>6800</v>
      </c>
      <c r="I1480" s="6">
        <v>10</v>
      </c>
      <c r="J1480" s="6">
        <f t="shared" si="46"/>
        <v>47600</v>
      </c>
      <c r="K1480" s="6">
        <f t="shared" si="47"/>
        <v>42840</v>
      </c>
      <c r="L1480" s="8" t="s">
        <v>76</v>
      </c>
      <c r="M1480" s="8" t="s">
        <v>77</v>
      </c>
    </row>
    <row r="1481" spans="1:13" x14ac:dyDescent="0.25">
      <c r="A1481" s="9">
        <v>1451</v>
      </c>
      <c r="B1481" s="10">
        <v>45024</v>
      </c>
      <c r="C1481" s="11" t="s">
        <v>97</v>
      </c>
      <c r="D1481" s="11" t="s">
        <v>109</v>
      </c>
      <c r="E1481" s="11" t="s">
        <v>74</v>
      </c>
      <c r="F1481" s="11" t="s">
        <v>140</v>
      </c>
      <c r="G1481" s="9">
        <v>46</v>
      </c>
      <c r="H1481" s="9">
        <v>5000</v>
      </c>
      <c r="I1481" s="9">
        <v>15</v>
      </c>
      <c r="J1481" s="9">
        <f t="shared" si="46"/>
        <v>230000</v>
      </c>
      <c r="K1481" s="9">
        <f t="shared" si="47"/>
        <v>195500</v>
      </c>
      <c r="L1481" s="11" t="s">
        <v>86</v>
      </c>
      <c r="M1481" s="11" t="s">
        <v>96</v>
      </c>
    </row>
    <row r="1482" spans="1:13" x14ac:dyDescent="0.25">
      <c r="A1482" s="6">
        <v>1452</v>
      </c>
      <c r="B1482" s="7">
        <v>45377</v>
      </c>
      <c r="C1482" s="8" t="s">
        <v>119</v>
      </c>
      <c r="D1482" s="8" t="s">
        <v>300</v>
      </c>
      <c r="E1482" s="8" t="s">
        <v>102</v>
      </c>
      <c r="F1482" s="8" t="s">
        <v>138</v>
      </c>
      <c r="G1482" s="6">
        <v>41</v>
      </c>
      <c r="H1482" s="6" t="s">
        <v>553</v>
      </c>
      <c r="I1482" s="6">
        <v>15</v>
      </c>
      <c r="J1482" s="6" t="e">
        <f t="shared" si="46"/>
        <v>#VALUE!</v>
      </c>
      <c r="K1482" s="6" t="e">
        <f t="shared" si="47"/>
        <v>#VALUE!</v>
      </c>
      <c r="L1482" s="8" t="s">
        <v>187</v>
      </c>
      <c r="M1482" s="8" t="s">
        <v>91</v>
      </c>
    </row>
    <row r="1483" spans="1:13" x14ac:dyDescent="0.25">
      <c r="A1483" s="9">
        <v>1453</v>
      </c>
      <c r="B1483" s="11" t="s">
        <v>554</v>
      </c>
      <c r="C1483" s="11" t="s">
        <v>106</v>
      </c>
      <c r="D1483" s="11" t="s">
        <v>93</v>
      </c>
      <c r="E1483" s="11" t="s">
        <v>84</v>
      </c>
      <c r="F1483" s="11" t="s">
        <v>206</v>
      </c>
      <c r="G1483" s="9">
        <v>22</v>
      </c>
      <c r="H1483" s="9" t="s">
        <v>555</v>
      </c>
      <c r="I1483" s="9">
        <v>20</v>
      </c>
      <c r="J1483" s="9" t="e">
        <f t="shared" si="46"/>
        <v>#VALUE!</v>
      </c>
      <c r="K1483" s="9" t="e">
        <f t="shared" si="47"/>
        <v>#VALUE!</v>
      </c>
      <c r="L1483" s="11" t="s">
        <v>76</v>
      </c>
      <c r="M1483" s="11" t="s">
        <v>91</v>
      </c>
    </row>
    <row r="1484" spans="1:13" x14ac:dyDescent="0.25">
      <c r="A1484" s="6">
        <v>1454</v>
      </c>
      <c r="B1484" s="8" t="s">
        <v>556</v>
      </c>
      <c r="C1484" s="8" t="s">
        <v>194</v>
      </c>
      <c r="D1484" s="8" t="s">
        <v>117</v>
      </c>
      <c r="E1484" s="8" t="s">
        <v>74</v>
      </c>
      <c r="F1484" s="8" t="s">
        <v>212</v>
      </c>
      <c r="G1484" s="6">
        <v>16</v>
      </c>
      <c r="H1484" s="6">
        <v>7900</v>
      </c>
      <c r="I1484" s="6">
        <v>0</v>
      </c>
      <c r="J1484" s="6">
        <f t="shared" si="46"/>
        <v>126400</v>
      </c>
      <c r="K1484" s="6">
        <f t="shared" si="47"/>
        <v>126400</v>
      </c>
      <c r="L1484" s="8" t="s">
        <v>76</v>
      </c>
      <c r="M1484" s="8" t="s">
        <v>77</v>
      </c>
    </row>
    <row r="1485" spans="1:13" x14ac:dyDescent="0.25">
      <c r="A1485" s="9">
        <v>1455</v>
      </c>
      <c r="B1485" s="11" t="s">
        <v>557</v>
      </c>
      <c r="C1485" s="11" t="s">
        <v>101</v>
      </c>
      <c r="D1485" s="11" t="s">
        <v>109</v>
      </c>
      <c r="E1485" s="11" t="s">
        <v>84</v>
      </c>
      <c r="F1485" s="11" t="s">
        <v>200</v>
      </c>
      <c r="G1485" s="9">
        <v>49</v>
      </c>
      <c r="H1485" s="9">
        <v>3500</v>
      </c>
      <c r="I1485" s="9">
        <v>20</v>
      </c>
      <c r="J1485" s="9">
        <f t="shared" si="46"/>
        <v>171500</v>
      </c>
      <c r="K1485" s="9">
        <f t="shared" si="47"/>
        <v>137200</v>
      </c>
      <c r="L1485" s="11" t="s">
        <v>76</v>
      </c>
      <c r="M1485" s="11" t="s">
        <v>81</v>
      </c>
    </row>
    <row r="1486" spans="1:13" x14ac:dyDescent="0.25">
      <c r="A1486" s="6">
        <v>1456</v>
      </c>
      <c r="B1486" s="8" t="s">
        <v>558</v>
      </c>
      <c r="C1486" s="8" t="s">
        <v>97</v>
      </c>
      <c r="D1486" s="8" t="s">
        <v>117</v>
      </c>
      <c r="E1486" s="8" t="s">
        <v>74</v>
      </c>
      <c r="F1486" s="8" t="s">
        <v>75</v>
      </c>
      <c r="G1486" s="12">
        <v>-20</v>
      </c>
      <c r="H1486" s="6">
        <v>21500</v>
      </c>
      <c r="I1486" s="6">
        <v>15</v>
      </c>
      <c r="J1486" s="6">
        <f t="shared" si="46"/>
        <v>-430000</v>
      </c>
      <c r="K1486" s="6">
        <f t="shared" si="47"/>
        <v>-365500</v>
      </c>
      <c r="L1486" s="8" t="s">
        <v>76</v>
      </c>
      <c r="M1486" s="8" t="s">
        <v>77</v>
      </c>
    </row>
    <row r="1487" spans="1:13" x14ac:dyDescent="0.25">
      <c r="A1487" s="9">
        <v>1457</v>
      </c>
      <c r="B1487" s="10">
        <v>45342</v>
      </c>
      <c r="C1487" s="11" t="s">
        <v>286</v>
      </c>
      <c r="D1487" s="11" t="s">
        <v>93</v>
      </c>
      <c r="E1487" s="11" t="s">
        <v>111</v>
      </c>
      <c r="F1487" s="11" t="s">
        <v>166</v>
      </c>
      <c r="G1487" s="9">
        <v>13</v>
      </c>
      <c r="H1487" s="9">
        <v>30500</v>
      </c>
      <c r="I1487" s="9">
        <v>0</v>
      </c>
      <c r="J1487" s="9">
        <f t="shared" si="46"/>
        <v>396500</v>
      </c>
      <c r="K1487" s="9">
        <f t="shared" si="47"/>
        <v>396500</v>
      </c>
      <c r="L1487" s="11" t="s">
        <v>76</v>
      </c>
      <c r="M1487" s="11" t="s">
        <v>91</v>
      </c>
    </row>
    <row r="1488" spans="1:13" x14ac:dyDescent="0.25">
      <c r="A1488" s="6">
        <v>1458</v>
      </c>
      <c r="B1488" s="7">
        <v>45272</v>
      </c>
      <c r="C1488" s="8" t="s">
        <v>119</v>
      </c>
      <c r="D1488" s="8" t="s">
        <v>117</v>
      </c>
      <c r="E1488" s="8" t="s">
        <v>84</v>
      </c>
      <c r="F1488" s="8" t="s">
        <v>128</v>
      </c>
      <c r="G1488" s="6">
        <v>8</v>
      </c>
      <c r="H1488" s="6">
        <v>4100</v>
      </c>
      <c r="I1488" s="6">
        <v>10</v>
      </c>
      <c r="J1488" s="6">
        <f t="shared" si="46"/>
        <v>32800</v>
      </c>
      <c r="K1488" s="6">
        <f t="shared" si="47"/>
        <v>29520</v>
      </c>
      <c r="L1488" s="8" t="s">
        <v>164</v>
      </c>
      <c r="M1488" s="8" t="s">
        <v>96</v>
      </c>
    </row>
    <row r="1489" spans="1:13" x14ac:dyDescent="0.25">
      <c r="A1489" s="9">
        <v>1459</v>
      </c>
      <c r="B1489" s="11" t="s">
        <v>559</v>
      </c>
      <c r="C1489" s="11" t="s">
        <v>82</v>
      </c>
      <c r="D1489" s="11" t="s">
        <v>117</v>
      </c>
      <c r="E1489" s="11" t="s">
        <v>102</v>
      </c>
      <c r="F1489" s="11" t="s">
        <v>103</v>
      </c>
      <c r="G1489" s="9">
        <v>45</v>
      </c>
      <c r="H1489" s="9">
        <v>9800</v>
      </c>
      <c r="I1489" s="9">
        <v>0</v>
      </c>
      <c r="J1489" s="9">
        <f t="shared" si="46"/>
        <v>441000</v>
      </c>
      <c r="K1489" s="9">
        <f t="shared" si="47"/>
        <v>441000</v>
      </c>
      <c r="L1489" s="11" t="s">
        <v>76</v>
      </c>
      <c r="M1489" s="11" t="s">
        <v>77</v>
      </c>
    </row>
    <row r="1490" spans="1:13" x14ac:dyDescent="0.25">
      <c r="A1490" s="6">
        <v>1460</v>
      </c>
      <c r="B1490" s="7">
        <v>45655</v>
      </c>
      <c r="C1490" s="8" t="s">
        <v>124</v>
      </c>
      <c r="D1490" s="8" t="s">
        <v>83</v>
      </c>
      <c r="E1490" s="8" t="s">
        <v>74</v>
      </c>
      <c r="F1490" s="8" t="s">
        <v>142</v>
      </c>
      <c r="G1490" s="6">
        <v>35</v>
      </c>
      <c r="H1490" s="6">
        <v>12900</v>
      </c>
      <c r="I1490" s="6">
        <v>5</v>
      </c>
      <c r="J1490" s="6">
        <f t="shared" si="46"/>
        <v>451500</v>
      </c>
      <c r="K1490" s="6">
        <f t="shared" si="47"/>
        <v>428925</v>
      </c>
      <c r="L1490" s="8" t="s">
        <v>76</v>
      </c>
      <c r="M1490" s="8" t="s">
        <v>81</v>
      </c>
    </row>
    <row r="1491" spans="1:13" x14ac:dyDescent="0.25">
      <c r="A1491" s="9">
        <v>1461</v>
      </c>
      <c r="B1491" s="10">
        <v>45033</v>
      </c>
      <c r="C1491" s="11" t="s">
        <v>101</v>
      </c>
      <c r="D1491" s="11" t="s">
        <v>261</v>
      </c>
      <c r="E1491" s="11" t="s">
        <v>102</v>
      </c>
      <c r="F1491" s="11" t="s">
        <v>137</v>
      </c>
      <c r="G1491" s="9">
        <v>15</v>
      </c>
      <c r="H1491" s="9">
        <v>2200</v>
      </c>
      <c r="I1491" s="9">
        <v>0</v>
      </c>
      <c r="J1491" s="9">
        <f t="shared" si="46"/>
        <v>33000</v>
      </c>
      <c r="K1491" s="9">
        <f t="shared" si="47"/>
        <v>33000</v>
      </c>
      <c r="L1491" s="11" t="s">
        <v>76</v>
      </c>
      <c r="M1491" s="11" t="s">
        <v>77</v>
      </c>
    </row>
    <row r="1492" spans="1:13" x14ac:dyDescent="0.25">
      <c r="A1492" s="6">
        <v>1462</v>
      </c>
      <c r="B1492" s="7">
        <v>45488</v>
      </c>
      <c r="C1492" s="8" t="s">
        <v>290</v>
      </c>
      <c r="D1492" s="8" t="s">
        <v>117</v>
      </c>
      <c r="E1492" s="8" t="s">
        <v>79</v>
      </c>
      <c r="F1492" s="8" t="s">
        <v>172</v>
      </c>
      <c r="G1492" s="6">
        <v>45</v>
      </c>
      <c r="H1492" s="6">
        <v>23900</v>
      </c>
      <c r="I1492" s="6">
        <v>0</v>
      </c>
      <c r="J1492" s="6">
        <f t="shared" si="46"/>
        <v>1075500</v>
      </c>
      <c r="K1492" s="6">
        <f t="shared" si="47"/>
        <v>1075500</v>
      </c>
      <c r="L1492" s="8" t="s">
        <v>125</v>
      </c>
      <c r="M1492" s="8" t="s">
        <v>81</v>
      </c>
    </row>
    <row r="1493" spans="1:13" x14ac:dyDescent="0.25">
      <c r="A1493" s="9">
        <v>1463</v>
      </c>
      <c r="B1493" s="11" t="s">
        <v>560</v>
      </c>
      <c r="C1493" s="11" t="s">
        <v>381</v>
      </c>
      <c r="D1493" s="11" t="s">
        <v>109</v>
      </c>
      <c r="E1493" s="11" t="s">
        <v>79</v>
      </c>
      <c r="F1493" s="11" t="s">
        <v>179</v>
      </c>
      <c r="G1493" s="9">
        <v>2</v>
      </c>
      <c r="H1493" s="9">
        <v>2400</v>
      </c>
      <c r="I1493" s="9">
        <v>20</v>
      </c>
      <c r="J1493" s="9">
        <f t="shared" si="46"/>
        <v>4800</v>
      </c>
      <c r="K1493" s="9">
        <f t="shared" si="47"/>
        <v>3840</v>
      </c>
      <c r="L1493" s="11" t="s">
        <v>107</v>
      </c>
      <c r="M1493" s="11" t="s">
        <v>91</v>
      </c>
    </row>
    <row r="1494" spans="1:13" x14ac:dyDescent="0.25">
      <c r="A1494" s="6">
        <v>1464</v>
      </c>
      <c r="B1494" s="7">
        <v>45376</v>
      </c>
      <c r="C1494" s="8" t="s">
        <v>114</v>
      </c>
      <c r="D1494" s="8" t="s">
        <v>93</v>
      </c>
      <c r="E1494" s="8" t="s">
        <v>102</v>
      </c>
      <c r="F1494" s="8" t="s">
        <v>181</v>
      </c>
      <c r="G1494" s="6">
        <v>34</v>
      </c>
      <c r="H1494" s="6">
        <v>4500</v>
      </c>
      <c r="I1494" s="6">
        <v>15</v>
      </c>
      <c r="J1494" s="6">
        <f t="shared" si="46"/>
        <v>153000</v>
      </c>
      <c r="K1494" s="6">
        <f t="shared" si="47"/>
        <v>130050</v>
      </c>
      <c r="L1494" s="8" t="s">
        <v>76</v>
      </c>
      <c r="M1494" s="8" t="s">
        <v>91</v>
      </c>
    </row>
    <row r="1495" spans="1:13" x14ac:dyDescent="0.25">
      <c r="A1495" s="9">
        <v>1465</v>
      </c>
      <c r="B1495" s="10">
        <v>45194</v>
      </c>
      <c r="C1495" s="11" t="s">
        <v>88</v>
      </c>
      <c r="D1495" s="11" t="s">
        <v>117</v>
      </c>
      <c r="E1495" s="11" t="s">
        <v>111</v>
      </c>
      <c r="F1495" s="11" t="s">
        <v>132</v>
      </c>
      <c r="G1495" s="9">
        <v>16</v>
      </c>
      <c r="H1495" s="9">
        <v>7400</v>
      </c>
      <c r="I1495" s="9"/>
      <c r="J1495" s="9">
        <f t="shared" si="46"/>
        <v>118400</v>
      </c>
      <c r="K1495" s="9">
        <f t="shared" si="47"/>
        <v>118400</v>
      </c>
      <c r="L1495" s="11" t="s">
        <v>76</v>
      </c>
      <c r="M1495" s="11" t="s">
        <v>96</v>
      </c>
    </row>
    <row r="1496" spans="1:13" x14ac:dyDescent="0.25">
      <c r="A1496" s="6">
        <v>1466</v>
      </c>
      <c r="B1496" s="7">
        <v>45636</v>
      </c>
      <c r="C1496" s="8" t="s">
        <v>108</v>
      </c>
      <c r="D1496" s="8" t="s">
        <v>117</v>
      </c>
      <c r="E1496" s="8" t="s">
        <v>84</v>
      </c>
      <c r="F1496" s="8" t="s">
        <v>128</v>
      </c>
      <c r="G1496" s="6">
        <v>33</v>
      </c>
      <c r="H1496" s="6">
        <v>3900</v>
      </c>
      <c r="I1496" s="6">
        <v>0</v>
      </c>
      <c r="J1496" s="6">
        <f t="shared" si="46"/>
        <v>128700</v>
      </c>
      <c r="K1496" s="6">
        <f t="shared" si="47"/>
        <v>128700</v>
      </c>
      <c r="L1496" s="8" t="s">
        <v>86</v>
      </c>
      <c r="M1496" s="8" t="s">
        <v>96</v>
      </c>
    </row>
    <row r="1497" spans="1:13" x14ac:dyDescent="0.25">
      <c r="A1497" s="9">
        <v>1467</v>
      </c>
      <c r="B1497" s="10">
        <v>45545</v>
      </c>
      <c r="C1497" s="11" t="s">
        <v>106</v>
      </c>
      <c r="D1497" s="11" t="s">
        <v>117</v>
      </c>
      <c r="E1497" s="11" t="s">
        <v>102</v>
      </c>
      <c r="F1497" s="11" t="s">
        <v>181</v>
      </c>
      <c r="G1497" s="9">
        <v>37</v>
      </c>
      <c r="H1497" s="9">
        <v>4600</v>
      </c>
      <c r="I1497" s="9">
        <v>10</v>
      </c>
      <c r="J1497" s="9">
        <f t="shared" si="46"/>
        <v>170200</v>
      </c>
      <c r="K1497" s="9">
        <f t="shared" si="47"/>
        <v>153180</v>
      </c>
      <c r="L1497" s="11" t="s">
        <v>247</v>
      </c>
      <c r="M1497" s="11" t="s">
        <v>91</v>
      </c>
    </row>
    <row r="1498" spans="1:13" x14ac:dyDescent="0.25">
      <c r="A1498" s="6">
        <v>1468</v>
      </c>
      <c r="B1498" s="7">
        <v>45375</v>
      </c>
      <c r="C1498" s="8" t="s">
        <v>119</v>
      </c>
      <c r="D1498" s="8" t="s">
        <v>93</v>
      </c>
      <c r="E1498" s="8" t="s">
        <v>111</v>
      </c>
      <c r="F1498" s="8" t="s">
        <v>112</v>
      </c>
      <c r="G1498" s="6">
        <v>11</v>
      </c>
      <c r="H1498" s="6">
        <v>74000</v>
      </c>
      <c r="I1498" s="6">
        <v>10</v>
      </c>
      <c r="J1498" s="6">
        <f t="shared" si="46"/>
        <v>814000</v>
      </c>
      <c r="K1498" s="6">
        <f t="shared" si="47"/>
        <v>732600</v>
      </c>
      <c r="L1498" s="8" t="s">
        <v>76</v>
      </c>
      <c r="M1498" s="8" t="s">
        <v>91</v>
      </c>
    </row>
    <row r="1499" spans="1:13" x14ac:dyDescent="0.25">
      <c r="A1499" s="9">
        <v>1469</v>
      </c>
      <c r="B1499" s="10">
        <v>45592</v>
      </c>
      <c r="C1499" s="11" t="s">
        <v>78</v>
      </c>
      <c r="D1499" s="11" t="s">
        <v>117</v>
      </c>
      <c r="E1499" s="11" t="s">
        <v>111</v>
      </c>
      <c r="F1499" s="11" t="s">
        <v>166</v>
      </c>
      <c r="G1499" s="9">
        <v>23</v>
      </c>
      <c r="H1499" s="9">
        <v>25600</v>
      </c>
      <c r="I1499" s="9">
        <v>10</v>
      </c>
      <c r="J1499" s="9">
        <f t="shared" si="46"/>
        <v>588800</v>
      </c>
      <c r="K1499" s="9">
        <f t="shared" si="47"/>
        <v>529920</v>
      </c>
      <c r="L1499" s="11" t="s">
        <v>76</v>
      </c>
      <c r="M1499" s="11" t="s">
        <v>96</v>
      </c>
    </row>
    <row r="1500" spans="1:13" x14ac:dyDescent="0.25">
      <c r="A1500" s="6">
        <v>1470</v>
      </c>
      <c r="B1500" s="7">
        <v>45185</v>
      </c>
      <c r="C1500" s="8" t="s">
        <v>78</v>
      </c>
      <c r="D1500" s="8" t="s">
        <v>93</v>
      </c>
      <c r="E1500" s="8" t="s">
        <v>111</v>
      </c>
      <c r="F1500" s="8" t="s">
        <v>165</v>
      </c>
      <c r="G1500" s="6">
        <v>9</v>
      </c>
      <c r="H1500" s="6">
        <v>19400</v>
      </c>
      <c r="I1500" s="6">
        <v>15</v>
      </c>
      <c r="J1500" s="6">
        <f t="shared" si="46"/>
        <v>174600</v>
      </c>
      <c r="K1500" s="6">
        <f t="shared" si="47"/>
        <v>148410</v>
      </c>
      <c r="L1500" s="8" t="s">
        <v>125</v>
      </c>
      <c r="M1500" s="8" t="s">
        <v>81</v>
      </c>
    </row>
    <row r="1501" spans="1:13" x14ac:dyDescent="0.25">
      <c r="A1501" s="9">
        <v>1471</v>
      </c>
      <c r="B1501" s="10">
        <v>45389</v>
      </c>
      <c r="C1501" s="11" t="s">
        <v>101</v>
      </c>
      <c r="D1501" s="11" t="s">
        <v>93</v>
      </c>
      <c r="E1501" s="11" t="s">
        <v>74</v>
      </c>
      <c r="F1501" s="11" t="s">
        <v>212</v>
      </c>
      <c r="G1501" s="9">
        <v>33</v>
      </c>
      <c r="H1501" s="9">
        <v>7700</v>
      </c>
      <c r="I1501" s="9"/>
      <c r="J1501" s="9">
        <f t="shared" si="46"/>
        <v>254100</v>
      </c>
      <c r="K1501" s="9">
        <f t="shared" si="47"/>
        <v>254100</v>
      </c>
      <c r="L1501" s="11" t="s">
        <v>125</v>
      </c>
      <c r="M1501" s="11" t="s">
        <v>81</v>
      </c>
    </row>
    <row r="1502" spans="1:13" x14ac:dyDescent="0.25">
      <c r="A1502" s="6">
        <v>1472</v>
      </c>
      <c r="B1502" s="7">
        <v>45479</v>
      </c>
      <c r="C1502" s="8" t="s">
        <v>124</v>
      </c>
      <c r="D1502" s="8" t="s">
        <v>117</v>
      </c>
      <c r="E1502" s="8" t="s">
        <v>79</v>
      </c>
      <c r="F1502" s="8" t="s">
        <v>136</v>
      </c>
      <c r="G1502" s="6">
        <v>23</v>
      </c>
      <c r="H1502" s="6">
        <v>91600</v>
      </c>
      <c r="I1502" s="6">
        <v>10</v>
      </c>
      <c r="J1502" s="6">
        <f t="shared" si="46"/>
        <v>2106800</v>
      </c>
      <c r="K1502" s="6">
        <f t="shared" si="47"/>
        <v>1896120</v>
      </c>
      <c r="L1502" s="8" t="s">
        <v>76</v>
      </c>
      <c r="M1502" s="8" t="s">
        <v>77</v>
      </c>
    </row>
    <row r="1503" spans="1:13" x14ac:dyDescent="0.25">
      <c r="A1503" s="9">
        <v>1473</v>
      </c>
      <c r="B1503" s="10">
        <v>44992</v>
      </c>
      <c r="C1503" s="11" t="s">
        <v>82</v>
      </c>
      <c r="D1503" s="11" t="s">
        <v>186</v>
      </c>
      <c r="E1503" s="11" t="s">
        <v>84</v>
      </c>
      <c r="F1503" s="11" t="s">
        <v>90</v>
      </c>
      <c r="G1503" s="9">
        <v>39</v>
      </c>
      <c r="H1503" s="9">
        <v>1700</v>
      </c>
      <c r="I1503" s="9">
        <v>20</v>
      </c>
      <c r="J1503" s="9">
        <f t="shared" si="46"/>
        <v>66300</v>
      </c>
      <c r="K1503" s="9">
        <f t="shared" si="47"/>
        <v>53040</v>
      </c>
      <c r="L1503" s="11" t="s">
        <v>86</v>
      </c>
      <c r="M1503" s="11" t="s">
        <v>81</v>
      </c>
    </row>
    <row r="1504" spans="1:13" x14ac:dyDescent="0.25">
      <c r="A1504" s="6">
        <v>1474</v>
      </c>
      <c r="B1504" s="7">
        <v>45112</v>
      </c>
      <c r="C1504" s="8" t="s">
        <v>78</v>
      </c>
      <c r="D1504" s="8" t="s">
        <v>83</v>
      </c>
      <c r="E1504" s="8" t="s">
        <v>79</v>
      </c>
      <c r="F1504" s="8" t="s">
        <v>120</v>
      </c>
      <c r="G1504" s="6">
        <v>26</v>
      </c>
      <c r="H1504" s="6">
        <v>5500</v>
      </c>
      <c r="I1504" s="6">
        <v>20</v>
      </c>
      <c r="J1504" s="6">
        <f t="shared" si="46"/>
        <v>143000</v>
      </c>
      <c r="K1504" s="6">
        <f t="shared" si="47"/>
        <v>114400</v>
      </c>
      <c r="L1504" s="8" t="s">
        <v>129</v>
      </c>
      <c r="M1504" s="8" t="s">
        <v>91</v>
      </c>
    </row>
    <row r="1505" spans="1:13" x14ac:dyDescent="0.25">
      <c r="A1505" s="9">
        <v>1475</v>
      </c>
      <c r="B1505" s="10">
        <v>45344</v>
      </c>
      <c r="C1505" s="11" t="s">
        <v>114</v>
      </c>
      <c r="D1505" s="11" t="s">
        <v>83</v>
      </c>
      <c r="E1505" s="11" t="s">
        <v>84</v>
      </c>
      <c r="F1505" s="11" t="s">
        <v>200</v>
      </c>
      <c r="G1505" s="9">
        <v>20</v>
      </c>
      <c r="H1505" s="9">
        <v>3000</v>
      </c>
      <c r="I1505" s="9">
        <v>0</v>
      </c>
      <c r="J1505" s="9">
        <f t="shared" si="46"/>
        <v>60000</v>
      </c>
      <c r="K1505" s="9">
        <f t="shared" si="47"/>
        <v>60000</v>
      </c>
      <c r="L1505" s="11" t="s">
        <v>229</v>
      </c>
      <c r="M1505" s="11" t="s">
        <v>91</v>
      </c>
    </row>
    <row r="1506" spans="1:13" x14ac:dyDescent="0.25">
      <c r="A1506" s="6">
        <v>1476</v>
      </c>
      <c r="B1506" s="7">
        <v>45438</v>
      </c>
      <c r="C1506" s="8" t="s">
        <v>97</v>
      </c>
      <c r="D1506" s="8" t="s">
        <v>109</v>
      </c>
      <c r="E1506" s="8" t="s">
        <v>74</v>
      </c>
      <c r="F1506" s="8" t="s">
        <v>140</v>
      </c>
      <c r="G1506" s="6">
        <v>23</v>
      </c>
      <c r="H1506" s="6">
        <v>4300</v>
      </c>
      <c r="I1506" s="6">
        <v>0</v>
      </c>
      <c r="J1506" s="6">
        <f t="shared" si="46"/>
        <v>98900</v>
      </c>
      <c r="K1506" s="6">
        <f t="shared" si="47"/>
        <v>98900</v>
      </c>
      <c r="L1506" s="8" t="s">
        <v>218</v>
      </c>
      <c r="M1506" s="8" t="s">
        <v>77</v>
      </c>
    </row>
    <row r="1507" spans="1:13" x14ac:dyDescent="0.25">
      <c r="A1507" s="9">
        <v>1477</v>
      </c>
      <c r="B1507" s="10">
        <v>45389</v>
      </c>
      <c r="C1507" s="11" t="s">
        <v>97</v>
      </c>
      <c r="D1507" s="11" t="s">
        <v>93</v>
      </c>
      <c r="E1507" s="11" t="s">
        <v>74</v>
      </c>
      <c r="F1507" s="11" t="s">
        <v>94</v>
      </c>
      <c r="G1507" s="9">
        <v>4</v>
      </c>
      <c r="H1507" s="9" t="s">
        <v>561</v>
      </c>
      <c r="I1507" s="9">
        <v>15</v>
      </c>
      <c r="J1507" s="9">
        <f t="shared" si="46"/>
        <v>156800</v>
      </c>
      <c r="K1507" s="9">
        <f t="shared" si="47"/>
        <v>133280</v>
      </c>
      <c r="L1507" s="11" t="s">
        <v>218</v>
      </c>
      <c r="M1507" s="11" t="s">
        <v>77</v>
      </c>
    </row>
    <row r="1508" spans="1:13" x14ac:dyDescent="0.25">
      <c r="A1508" s="6">
        <v>1478</v>
      </c>
      <c r="B1508" s="7">
        <v>45309</v>
      </c>
      <c r="C1508" s="8" t="s">
        <v>97</v>
      </c>
      <c r="D1508" s="8" t="s">
        <v>109</v>
      </c>
      <c r="E1508" s="8" t="s">
        <v>79</v>
      </c>
      <c r="F1508" s="8" t="s">
        <v>136</v>
      </c>
      <c r="G1508" s="6">
        <v>25</v>
      </c>
      <c r="H1508" s="6">
        <v>76600</v>
      </c>
      <c r="I1508" s="6">
        <v>20</v>
      </c>
      <c r="J1508" s="6">
        <f t="shared" si="46"/>
        <v>1915000</v>
      </c>
      <c r="K1508" s="6">
        <f t="shared" si="47"/>
        <v>1532000</v>
      </c>
      <c r="L1508" s="8" t="s">
        <v>76</v>
      </c>
      <c r="M1508" s="8" t="s">
        <v>96</v>
      </c>
    </row>
    <row r="1509" spans="1:13" x14ac:dyDescent="0.25">
      <c r="A1509" s="9">
        <v>1479</v>
      </c>
      <c r="B1509" s="10">
        <v>44998</v>
      </c>
      <c r="C1509" s="11" t="s">
        <v>108</v>
      </c>
      <c r="D1509" s="11" t="s">
        <v>109</v>
      </c>
      <c r="E1509" s="11" t="s">
        <v>102</v>
      </c>
      <c r="F1509" s="11" t="s">
        <v>197</v>
      </c>
      <c r="G1509" s="9">
        <v>14</v>
      </c>
      <c r="H1509" s="9">
        <v>3600</v>
      </c>
      <c r="I1509" s="9">
        <v>20</v>
      </c>
      <c r="J1509" s="9">
        <f t="shared" si="46"/>
        <v>50400</v>
      </c>
      <c r="K1509" s="9">
        <f t="shared" si="47"/>
        <v>40320</v>
      </c>
      <c r="L1509" s="11" t="s">
        <v>125</v>
      </c>
      <c r="M1509" s="11" t="s">
        <v>77</v>
      </c>
    </row>
    <row r="1510" spans="1:13" x14ac:dyDescent="0.25">
      <c r="A1510" s="6">
        <v>1480</v>
      </c>
      <c r="B1510" s="7">
        <v>45626</v>
      </c>
      <c r="C1510" s="8" t="s">
        <v>108</v>
      </c>
      <c r="D1510" s="8" t="s">
        <v>93</v>
      </c>
      <c r="E1510" s="8" t="s">
        <v>74</v>
      </c>
      <c r="F1510" s="8" t="s">
        <v>142</v>
      </c>
      <c r="G1510" s="6">
        <v>46</v>
      </c>
      <c r="H1510" s="6">
        <v>13500</v>
      </c>
      <c r="I1510" s="6"/>
      <c r="J1510" s="6">
        <f t="shared" si="46"/>
        <v>621000</v>
      </c>
      <c r="K1510" s="6">
        <f t="shared" si="47"/>
        <v>621000</v>
      </c>
      <c r="L1510" s="8" t="s">
        <v>247</v>
      </c>
      <c r="M1510" s="8" t="s">
        <v>81</v>
      </c>
    </row>
    <row r="1511" spans="1:13" x14ac:dyDescent="0.25">
      <c r="A1511" s="9">
        <v>1481</v>
      </c>
      <c r="B1511" s="10">
        <v>45079</v>
      </c>
      <c r="C1511" s="11" t="s">
        <v>119</v>
      </c>
      <c r="D1511" s="11" t="s">
        <v>73</v>
      </c>
      <c r="E1511" s="11" t="s">
        <v>102</v>
      </c>
      <c r="F1511" s="11" t="s">
        <v>138</v>
      </c>
      <c r="G1511" s="9">
        <v>8</v>
      </c>
      <c r="H1511" s="9">
        <v>7400</v>
      </c>
      <c r="I1511" s="9">
        <v>0</v>
      </c>
      <c r="J1511" s="9">
        <f t="shared" si="46"/>
        <v>59200</v>
      </c>
      <c r="K1511" s="9">
        <f t="shared" si="47"/>
        <v>59200</v>
      </c>
      <c r="L1511" s="11" t="s">
        <v>86</v>
      </c>
      <c r="M1511" s="11" t="s">
        <v>96</v>
      </c>
    </row>
    <row r="1512" spans="1:13" x14ac:dyDescent="0.25">
      <c r="A1512" s="6">
        <v>1482</v>
      </c>
      <c r="B1512" s="7">
        <v>45037</v>
      </c>
      <c r="C1512" s="8" t="s">
        <v>88</v>
      </c>
      <c r="D1512" s="8" t="s">
        <v>109</v>
      </c>
      <c r="E1512" s="8" t="s">
        <v>102</v>
      </c>
      <c r="F1512" s="8" t="s">
        <v>103</v>
      </c>
      <c r="G1512" s="6">
        <v>32</v>
      </c>
      <c r="H1512" s="6">
        <v>11000</v>
      </c>
      <c r="I1512" s="6">
        <v>10</v>
      </c>
      <c r="J1512" s="6">
        <f t="shared" si="46"/>
        <v>352000</v>
      </c>
      <c r="K1512" s="6">
        <f t="shared" si="47"/>
        <v>316800</v>
      </c>
      <c r="L1512" s="8" t="s">
        <v>76</v>
      </c>
      <c r="M1512" s="8" t="s">
        <v>81</v>
      </c>
    </row>
    <row r="1513" spans="1:13" x14ac:dyDescent="0.25">
      <c r="A1513" s="9">
        <v>1483</v>
      </c>
      <c r="B1513" s="10">
        <v>45272</v>
      </c>
      <c r="C1513" s="11" t="s">
        <v>119</v>
      </c>
      <c r="D1513" s="11" t="s">
        <v>93</v>
      </c>
      <c r="E1513" s="11" t="s">
        <v>191</v>
      </c>
      <c r="F1513" s="11" t="s">
        <v>159</v>
      </c>
      <c r="G1513" s="9">
        <v>43</v>
      </c>
      <c r="H1513" s="9">
        <v>13600</v>
      </c>
      <c r="I1513" s="9">
        <v>0</v>
      </c>
      <c r="J1513" s="9">
        <f t="shared" si="46"/>
        <v>584800</v>
      </c>
      <c r="K1513" s="9">
        <f t="shared" si="47"/>
        <v>584800</v>
      </c>
      <c r="L1513" s="11" t="s">
        <v>76</v>
      </c>
      <c r="M1513" s="11" t="s">
        <v>96</v>
      </c>
    </row>
    <row r="1514" spans="1:13" x14ac:dyDescent="0.25">
      <c r="A1514" s="6">
        <v>1484</v>
      </c>
      <c r="B1514" s="7">
        <v>45301</v>
      </c>
      <c r="C1514" s="8" t="s">
        <v>108</v>
      </c>
      <c r="D1514" s="8" t="s">
        <v>109</v>
      </c>
      <c r="E1514" s="8" t="s">
        <v>111</v>
      </c>
      <c r="F1514" s="8" t="s">
        <v>156</v>
      </c>
      <c r="G1514" s="6">
        <v>3</v>
      </c>
      <c r="H1514" s="6">
        <v>46100</v>
      </c>
      <c r="I1514" s="6">
        <v>20</v>
      </c>
      <c r="J1514" s="6">
        <f t="shared" si="46"/>
        <v>138300</v>
      </c>
      <c r="K1514" s="6">
        <f t="shared" si="47"/>
        <v>110640</v>
      </c>
      <c r="L1514" s="8" t="s">
        <v>76</v>
      </c>
      <c r="M1514" s="8" t="s">
        <v>91</v>
      </c>
    </row>
    <row r="1515" spans="1:13" x14ac:dyDescent="0.25">
      <c r="A1515" s="9">
        <v>1485</v>
      </c>
      <c r="B1515" s="10">
        <v>45602</v>
      </c>
      <c r="C1515" s="11" t="s">
        <v>124</v>
      </c>
      <c r="D1515" s="11" t="s">
        <v>73</v>
      </c>
      <c r="E1515" s="11" t="s">
        <v>102</v>
      </c>
      <c r="F1515" s="11" t="s">
        <v>137</v>
      </c>
      <c r="G1515" s="9">
        <v>21</v>
      </c>
      <c r="H1515" s="9">
        <v>2300</v>
      </c>
      <c r="I1515" s="9">
        <v>20</v>
      </c>
      <c r="J1515" s="9">
        <f t="shared" si="46"/>
        <v>48300</v>
      </c>
      <c r="K1515" s="9">
        <f t="shared" si="47"/>
        <v>38640</v>
      </c>
      <c r="L1515" s="11" t="s">
        <v>107</v>
      </c>
      <c r="M1515" s="11" t="s">
        <v>91</v>
      </c>
    </row>
    <row r="1516" spans="1:13" x14ac:dyDescent="0.25">
      <c r="A1516" s="6">
        <v>1486</v>
      </c>
      <c r="B1516" s="7">
        <v>45486</v>
      </c>
      <c r="C1516" s="8" t="s">
        <v>106</v>
      </c>
      <c r="D1516" s="8" t="s">
        <v>117</v>
      </c>
      <c r="E1516" s="8" t="s">
        <v>74</v>
      </c>
      <c r="F1516" s="8" t="s">
        <v>142</v>
      </c>
      <c r="G1516" s="6">
        <v>13</v>
      </c>
      <c r="H1516" s="6">
        <v>12100</v>
      </c>
      <c r="I1516" s="6">
        <v>5</v>
      </c>
      <c r="J1516" s="6">
        <f t="shared" si="46"/>
        <v>157300</v>
      </c>
      <c r="K1516" s="6">
        <f t="shared" si="47"/>
        <v>149435</v>
      </c>
      <c r="L1516" s="8" t="s">
        <v>76</v>
      </c>
      <c r="M1516" s="8" t="s">
        <v>91</v>
      </c>
    </row>
    <row r="1517" spans="1:13" x14ac:dyDescent="0.25">
      <c r="A1517" s="9">
        <v>1487</v>
      </c>
      <c r="B1517" s="10">
        <v>45372</v>
      </c>
      <c r="C1517" s="11" t="s">
        <v>114</v>
      </c>
      <c r="D1517" s="11" t="s">
        <v>73</v>
      </c>
      <c r="E1517" s="11" t="s">
        <v>111</v>
      </c>
      <c r="F1517" s="11" t="s">
        <v>192</v>
      </c>
      <c r="G1517" s="9">
        <v>21</v>
      </c>
      <c r="H1517" s="9">
        <v>97200</v>
      </c>
      <c r="I1517" s="9">
        <v>0</v>
      </c>
      <c r="J1517" s="9">
        <f t="shared" si="46"/>
        <v>2041200</v>
      </c>
      <c r="K1517" s="9">
        <f t="shared" si="47"/>
        <v>2041200</v>
      </c>
      <c r="L1517" s="11" t="s">
        <v>76</v>
      </c>
      <c r="M1517" s="11" t="s">
        <v>91</v>
      </c>
    </row>
    <row r="1518" spans="1:13" x14ac:dyDescent="0.25">
      <c r="A1518" s="6">
        <v>1488</v>
      </c>
      <c r="B1518" s="7">
        <v>45436</v>
      </c>
      <c r="C1518" s="8" t="s">
        <v>101</v>
      </c>
      <c r="D1518" s="8" t="s">
        <v>73</v>
      </c>
      <c r="E1518" s="8" t="s">
        <v>102</v>
      </c>
      <c r="F1518" s="8" t="s">
        <v>138</v>
      </c>
      <c r="G1518" s="6">
        <v>6</v>
      </c>
      <c r="H1518" s="6">
        <v>6200</v>
      </c>
      <c r="I1518" s="6">
        <v>15</v>
      </c>
      <c r="J1518" s="6">
        <f t="shared" si="46"/>
        <v>37200</v>
      </c>
      <c r="K1518" s="6">
        <f t="shared" si="47"/>
        <v>31620</v>
      </c>
      <c r="L1518" s="8" t="s">
        <v>76</v>
      </c>
      <c r="M1518" s="8" t="s">
        <v>81</v>
      </c>
    </row>
    <row r="1519" spans="1:13" x14ac:dyDescent="0.25">
      <c r="A1519" s="9">
        <v>1489</v>
      </c>
      <c r="B1519" s="10">
        <v>45248</v>
      </c>
      <c r="C1519" s="11" t="s">
        <v>78</v>
      </c>
      <c r="D1519" s="11" t="s">
        <v>93</v>
      </c>
      <c r="E1519" s="11" t="s">
        <v>79</v>
      </c>
      <c r="F1519" s="11" t="s">
        <v>136</v>
      </c>
      <c r="G1519" s="9">
        <v>25</v>
      </c>
      <c r="H1519" s="9">
        <v>97000</v>
      </c>
      <c r="I1519" s="9">
        <v>20</v>
      </c>
      <c r="J1519" s="9">
        <f t="shared" si="46"/>
        <v>2425000</v>
      </c>
      <c r="K1519" s="9">
        <f t="shared" si="47"/>
        <v>1940000</v>
      </c>
      <c r="L1519" s="11" t="s">
        <v>76</v>
      </c>
      <c r="M1519" s="11" t="s">
        <v>77</v>
      </c>
    </row>
    <row r="1520" spans="1:13" x14ac:dyDescent="0.25">
      <c r="A1520" s="6">
        <v>1490</v>
      </c>
      <c r="B1520" s="7">
        <v>45627</v>
      </c>
      <c r="C1520" s="8" t="s">
        <v>114</v>
      </c>
      <c r="D1520" s="8" t="s">
        <v>93</v>
      </c>
      <c r="E1520" s="8" t="s">
        <v>102</v>
      </c>
      <c r="F1520" s="8" t="s">
        <v>103</v>
      </c>
      <c r="G1520" s="6">
        <v>44</v>
      </c>
      <c r="H1520" s="6">
        <v>10100</v>
      </c>
      <c r="I1520" s="6">
        <v>0</v>
      </c>
      <c r="J1520" s="6">
        <f t="shared" si="46"/>
        <v>444400</v>
      </c>
      <c r="K1520" s="6">
        <f t="shared" si="47"/>
        <v>444400</v>
      </c>
      <c r="L1520" s="8" t="s">
        <v>86</v>
      </c>
      <c r="M1520" s="8" t="s">
        <v>81</v>
      </c>
    </row>
    <row r="1521" spans="1:13" x14ac:dyDescent="0.25">
      <c r="A1521" s="9">
        <v>1491</v>
      </c>
      <c r="B1521" s="10">
        <v>45395</v>
      </c>
      <c r="C1521" s="11" t="s">
        <v>108</v>
      </c>
      <c r="D1521" s="11" t="s">
        <v>109</v>
      </c>
      <c r="E1521" s="11" t="s">
        <v>74</v>
      </c>
      <c r="F1521" s="11" t="s">
        <v>118</v>
      </c>
      <c r="G1521" s="9">
        <v>32</v>
      </c>
      <c r="H1521" s="9">
        <v>30200</v>
      </c>
      <c r="I1521" s="9">
        <v>0</v>
      </c>
      <c r="J1521" s="9">
        <f t="shared" si="46"/>
        <v>966400</v>
      </c>
      <c r="K1521" s="9">
        <f t="shared" si="47"/>
        <v>966400</v>
      </c>
      <c r="L1521" s="11" t="s">
        <v>76</v>
      </c>
      <c r="M1521" s="11" t="s">
        <v>77</v>
      </c>
    </row>
    <row r="1522" spans="1:13" x14ac:dyDescent="0.25">
      <c r="A1522" s="6">
        <v>1492</v>
      </c>
      <c r="B1522" s="7">
        <v>45317</v>
      </c>
      <c r="C1522" s="8" t="s">
        <v>106</v>
      </c>
      <c r="D1522" s="8" t="s">
        <v>73</v>
      </c>
      <c r="E1522" s="8" t="s">
        <v>74</v>
      </c>
      <c r="F1522" s="8" t="s">
        <v>94</v>
      </c>
      <c r="G1522" s="6">
        <v>43</v>
      </c>
      <c r="H1522" s="6">
        <v>39400</v>
      </c>
      <c r="I1522" s="6">
        <v>0</v>
      </c>
      <c r="J1522" s="6">
        <f t="shared" si="46"/>
        <v>1694200</v>
      </c>
      <c r="K1522" s="6">
        <f t="shared" si="47"/>
        <v>1694200</v>
      </c>
      <c r="L1522" s="8" t="s">
        <v>86</v>
      </c>
      <c r="M1522" s="8" t="s">
        <v>96</v>
      </c>
    </row>
    <row r="1523" spans="1:13" x14ac:dyDescent="0.25">
      <c r="A1523" s="9">
        <v>1493</v>
      </c>
      <c r="B1523" s="10">
        <v>45326</v>
      </c>
      <c r="C1523" s="11" t="s">
        <v>106</v>
      </c>
      <c r="D1523" s="11" t="s">
        <v>117</v>
      </c>
      <c r="E1523" s="11" t="s">
        <v>111</v>
      </c>
      <c r="F1523" s="11" t="s">
        <v>192</v>
      </c>
      <c r="G1523" s="9">
        <v>39</v>
      </c>
      <c r="H1523" s="9">
        <v>89200</v>
      </c>
      <c r="I1523" s="9">
        <v>5</v>
      </c>
      <c r="J1523" s="9">
        <f t="shared" si="46"/>
        <v>3478800</v>
      </c>
      <c r="K1523" s="9">
        <f t="shared" si="47"/>
        <v>3304860</v>
      </c>
      <c r="L1523" s="11" t="s">
        <v>76</v>
      </c>
      <c r="M1523" s="11" t="s">
        <v>96</v>
      </c>
    </row>
    <row r="1524" spans="1:13" x14ac:dyDescent="0.25">
      <c r="A1524" s="6">
        <v>1494</v>
      </c>
      <c r="B1524" s="7">
        <v>45623</v>
      </c>
      <c r="C1524" s="8" t="s">
        <v>124</v>
      </c>
      <c r="D1524" s="8" t="s">
        <v>117</v>
      </c>
      <c r="E1524" s="8" t="s">
        <v>84</v>
      </c>
      <c r="F1524" s="8" t="s">
        <v>134</v>
      </c>
      <c r="G1524" s="6">
        <v>1</v>
      </c>
      <c r="H1524" s="6">
        <v>9600</v>
      </c>
      <c r="I1524" s="6">
        <v>5</v>
      </c>
      <c r="J1524" s="6">
        <f t="shared" si="46"/>
        <v>9600</v>
      </c>
      <c r="K1524" s="6">
        <f t="shared" si="47"/>
        <v>9120</v>
      </c>
      <c r="L1524" s="8" t="s">
        <v>76</v>
      </c>
      <c r="M1524" s="8" t="s">
        <v>91</v>
      </c>
    </row>
    <row r="1525" spans="1:13" x14ac:dyDescent="0.25">
      <c r="A1525" s="9">
        <v>1495</v>
      </c>
      <c r="B1525" s="10">
        <v>45211</v>
      </c>
      <c r="C1525" s="11" t="s">
        <v>106</v>
      </c>
      <c r="D1525" s="11" t="s">
        <v>83</v>
      </c>
      <c r="E1525" s="11" t="s">
        <v>74</v>
      </c>
      <c r="F1525" s="11" t="s">
        <v>94</v>
      </c>
      <c r="G1525" s="9">
        <v>26</v>
      </c>
      <c r="H1525" s="9">
        <v>37000</v>
      </c>
      <c r="I1525" s="9">
        <v>0</v>
      </c>
      <c r="J1525" s="9">
        <f t="shared" si="46"/>
        <v>962000</v>
      </c>
      <c r="K1525" s="9">
        <f t="shared" si="47"/>
        <v>962000</v>
      </c>
      <c r="L1525" s="11" t="s">
        <v>76</v>
      </c>
      <c r="M1525" s="11" t="s">
        <v>91</v>
      </c>
    </row>
    <row r="1526" spans="1:13" x14ac:dyDescent="0.25">
      <c r="A1526" s="6">
        <v>1496</v>
      </c>
      <c r="B1526" s="8" t="s">
        <v>562</v>
      </c>
      <c r="C1526" s="8" t="s">
        <v>106</v>
      </c>
      <c r="D1526" s="8" t="s">
        <v>73</v>
      </c>
      <c r="E1526" s="8" t="s">
        <v>79</v>
      </c>
      <c r="F1526" s="8" t="s">
        <v>131</v>
      </c>
      <c r="G1526" s="6">
        <v>32</v>
      </c>
      <c r="H1526" s="6">
        <v>112800</v>
      </c>
      <c r="I1526" s="6">
        <v>0</v>
      </c>
      <c r="J1526" s="6">
        <f t="shared" si="46"/>
        <v>3609600</v>
      </c>
      <c r="K1526" s="6">
        <f t="shared" si="47"/>
        <v>3609600</v>
      </c>
      <c r="L1526" s="8" t="s">
        <v>76</v>
      </c>
      <c r="M1526" s="8" t="s">
        <v>96</v>
      </c>
    </row>
    <row r="1527" spans="1:13" x14ac:dyDescent="0.25">
      <c r="A1527" s="9">
        <v>1497</v>
      </c>
      <c r="B1527" s="10">
        <v>45189</v>
      </c>
      <c r="C1527" s="11" t="s">
        <v>114</v>
      </c>
      <c r="D1527" s="11" t="s">
        <v>313</v>
      </c>
      <c r="E1527" s="11" t="s">
        <v>102</v>
      </c>
      <c r="F1527" s="11" t="s">
        <v>110</v>
      </c>
      <c r="G1527" s="9">
        <v>37</v>
      </c>
      <c r="H1527" s="9">
        <v>21400</v>
      </c>
      <c r="I1527" s="9">
        <v>5</v>
      </c>
      <c r="J1527" s="9">
        <f t="shared" si="46"/>
        <v>791800</v>
      </c>
      <c r="K1527" s="9">
        <f t="shared" si="47"/>
        <v>752210</v>
      </c>
      <c r="L1527" s="11" t="s">
        <v>76</v>
      </c>
      <c r="M1527" s="11" t="s">
        <v>77</v>
      </c>
    </row>
    <row r="1528" spans="1:13" x14ac:dyDescent="0.25">
      <c r="A1528" s="6">
        <v>1498</v>
      </c>
      <c r="B1528" s="7">
        <v>45133</v>
      </c>
      <c r="C1528" s="8" t="s">
        <v>97</v>
      </c>
      <c r="D1528" s="8" t="s">
        <v>93</v>
      </c>
      <c r="E1528" s="8" t="s">
        <v>263</v>
      </c>
      <c r="F1528" s="8" t="s">
        <v>156</v>
      </c>
      <c r="G1528" s="6">
        <v>3</v>
      </c>
      <c r="H1528" s="6">
        <v>39100</v>
      </c>
      <c r="I1528" s="6">
        <v>0</v>
      </c>
      <c r="J1528" s="6">
        <f t="shared" si="46"/>
        <v>117300</v>
      </c>
      <c r="K1528" s="6">
        <f t="shared" si="47"/>
        <v>117300</v>
      </c>
      <c r="L1528" s="8" t="s">
        <v>76</v>
      </c>
      <c r="M1528" s="8" t="s">
        <v>77</v>
      </c>
    </row>
    <row r="1529" spans="1:13" x14ac:dyDescent="0.25">
      <c r="A1529" s="9">
        <v>1499</v>
      </c>
      <c r="B1529" s="10">
        <v>45161</v>
      </c>
      <c r="C1529" s="11" t="s">
        <v>256</v>
      </c>
      <c r="D1529" s="11" t="s">
        <v>83</v>
      </c>
      <c r="E1529" s="11" t="s">
        <v>84</v>
      </c>
      <c r="F1529" s="11" t="s">
        <v>150</v>
      </c>
      <c r="G1529" s="9">
        <v>5</v>
      </c>
      <c r="H1529" s="9">
        <v>6000</v>
      </c>
      <c r="I1529" s="9"/>
      <c r="J1529" s="9">
        <f t="shared" si="46"/>
        <v>30000</v>
      </c>
      <c r="K1529" s="9">
        <f t="shared" si="47"/>
        <v>30000</v>
      </c>
      <c r="L1529" s="11" t="s">
        <v>76</v>
      </c>
      <c r="M1529" s="11" t="s">
        <v>96</v>
      </c>
    </row>
    <row r="1530" spans="1:13" x14ac:dyDescent="0.25">
      <c r="A1530" s="6">
        <v>1500</v>
      </c>
      <c r="B1530" s="7">
        <v>45073</v>
      </c>
      <c r="C1530" s="8" t="s">
        <v>119</v>
      </c>
      <c r="D1530" s="8" t="s">
        <v>93</v>
      </c>
      <c r="E1530" s="8" t="s">
        <v>79</v>
      </c>
      <c r="F1530" s="8" t="s">
        <v>80</v>
      </c>
      <c r="G1530" s="6">
        <v>47</v>
      </c>
      <c r="H1530" s="6">
        <v>9300</v>
      </c>
      <c r="I1530" s="6">
        <v>0</v>
      </c>
      <c r="J1530" s="6">
        <f t="shared" si="46"/>
        <v>437100</v>
      </c>
      <c r="K1530" s="6">
        <f t="shared" si="47"/>
        <v>437100</v>
      </c>
      <c r="L1530" s="8" t="s">
        <v>76</v>
      </c>
      <c r="M1530" s="8" t="s">
        <v>77</v>
      </c>
    </row>
    <row r="1531" spans="1:13" x14ac:dyDescent="0.25">
      <c r="A1531" s="9">
        <v>1501</v>
      </c>
      <c r="B1531" s="11" t="s">
        <v>563</v>
      </c>
      <c r="C1531" s="11" t="s">
        <v>101</v>
      </c>
      <c r="D1531" s="11" t="s">
        <v>109</v>
      </c>
      <c r="E1531" s="11" t="s">
        <v>74</v>
      </c>
      <c r="F1531" s="11" t="s">
        <v>99</v>
      </c>
      <c r="G1531" s="9">
        <v>42</v>
      </c>
      <c r="H1531" s="9">
        <v>3300</v>
      </c>
      <c r="I1531" s="9">
        <v>0</v>
      </c>
      <c r="J1531" s="9">
        <f t="shared" si="46"/>
        <v>138600</v>
      </c>
      <c r="K1531" s="9">
        <f t="shared" si="47"/>
        <v>138600</v>
      </c>
      <c r="L1531" s="11" t="s">
        <v>76</v>
      </c>
      <c r="M1531" s="11" t="s">
        <v>91</v>
      </c>
    </row>
    <row r="1532" spans="1:13" x14ac:dyDescent="0.25">
      <c r="A1532" s="6">
        <v>1502</v>
      </c>
      <c r="B1532" s="7">
        <v>45225</v>
      </c>
      <c r="C1532" s="8" t="s">
        <v>246</v>
      </c>
      <c r="D1532" s="8" t="s">
        <v>73</v>
      </c>
      <c r="E1532" s="8" t="s">
        <v>84</v>
      </c>
      <c r="F1532" s="8" t="s">
        <v>128</v>
      </c>
      <c r="G1532" s="6">
        <v>22</v>
      </c>
      <c r="H1532" s="6">
        <v>4400</v>
      </c>
      <c r="I1532" s="6">
        <v>0</v>
      </c>
      <c r="J1532" s="6">
        <f t="shared" si="46"/>
        <v>96800</v>
      </c>
      <c r="K1532" s="6">
        <f t="shared" si="47"/>
        <v>96800</v>
      </c>
      <c r="L1532" s="8" t="s">
        <v>86</v>
      </c>
      <c r="M1532" s="8" t="s">
        <v>91</v>
      </c>
    </row>
    <row r="1533" spans="1:13" x14ac:dyDescent="0.25">
      <c r="A1533" s="9">
        <v>1503</v>
      </c>
      <c r="B1533" s="10">
        <v>45378</v>
      </c>
      <c r="C1533" s="11" t="s">
        <v>97</v>
      </c>
      <c r="D1533" s="11" t="s">
        <v>109</v>
      </c>
      <c r="E1533" s="11" t="s">
        <v>102</v>
      </c>
      <c r="F1533" s="11" t="s">
        <v>110</v>
      </c>
      <c r="G1533" s="9">
        <v>10</v>
      </c>
      <c r="H1533" s="9">
        <v>22900</v>
      </c>
      <c r="I1533" s="9">
        <v>0</v>
      </c>
      <c r="J1533" s="9">
        <f t="shared" si="46"/>
        <v>229000</v>
      </c>
      <c r="K1533" s="9">
        <f t="shared" si="47"/>
        <v>229000</v>
      </c>
      <c r="L1533" s="11" t="s">
        <v>76</v>
      </c>
      <c r="M1533" s="11" t="s">
        <v>96</v>
      </c>
    </row>
    <row r="1534" spans="1:13" x14ac:dyDescent="0.25">
      <c r="A1534" s="6">
        <v>102</v>
      </c>
      <c r="B1534" s="7">
        <v>45377</v>
      </c>
      <c r="C1534" s="8" t="s">
        <v>97</v>
      </c>
      <c r="D1534" s="8" t="s">
        <v>93</v>
      </c>
      <c r="E1534" s="8" t="s">
        <v>111</v>
      </c>
      <c r="F1534" s="8" t="s">
        <v>192</v>
      </c>
      <c r="G1534" s="6">
        <v>27</v>
      </c>
      <c r="H1534" s="6">
        <v>102700</v>
      </c>
      <c r="I1534" s="6">
        <v>0</v>
      </c>
      <c r="J1534" s="6">
        <f t="shared" si="46"/>
        <v>2772900</v>
      </c>
      <c r="K1534" s="6">
        <f t="shared" si="47"/>
        <v>2772900</v>
      </c>
      <c r="L1534" s="8" t="s">
        <v>107</v>
      </c>
      <c r="M1534" s="8" t="s">
        <v>81</v>
      </c>
    </row>
    <row r="1535" spans="1:13" x14ac:dyDescent="0.25">
      <c r="A1535" s="9">
        <v>1504</v>
      </c>
      <c r="B1535" s="10">
        <v>45041</v>
      </c>
      <c r="C1535" s="11" t="s">
        <v>97</v>
      </c>
      <c r="D1535" s="11" t="s">
        <v>83</v>
      </c>
      <c r="E1535" s="11" t="s">
        <v>203</v>
      </c>
      <c r="F1535" s="11" t="s">
        <v>138</v>
      </c>
      <c r="G1535" s="9">
        <v>11</v>
      </c>
      <c r="H1535" s="9" t="s">
        <v>564</v>
      </c>
      <c r="I1535" s="9">
        <v>0</v>
      </c>
      <c r="J1535" s="9" t="e">
        <f t="shared" si="46"/>
        <v>#VALUE!</v>
      </c>
      <c r="K1535" s="9" t="e">
        <f t="shared" si="47"/>
        <v>#VALUE!</v>
      </c>
      <c r="L1535" s="11" t="s">
        <v>86</v>
      </c>
      <c r="M1535" s="11" t="s">
        <v>96</v>
      </c>
    </row>
    <row r="1536" spans="1:13" x14ac:dyDescent="0.25">
      <c r="A1536" s="6">
        <v>1505</v>
      </c>
      <c r="B1536" s="7">
        <v>44966</v>
      </c>
      <c r="C1536" s="8" t="s">
        <v>108</v>
      </c>
      <c r="D1536" s="8" t="s">
        <v>73</v>
      </c>
      <c r="E1536" s="8" t="s">
        <v>84</v>
      </c>
      <c r="F1536" s="8" t="s">
        <v>206</v>
      </c>
      <c r="G1536" s="6">
        <v>37</v>
      </c>
      <c r="H1536" s="6">
        <v>13900</v>
      </c>
      <c r="I1536" s="6">
        <v>20</v>
      </c>
      <c r="J1536" s="6">
        <f t="shared" si="46"/>
        <v>514300</v>
      </c>
      <c r="K1536" s="6">
        <f t="shared" si="47"/>
        <v>411440</v>
      </c>
      <c r="L1536" s="8" t="s">
        <v>76</v>
      </c>
      <c r="M1536" s="8" t="s">
        <v>91</v>
      </c>
    </row>
    <row r="1537" spans="1:13" x14ac:dyDescent="0.25">
      <c r="A1537" s="9">
        <v>1506</v>
      </c>
      <c r="B1537" s="10">
        <v>45507</v>
      </c>
      <c r="C1537" s="11" t="s">
        <v>97</v>
      </c>
      <c r="D1537" s="11" t="s">
        <v>109</v>
      </c>
      <c r="E1537" s="11" t="s">
        <v>79</v>
      </c>
      <c r="F1537" s="11" t="s">
        <v>131</v>
      </c>
      <c r="G1537" s="9">
        <v>31</v>
      </c>
      <c r="H1537" s="9">
        <v>108600</v>
      </c>
      <c r="I1537" s="9">
        <v>0</v>
      </c>
      <c r="J1537" s="9">
        <f t="shared" si="46"/>
        <v>3366600</v>
      </c>
      <c r="K1537" s="9">
        <f t="shared" si="47"/>
        <v>3366600</v>
      </c>
      <c r="L1537" s="11" t="s">
        <v>125</v>
      </c>
      <c r="M1537" s="11" t="s">
        <v>91</v>
      </c>
    </row>
    <row r="1538" spans="1:13" x14ac:dyDescent="0.25">
      <c r="A1538" s="6">
        <v>1507</v>
      </c>
      <c r="B1538" s="7">
        <v>45629</v>
      </c>
      <c r="C1538" s="8" t="s">
        <v>124</v>
      </c>
      <c r="D1538" s="8" t="s">
        <v>531</v>
      </c>
      <c r="E1538" s="8" t="s">
        <v>111</v>
      </c>
      <c r="F1538" s="8" t="s">
        <v>156</v>
      </c>
      <c r="G1538" s="6">
        <v>40</v>
      </c>
      <c r="H1538" s="6">
        <v>45000</v>
      </c>
      <c r="I1538" s="6">
        <v>5</v>
      </c>
      <c r="J1538" s="6">
        <f t="shared" ref="J1538:J1601" si="48">G1538*H1538</f>
        <v>1800000</v>
      </c>
      <c r="K1538" s="6">
        <f t="shared" ref="K1538:K1601" si="49">J1538*(1-I1538/100)</f>
        <v>1710000</v>
      </c>
      <c r="L1538" s="8" t="s">
        <v>164</v>
      </c>
      <c r="M1538" s="8" t="s">
        <v>91</v>
      </c>
    </row>
    <row r="1539" spans="1:13" x14ac:dyDescent="0.25">
      <c r="A1539" s="9">
        <v>1508</v>
      </c>
      <c r="B1539" s="10">
        <v>45083</v>
      </c>
      <c r="C1539" s="11" t="s">
        <v>119</v>
      </c>
      <c r="D1539" s="11" t="s">
        <v>93</v>
      </c>
      <c r="E1539" s="11" t="s">
        <v>74</v>
      </c>
      <c r="F1539" s="11" t="s">
        <v>75</v>
      </c>
      <c r="G1539" s="9">
        <v>41</v>
      </c>
      <c r="H1539" s="9">
        <v>20600</v>
      </c>
      <c r="I1539" s="9">
        <v>0</v>
      </c>
      <c r="J1539" s="9">
        <f t="shared" si="48"/>
        <v>844600</v>
      </c>
      <c r="K1539" s="9">
        <f t="shared" si="49"/>
        <v>844600</v>
      </c>
      <c r="L1539" s="11" t="s">
        <v>86</v>
      </c>
      <c r="M1539" s="11" t="s">
        <v>91</v>
      </c>
    </row>
    <row r="1540" spans="1:13" x14ac:dyDescent="0.25">
      <c r="A1540" s="6">
        <v>1509</v>
      </c>
      <c r="B1540" s="7">
        <v>45091</v>
      </c>
      <c r="C1540" s="8" t="s">
        <v>88</v>
      </c>
      <c r="D1540" s="8" t="s">
        <v>73</v>
      </c>
      <c r="E1540" s="8" t="s">
        <v>111</v>
      </c>
      <c r="F1540" s="8" t="s">
        <v>135</v>
      </c>
      <c r="G1540" s="6">
        <v>30</v>
      </c>
      <c r="H1540" s="6">
        <v>107600</v>
      </c>
      <c r="I1540" s="6">
        <v>5</v>
      </c>
      <c r="J1540" s="6">
        <f t="shared" si="48"/>
        <v>3228000</v>
      </c>
      <c r="K1540" s="6">
        <f t="shared" si="49"/>
        <v>3066600</v>
      </c>
      <c r="L1540" s="8" t="s">
        <v>76</v>
      </c>
      <c r="M1540" s="8" t="s">
        <v>81</v>
      </c>
    </row>
    <row r="1541" spans="1:13" x14ac:dyDescent="0.25">
      <c r="A1541" s="9">
        <v>1510</v>
      </c>
      <c r="B1541" s="11" t="s">
        <v>565</v>
      </c>
      <c r="C1541" s="11" t="s">
        <v>88</v>
      </c>
      <c r="D1541" s="11" t="s">
        <v>109</v>
      </c>
      <c r="E1541" s="11" t="s">
        <v>111</v>
      </c>
      <c r="F1541" s="11" t="s">
        <v>165</v>
      </c>
      <c r="G1541" s="9">
        <v>30</v>
      </c>
      <c r="H1541" s="9">
        <v>20200</v>
      </c>
      <c r="I1541" s="9">
        <v>5</v>
      </c>
      <c r="J1541" s="9">
        <f t="shared" si="48"/>
        <v>606000</v>
      </c>
      <c r="K1541" s="9">
        <f t="shared" si="49"/>
        <v>575700</v>
      </c>
      <c r="L1541" s="11" t="s">
        <v>86</v>
      </c>
      <c r="M1541" s="11" t="s">
        <v>91</v>
      </c>
    </row>
    <row r="1542" spans="1:13" x14ac:dyDescent="0.25">
      <c r="A1542" s="6">
        <v>1511</v>
      </c>
      <c r="B1542" s="7">
        <v>45401</v>
      </c>
      <c r="C1542" s="8" t="s">
        <v>88</v>
      </c>
      <c r="D1542" s="8" t="s">
        <v>117</v>
      </c>
      <c r="E1542" s="8" t="s">
        <v>74</v>
      </c>
      <c r="F1542" s="8" t="s">
        <v>140</v>
      </c>
      <c r="G1542" s="6">
        <v>34</v>
      </c>
      <c r="H1542" s="6">
        <v>4200</v>
      </c>
      <c r="I1542" s="6">
        <v>15</v>
      </c>
      <c r="J1542" s="6">
        <f t="shared" si="48"/>
        <v>142800</v>
      </c>
      <c r="K1542" s="6">
        <f t="shared" si="49"/>
        <v>121380</v>
      </c>
      <c r="L1542" s="8" t="s">
        <v>76</v>
      </c>
      <c r="M1542" s="8" t="s">
        <v>81</v>
      </c>
    </row>
    <row r="1543" spans="1:13" x14ac:dyDescent="0.25">
      <c r="A1543" s="9">
        <v>1512</v>
      </c>
      <c r="B1543" s="11" t="s">
        <v>566</v>
      </c>
      <c r="C1543" s="11" t="s">
        <v>124</v>
      </c>
      <c r="D1543" s="11" t="s">
        <v>109</v>
      </c>
      <c r="E1543" s="11" t="s">
        <v>145</v>
      </c>
      <c r="F1543" s="11" t="s">
        <v>157</v>
      </c>
      <c r="G1543" s="9">
        <v>36</v>
      </c>
      <c r="H1543" s="9">
        <v>13500</v>
      </c>
      <c r="I1543" s="9">
        <v>0</v>
      </c>
      <c r="J1543" s="9">
        <f t="shared" si="48"/>
        <v>486000</v>
      </c>
      <c r="K1543" s="9">
        <f t="shared" si="49"/>
        <v>486000</v>
      </c>
      <c r="L1543" s="11" t="s">
        <v>107</v>
      </c>
      <c r="M1543" s="11" t="s">
        <v>91</v>
      </c>
    </row>
    <row r="1544" spans="1:13" x14ac:dyDescent="0.25">
      <c r="A1544" s="6">
        <v>1513</v>
      </c>
      <c r="B1544" s="7">
        <v>45586</v>
      </c>
      <c r="C1544" s="8" t="s">
        <v>101</v>
      </c>
      <c r="D1544" s="8" t="s">
        <v>109</v>
      </c>
      <c r="E1544" s="8" t="s">
        <v>111</v>
      </c>
      <c r="F1544" s="8" t="s">
        <v>166</v>
      </c>
      <c r="G1544" s="6">
        <v>35</v>
      </c>
      <c r="H1544" s="6">
        <v>28500</v>
      </c>
      <c r="I1544" s="6">
        <v>20</v>
      </c>
      <c r="J1544" s="6">
        <f t="shared" si="48"/>
        <v>997500</v>
      </c>
      <c r="K1544" s="6">
        <f t="shared" si="49"/>
        <v>798000</v>
      </c>
      <c r="L1544" s="8" t="s">
        <v>86</v>
      </c>
      <c r="M1544" s="8" t="s">
        <v>96</v>
      </c>
    </row>
    <row r="1545" spans="1:13" x14ac:dyDescent="0.25">
      <c r="A1545" s="9">
        <v>1514</v>
      </c>
      <c r="B1545" s="11" t="s">
        <v>567</v>
      </c>
      <c r="C1545" s="11" t="s">
        <v>114</v>
      </c>
      <c r="D1545" s="11" t="s">
        <v>73</v>
      </c>
      <c r="E1545" s="11" t="s">
        <v>84</v>
      </c>
      <c r="F1545" s="11" t="s">
        <v>90</v>
      </c>
      <c r="G1545" s="9">
        <v>11</v>
      </c>
      <c r="H1545" s="9">
        <v>1800</v>
      </c>
      <c r="I1545" s="9">
        <v>0</v>
      </c>
      <c r="J1545" s="9">
        <f t="shared" si="48"/>
        <v>19800</v>
      </c>
      <c r="K1545" s="9">
        <f t="shared" si="49"/>
        <v>19800</v>
      </c>
      <c r="L1545" s="11" t="s">
        <v>86</v>
      </c>
      <c r="M1545" s="11" t="s">
        <v>91</v>
      </c>
    </row>
    <row r="1546" spans="1:13" x14ac:dyDescent="0.25">
      <c r="A1546" s="6">
        <v>1515</v>
      </c>
      <c r="B1546" s="7">
        <v>45380</v>
      </c>
      <c r="C1546" s="8" t="s">
        <v>260</v>
      </c>
      <c r="D1546" s="8" t="s">
        <v>109</v>
      </c>
      <c r="E1546" s="8" t="s">
        <v>111</v>
      </c>
      <c r="F1546" s="8" t="s">
        <v>166</v>
      </c>
      <c r="G1546" s="6">
        <v>48</v>
      </c>
      <c r="H1546" s="6">
        <v>27100</v>
      </c>
      <c r="I1546" s="6">
        <v>15</v>
      </c>
      <c r="J1546" s="6">
        <f t="shared" si="48"/>
        <v>1300800</v>
      </c>
      <c r="K1546" s="6">
        <f t="shared" si="49"/>
        <v>1105680</v>
      </c>
      <c r="L1546" s="8" t="s">
        <v>86</v>
      </c>
      <c r="M1546" s="8" t="s">
        <v>81</v>
      </c>
    </row>
    <row r="1547" spans="1:13" x14ac:dyDescent="0.25">
      <c r="A1547" s="9">
        <v>1516</v>
      </c>
      <c r="B1547" s="10">
        <v>45338</v>
      </c>
      <c r="C1547" s="11" t="s">
        <v>124</v>
      </c>
      <c r="D1547" s="11" t="s">
        <v>109</v>
      </c>
      <c r="E1547" s="11" t="s">
        <v>84</v>
      </c>
      <c r="F1547" s="11" t="s">
        <v>148</v>
      </c>
      <c r="G1547" s="9">
        <v>16</v>
      </c>
      <c r="H1547" s="9">
        <v>4700</v>
      </c>
      <c r="I1547" s="9">
        <v>20</v>
      </c>
      <c r="J1547" s="9">
        <f t="shared" si="48"/>
        <v>75200</v>
      </c>
      <c r="K1547" s="9">
        <f t="shared" si="49"/>
        <v>60160</v>
      </c>
      <c r="L1547" s="11" t="s">
        <v>107</v>
      </c>
      <c r="M1547" s="11" t="s">
        <v>81</v>
      </c>
    </row>
    <row r="1548" spans="1:13" x14ac:dyDescent="0.25">
      <c r="A1548" s="6">
        <v>1517</v>
      </c>
      <c r="B1548" s="7">
        <v>45425</v>
      </c>
      <c r="C1548" s="8" t="s">
        <v>88</v>
      </c>
      <c r="D1548" s="8" t="s">
        <v>93</v>
      </c>
      <c r="E1548" s="8" t="s">
        <v>102</v>
      </c>
      <c r="F1548" s="8" t="s">
        <v>138</v>
      </c>
      <c r="G1548" s="6">
        <v>5</v>
      </c>
      <c r="H1548" s="6">
        <v>6900</v>
      </c>
      <c r="I1548" s="6">
        <v>20</v>
      </c>
      <c r="J1548" s="6">
        <f t="shared" si="48"/>
        <v>34500</v>
      </c>
      <c r="K1548" s="6">
        <f t="shared" si="49"/>
        <v>27600</v>
      </c>
      <c r="L1548" s="8" t="s">
        <v>76</v>
      </c>
      <c r="M1548" s="8" t="s">
        <v>77</v>
      </c>
    </row>
    <row r="1549" spans="1:13" x14ac:dyDescent="0.25">
      <c r="A1549" s="9">
        <v>1518</v>
      </c>
      <c r="B1549" s="10">
        <v>44981</v>
      </c>
      <c r="C1549" s="11" t="s">
        <v>88</v>
      </c>
      <c r="D1549" s="11" t="s">
        <v>73</v>
      </c>
      <c r="E1549" s="11" t="s">
        <v>74</v>
      </c>
      <c r="F1549" s="11" t="s">
        <v>212</v>
      </c>
      <c r="G1549" s="9">
        <v>10</v>
      </c>
      <c r="H1549" s="9">
        <v>7600</v>
      </c>
      <c r="I1549" s="9">
        <v>20</v>
      </c>
      <c r="J1549" s="9">
        <f t="shared" si="48"/>
        <v>76000</v>
      </c>
      <c r="K1549" s="9">
        <f t="shared" si="49"/>
        <v>60800</v>
      </c>
      <c r="L1549" s="11" t="s">
        <v>125</v>
      </c>
      <c r="M1549" s="11" t="s">
        <v>96</v>
      </c>
    </row>
    <row r="1550" spans="1:13" x14ac:dyDescent="0.25">
      <c r="A1550" s="6">
        <v>1519</v>
      </c>
      <c r="B1550" s="7">
        <v>44994</v>
      </c>
      <c r="C1550" s="8" t="s">
        <v>88</v>
      </c>
      <c r="D1550" s="8" t="s">
        <v>93</v>
      </c>
      <c r="E1550" s="8" t="s">
        <v>255</v>
      </c>
      <c r="F1550" s="8" t="s">
        <v>99</v>
      </c>
      <c r="G1550" s="6">
        <v>46</v>
      </c>
      <c r="H1550" s="6">
        <v>3600</v>
      </c>
      <c r="I1550" s="6">
        <v>0</v>
      </c>
      <c r="J1550" s="6">
        <f t="shared" si="48"/>
        <v>165600</v>
      </c>
      <c r="K1550" s="6">
        <f t="shared" si="49"/>
        <v>165600</v>
      </c>
      <c r="L1550" s="8" t="s">
        <v>76</v>
      </c>
      <c r="M1550" s="8" t="s">
        <v>96</v>
      </c>
    </row>
    <row r="1551" spans="1:13" x14ac:dyDescent="0.25">
      <c r="A1551" s="9">
        <v>109</v>
      </c>
      <c r="B1551" s="10">
        <v>45280</v>
      </c>
      <c r="C1551" s="11" t="s">
        <v>124</v>
      </c>
      <c r="D1551" s="11" t="s">
        <v>117</v>
      </c>
      <c r="E1551" s="11" t="s">
        <v>111</v>
      </c>
      <c r="F1551" s="11" t="s">
        <v>135</v>
      </c>
      <c r="G1551" s="9">
        <v>20</v>
      </c>
      <c r="H1551" s="9">
        <v>116600</v>
      </c>
      <c r="I1551" s="9">
        <v>20</v>
      </c>
      <c r="J1551" s="9">
        <f t="shared" si="48"/>
        <v>2332000</v>
      </c>
      <c r="K1551" s="9">
        <f t="shared" si="49"/>
        <v>1865600</v>
      </c>
      <c r="L1551" s="11" t="s">
        <v>76</v>
      </c>
      <c r="M1551" s="11" t="s">
        <v>91</v>
      </c>
    </row>
    <row r="1552" spans="1:13" x14ac:dyDescent="0.25">
      <c r="A1552" s="6">
        <v>1520</v>
      </c>
      <c r="B1552" s="8" t="s">
        <v>568</v>
      </c>
      <c r="C1552" s="8" t="s">
        <v>108</v>
      </c>
      <c r="D1552" s="8" t="s">
        <v>109</v>
      </c>
      <c r="E1552" s="8" t="s">
        <v>84</v>
      </c>
      <c r="F1552" s="8" t="s">
        <v>148</v>
      </c>
      <c r="G1552" s="6">
        <v>40</v>
      </c>
      <c r="H1552" s="6">
        <v>4500</v>
      </c>
      <c r="I1552" s="6">
        <v>15</v>
      </c>
      <c r="J1552" s="6">
        <f t="shared" si="48"/>
        <v>180000</v>
      </c>
      <c r="K1552" s="6">
        <f t="shared" si="49"/>
        <v>153000</v>
      </c>
      <c r="L1552" s="8" t="s">
        <v>76</v>
      </c>
      <c r="M1552" s="8" t="s">
        <v>91</v>
      </c>
    </row>
    <row r="1553" spans="1:13" x14ac:dyDescent="0.25">
      <c r="A1553" s="9">
        <v>1521</v>
      </c>
      <c r="B1553" s="10">
        <v>45214</v>
      </c>
      <c r="C1553" s="11" t="s">
        <v>106</v>
      </c>
      <c r="D1553" s="11" t="s">
        <v>73</v>
      </c>
      <c r="E1553" s="11" t="s">
        <v>84</v>
      </c>
      <c r="F1553" s="11" t="s">
        <v>85</v>
      </c>
      <c r="G1553" s="9">
        <v>3</v>
      </c>
      <c r="H1553" s="9">
        <v>5000</v>
      </c>
      <c r="I1553" s="9">
        <v>5</v>
      </c>
      <c r="J1553" s="9">
        <f t="shared" si="48"/>
        <v>15000</v>
      </c>
      <c r="K1553" s="9">
        <f t="shared" si="49"/>
        <v>14250</v>
      </c>
      <c r="L1553" s="11" t="s">
        <v>76</v>
      </c>
      <c r="M1553" s="11" t="s">
        <v>91</v>
      </c>
    </row>
    <row r="1554" spans="1:13" x14ac:dyDescent="0.25">
      <c r="A1554" s="6">
        <v>1522</v>
      </c>
      <c r="B1554" s="7">
        <v>45315</v>
      </c>
      <c r="C1554" s="8" t="s">
        <v>119</v>
      </c>
      <c r="D1554" s="8" t="s">
        <v>279</v>
      </c>
      <c r="E1554" s="8" t="s">
        <v>79</v>
      </c>
      <c r="F1554" s="8" t="s">
        <v>120</v>
      </c>
      <c r="G1554" s="6">
        <v>38</v>
      </c>
      <c r="H1554" s="6">
        <v>6800</v>
      </c>
      <c r="I1554" s="6">
        <v>0</v>
      </c>
      <c r="J1554" s="6">
        <f t="shared" si="48"/>
        <v>258400</v>
      </c>
      <c r="K1554" s="6">
        <f t="shared" si="49"/>
        <v>258400</v>
      </c>
      <c r="L1554" s="8" t="s">
        <v>76</v>
      </c>
      <c r="M1554" s="8" t="s">
        <v>91</v>
      </c>
    </row>
    <row r="1555" spans="1:13" x14ac:dyDescent="0.25">
      <c r="A1555" s="9">
        <v>1523</v>
      </c>
      <c r="B1555" s="10">
        <v>45430</v>
      </c>
      <c r="C1555" s="11" t="s">
        <v>124</v>
      </c>
      <c r="D1555" s="11" t="s">
        <v>117</v>
      </c>
      <c r="E1555" s="11" t="s">
        <v>74</v>
      </c>
      <c r="F1555" s="11" t="s">
        <v>118</v>
      </c>
      <c r="G1555" s="9">
        <v>5</v>
      </c>
      <c r="H1555" s="9">
        <v>31400</v>
      </c>
      <c r="I1555" s="9">
        <v>15</v>
      </c>
      <c r="J1555" s="9">
        <f t="shared" si="48"/>
        <v>157000</v>
      </c>
      <c r="K1555" s="9">
        <f t="shared" si="49"/>
        <v>133450</v>
      </c>
      <c r="L1555" s="11" t="s">
        <v>76</v>
      </c>
      <c r="M1555" s="11" t="s">
        <v>96</v>
      </c>
    </row>
    <row r="1556" spans="1:13" x14ac:dyDescent="0.25">
      <c r="A1556" s="6">
        <v>1524</v>
      </c>
      <c r="B1556" s="8" t="s">
        <v>569</v>
      </c>
      <c r="C1556" s="8" t="s">
        <v>108</v>
      </c>
      <c r="D1556" s="8"/>
      <c r="E1556" s="8" t="s">
        <v>84</v>
      </c>
      <c r="F1556" s="8" t="s">
        <v>200</v>
      </c>
      <c r="G1556" s="6">
        <v>6</v>
      </c>
      <c r="H1556" s="6">
        <v>3100</v>
      </c>
      <c r="I1556" s="6">
        <v>0</v>
      </c>
      <c r="J1556" s="6">
        <f t="shared" si="48"/>
        <v>18600</v>
      </c>
      <c r="K1556" s="6">
        <f t="shared" si="49"/>
        <v>18600</v>
      </c>
      <c r="L1556" s="8" t="s">
        <v>76</v>
      </c>
      <c r="M1556" s="8" t="s">
        <v>91</v>
      </c>
    </row>
    <row r="1557" spans="1:13" x14ac:dyDescent="0.25">
      <c r="A1557" s="9">
        <v>1525</v>
      </c>
      <c r="B1557" s="10">
        <v>45563</v>
      </c>
      <c r="C1557" s="11" t="s">
        <v>214</v>
      </c>
      <c r="D1557" s="11" t="s">
        <v>83</v>
      </c>
      <c r="E1557" s="11" t="s">
        <v>84</v>
      </c>
      <c r="F1557" s="11" t="s">
        <v>200</v>
      </c>
      <c r="G1557" s="9">
        <v>13</v>
      </c>
      <c r="H1557" s="9">
        <v>3600</v>
      </c>
      <c r="I1557" s="9">
        <v>5</v>
      </c>
      <c r="J1557" s="9">
        <f t="shared" si="48"/>
        <v>46800</v>
      </c>
      <c r="K1557" s="9">
        <f t="shared" si="49"/>
        <v>44460</v>
      </c>
      <c r="L1557" s="11" t="s">
        <v>76</v>
      </c>
      <c r="M1557" s="11" t="s">
        <v>77</v>
      </c>
    </row>
    <row r="1558" spans="1:13" x14ac:dyDescent="0.25">
      <c r="A1558" s="6">
        <v>1526</v>
      </c>
      <c r="B1558" s="7">
        <v>45253</v>
      </c>
      <c r="C1558" s="8" t="s">
        <v>108</v>
      </c>
      <c r="D1558" s="8" t="s">
        <v>143</v>
      </c>
      <c r="E1558" s="8" t="s">
        <v>84</v>
      </c>
      <c r="F1558" s="8" t="s">
        <v>134</v>
      </c>
      <c r="G1558" s="6">
        <v>28</v>
      </c>
      <c r="H1558" s="6">
        <v>9300</v>
      </c>
      <c r="I1558" s="6">
        <v>15</v>
      </c>
      <c r="J1558" s="6">
        <f t="shared" si="48"/>
        <v>260400</v>
      </c>
      <c r="K1558" s="6">
        <f t="shared" si="49"/>
        <v>221340</v>
      </c>
      <c r="L1558" s="8" t="s">
        <v>76</v>
      </c>
      <c r="M1558" s="8" t="s">
        <v>96</v>
      </c>
    </row>
    <row r="1559" spans="1:13" x14ac:dyDescent="0.25">
      <c r="A1559" s="9">
        <v>1527</v>
      </c>
      <c r="B1559" s="10">
        <v>45599</v>
      </c>
      <c r="C1559" s="11" t="s">
        <v>338</v>
      </c>
      <c r="D1559" s="11" t="s">
        <v>73</v>
      </c>
      <c r="E1559" s="11" t="s">
        <v>74</v>
      </c>
      <c r="F1559" s="11" t="s">
        <v>94</v>
      </c>
      <c r="G1559" s="9">
        <v>40</v>
      </c>
      <c r="H1559" s="9" t="s">
        <v>570</v>
      </c>
      <c r="I1559" s="9">
        <v>0</v>
      </c>
      <c r="J1559" s="9">
        <f t="shared" si="48"/>
        <v>1304000</v>
      </c>
      <c r="K1559" s="9">
        <f t="shared" si="49"/>
        <v>1304000</v>
      </c>
      <c r="L1559" s="11" t="s">
        <v>76</v>
      </c>
      <c r="M1559" s="11" t="s">
        <v>77</v>
      </c>
    </row>
    <row r="1560" spans="1:13" x14ac:dyDescent="0.25">
      <c r="A1560" s="6">
        <v>1528</v>
      </c>
      <c r="B1560" s="7">
        <v>45316</v>
      </c>
      <c r="C1560" s="8" t="s">
        <v>106</v>
      </c>
      <c r="D1560" s="8" t="s">
        <v>83</v>
      </c>
      <c r="E1560" s="8" t="s">
        <v>111</v>
      </c>
      <c r="F1560" s="8" t="s">
        <v>165</v>
      </c>
      <c r="G1560" s="6">
        <v>44</v>
      </c>
      <c r="H1560" s="6">
        <v>16400</v>
      </c>
      <c r="I1560" s="6">
        <v>0</v>
      </c>
      <c r="J1560" s="6">
        <f t="shared" si="48"/>
        <v>721600</v>
      </c>
      <c r="K1560" s="6">
        <f t="shared" si="49"/>
        <v>721600</v>
      </c>
      <c r="L1560" s="8" t="s">
        <v>174</v>
      </c>
      <c r="M1560" s="8" t="s">
        <v>91</v>
      </c>
    </row>
    <row r="1561" spans="1:13" x14ac:dyDescent="0.25">
      <c r="A1561" s="9">
        <v>1529</v>
      </c>
      <c r="B1561" s="10">
        <v>45302</v>
      </c>
      <c r="C1561" s="11" t="s">
        <v>82</v>
      </c>
      <c r="D1561" s="11" t="s">
        <v>83</v>
      </c>
      <c r="E1561" s="11" t="s">
        <v>191</v>
      </c>
      <c r="F1561" s="11" t="s">
        <v>132</v>
      </c>
      <c r="G1561" s="9">
        <v>23</v>
      </c>
      <c r="H1561" s="9">
        <v>7000</v>
      </c>
      <c r="I1561" s="9">
        <v>5</v>
      </c>
      <c r="J1561" s="9">
        <f t="shared" si="48"/>
        <v>161000</v>
      </c>
      <c r="K1561" s="9">
        <f t="shared" si="49"/>
        <v>152950</v>
      </c>
      <c r="L1561" s="11" t="s">
        <v>86</v>
      </c>
      <c r="M1561" s="11" t="s">
        <v>81</v>
      </c>
    </row>
    <row r="1562" spans="1:13" x14ac:dyDescent="0.25">
      <c r="A1562" s="6">
        <v>1530</v>
      </c>
      <c r="B1562" s="7">
        <v>45215</v>
      </c>
      <c r="C1562" s="8" t="s">
        <v>101</v>
      </c>
      <c r="D1562" s="8" t="s">
        <v>73</v>
      </c>
      <c r="E1562" s="8" t="s">
        <v>111</v>
      </c>
      <c r="F1562" s="8" t="s">
        <v>112</v>
      </c>
      <c r="G1562" s="6">
        <v>21</v>
      </c>
      <c r="H1562" s="6">
        <v>71600</v>
      </c>
      <c r="I1562" s="6">
        <v>0</v>
      </c>
      <c r="J1562" s="6">
        <f t="shared" si="48"/>
        <v>1503600</v>
      </c>
      <c r="K1562" s="6">
        <f t="shared" si="49"/>
        <v>1503600</v>
      </c>
      <c r="L1562" s="8" t="s">
        <v>107</v>
      </c>
      <c r="M1562" s="8" t="s">
        <v>77</v>
      </c>
    </row>
    <row r="1563" spans="1:13" x14ac:dyDescent="0.25">
      <c r="A1563" s="9">
        <v>1531</v>
      </c>
      <c r="B1563" s="10">
        <v>45058</v>
      </c>
      <c r="C1563" s="11" t="s">
        <v>97</v>
      </c>
      <c r="D1563" s="11" t="s">
        <v>109</v>
      </c>
      <c r="E1563" s="11" t="s">
        <v>79</v>
      </c>
      <c r="F1563" s="11" t="s">
        <v>122</v>
      </c>
      <c r="G1563" s="9">
        <v>10</v>
      </c>
      <c r="H1563" s="9">
        <v>17900</v>
      </c>
      <c r="I1563" s="9">
        <v>20</v>
      </c>
      <c r="J1563" s="9">
        <f t="shared" si="48"/>
        <v>179000</v>
      </c>
      <c r="K1563" s="9">
        <f t="shared" si="49"/>
        <v>143200</v>
      </c>
      <c r="L1563" s="11" t="s">
        <v>76</v>
      </c>
      <c r="M1563" s="11" t="s">
        <v>81</v>
      </c>
    </row>
    <row r="1564" spans="1:13" x14ac:dyDescent="0.25">
      <c r="A1564" s="6">
        <v>1532</v>
      </c>
      <c r="B1564" s="7">
        <v>45016</v>
      </c>
      <c r="C1564" s="8" t="s">
        <v>97</v>
      </c>
      <c r="D1564" s="8" t="s">
        <v>127</v>
      </c>
      <c r="E1564" s="8" t="s">
        <v>79</v>
      </c>
      <c r="F1564" s="8" t="s">
        <v>120</v>
      </c>
      <c r="G1564" s="6">
        <v>40</v>
      </c>
      <c r="H1564" s="6">
        <v>6700</v>
      </c>
      <c r="I1564" s="6">
        <v>15</v>
      </c>
      <c r="J1564" s="6">
        <f t="shared" si="48"/>
        <v>268000</v>
      </c>
      <c r="K1564" s="6">
        <f t="shared" si="49"/>
        <v>227800</v>
      </c>
      <c r="L1564" s="8" t="s">
        <v>76</v>
      </c>
      <c r="M1564" s="8" t="s">
        <v>91</v>
      </c>
    </row>
    <row r="1565" spans="1:13" x14ac:dyDescent="0.25">
      <c r="A1565" s="9">
        <v>1533</v>
      </c>
      <c r="B1565" s="10">
        <v>45265</v>
      </c>
      <c r="C1565" s="11" t="s">
        <v>97</v>
      </c>
      <c r="D1565" s="11" t="s">
        <v>93</v>
      </c>
      <c r="E1565" s="11" t="s">
        <v>79</v>
      </c>
      <c r="F1565" s="11" t="s">
        <v>136</v>
      </c>
      <c r="G1565" s="9">
        <v>13</v>
      </c>
      <c r="H1565" s="9">
        <v>91500</v>
      </c>
      <c r="I1565" s="9">
        <v>0</v>
      </c>
      <c r="J1565" s="9">
        <f t="shared" si="48"/>
        <v>1189500</v>
      </c>
      <c r="K1565" s="9">
        <f t="shared" si="49"/>
        <v>1189500</v>
      </c>
      <c r="L1565" s="11" t="s">
        <v>305</v>
      </c>
      <c r="M1565" s="11" t="s">
        <v>77</v>
      </c>
    </row>
    <row r="1566" spans="1:13" x14ac:dyDescent="0.25">
      <c r="A1566" s="6">
        <v>1534</v>
      </c>
      <c r="B1566" s="8" t="s">
        <v>571</v>
      </c>
      <c r="C1566" s="8" t="s">
        <v>97</v>
      </c>
      <c r="D1566" s="8" t="s">
        <v>73</v>
      </c>
      <c r="E1566" s="8" t="s">
        <v>111</v>
      </c>
      <c r="F1566" s="8" t="s">
        <v>156</v>
      </c>
      <c r="G1566" s="6">
        <v>46</v>
      </c>
      <c r="H1566" s="6">
        <v>40000</v>
      </c>
      <c r="I1566" s="6">
        <v>15</v>
      </c>
      <c r="J1566" s="6">
        <f t="shared" si="48"/>
        <v>1840000</v>
      </c>
      <c r="K1566" s="6">
        <f t="shared" si="49"/>
        <v>1564000</v>
      </c>
      <c r="L1566" s="8" t="s">
        <v>76</v>
      </c>
      <c r="M1566" s="8" t="s">
        <v>96</v>
      </c>
    </row>
    <row r="1567" spans="1:13" x14ac:dyDescent="0.25">
      <c r="A1567" s="9">
        <v>1535</v>
      </c>
      <c r="B1567" s="11" t="s">
        <v>572</v>
      </c>
      <c r="C1567" s="11" t="s">
        <v>106</v>
      </c>
      <c r="D1567" s="11" t="s">
        <v>83</v>
      </c>
      <c r="E1567" s="11" t="s">
        <v>84</v>
      </c>
      <c r="F1567" s="11" t="s">
        <v>85</v>
      </c>
      <c r="G1567" s="9">
        <v>12</v>
      </c>
      <c r="H1567" s="9">
        <v>5700</v>
      </c>
      <c r="I1567" s="9">
        <v>5</v>
      </c>
      <c r="J1567" s="9">
        <f t="shared" si="48"/>
        <v>68400</v>
      </c>
      <c r="K1567" s="9">
        <f t="shared" si="49"/>
        <v>64980</v>
      </c>
      <c r="L1567" s="11" t="s">
        <v>76</v>
      </c>
      <c r="M1567" s="11" t="s">
        <v>77</v>
      </c>
    </row>
    <row r="1568" spans="1:13" x14ac:dyDescent="0.25">
      <c r="A1568" s="6">
        <v>1536</v>
      </c>
      <c r="B1568" s="8" t="s">
        <v>573</v>
      </c>
      <c r="C1568" s="8" t="s">
        <v>82</v>
      </c>
      <c r="D1568" s="8" t="s">
        <v>73</v>
      </c>
      <c r="E1568" s="8" t="s">
        <v>79</v>
      </c>
      <c r="F1568" s="8" t="s">
        <v>122</v>
      </c>
      <c r="G1568" s="6">
        <v>17</v>
      </c>
      <c r="H1568" s="6">
        <v>20600</v>
      </c>
      <c r="I1568" s="6">
        <v>15</v>
      </c>
      <c r="J1568" s="6">
        <f t="shared" si="48"/>
        <v>350200</v>
      </c>
      <c r="K1568" s="6">
        <f t="shared" si="49"/>
        <v>297670</v>
      </c>
      <c r="L1568" s="8" t="s">
        <v>76</v>
      </c>
      <c r="M1568" s="8" t="s">
        <v>81</v>
      </c>
    </row>
    <row r="1569" spans="1:13" x14ac:dyDescent="0.25">
      <c r="A1569" s="9">
        <v>1537</v>
      </c>
      <c r="B1569" s="10">
        <v>45053</v>
      </c>
      <c r="C1569" s="11" t="s">
        <v>97</v>
      </c>
      <c r="D1569" s="11" t="s">
        <v>109</v>
      </c>
      <c r="E1569" s="11" t="s">
        <v>84</v>
      </c>
      <c r="F1569" s="11" t="s">
        <v>200</v>
      </c>
      <c r="G1569" s="9">
        <v>15</v>
      </c>
      <c r="H1569" s="9">
        <v>3500</v>
      </c>
      <c r="I1569" s="9">
        <v>10</v>
      </c>
      <c r="J1569" s="9">
        <f t="shared" si="48"/>
        <v>52500</v>
      </c>
      <c r="K1569" s="9">
        <f t="shared" si="49"/>
        <v>47250</v>
      </c>
      <c r="L1569" s="11" t="s">
        <v>76</v>
      </c>
      <c r="M1569" s="11" t="s">
        <v>96</v>
      </c>
    </row>
    <row r="1570" spans="1:13" x14ac:dyDescent="0.25">
      <c r="A1570" s="6">
        <v>1538</v>
      </c>
      <c r="B1570" s="7">
        <v>45349</v>
      </c>
      <c r="C1570" s="8" t="s">
        <v>82</v>
      </c>
      <c r="D1570" s="8" t="s">
        <v>117</v>
      </c>
      <c r="E1570" s="8" t="s">
        <v>84</v>
      </c>
      <c r="F1570" s="8" t="s">
        <v>148</v>
      </c>
      <c r="G1570" s="6">
        <v>23</v>
      </c>
      <c r="H1570" s="6">
        <v>4600</v>
      </c>
      <c r="I1570" s="6">
        <v>15</v>
      </c>
      <c r="J1570" s="6">
        <f t="shared" si="48"/>
        <v>105800</v>
      </c>
      <c r="K1570" s="6">
        <f t="shared" si="49"/>
        <v>89930</v>
      </c>
      <c r="L1570" s="8" t="s">
        <v>86</v>
      </c>
      <c r="M1570" s="8" t="s">
        <v>77</v>
      </c>
    </row>
    <row r="1571" spans="1:13" x14ac:dyDescent="0.25">
      <c r="A1571" s="9">
        <v>1539</v>
      </c>
      <c r="B1571" s="10">
        <v>45626</v>
      </c>
      <c r="C1571" s="11" t="s">
        <v>101</v>
      </c>
      <c r="D1571" s="11" t="s">
        <v>89</v>
      </c>
      <c r="E1571" s="11" t="s">
        <v>84</v>
      </c>
      <c r="F1571" s="11" t="s">
        <v>150</v>
      </c>
      <c r="G1571" s="9">
        <v>32</v>
      </c>
      <c r="H1571" s="9">
        <v>5000</v>
      </c>
      <c r="I1571" s="9">
        <v>10</v>
      </c>
      <c r="J1571" s="9">
        <f t="shared" si="48"/>
        <v>160000</v>
      </c>
      <c r="K1571" s="9">
        <f t="shared" si="49"/>
        <v>144000</v>
      </c>
      <c r="L1571" s="11" t="s">
        <v>76</v>
      </c>
      <c r="M1571" s="11" t="s">
        <v>77</v>
      </c>
    </row>
    <row r="1572" spans="1:13" x14ac:dyDescent="0.25">
      <c r="A1572" s="6">
        <v>1540</v>
      </c>
      <c r="B1572" s="8" t="s">
        <v>574</v>
      </c>
      <c r="C1572" s="8" t="s">
        <v>97</v>
      </c>
      <c r="D1572" s="8" t="s">
        <v>83</v>
      </c>
      <c r="E1572" s="8" t="s">
        <v>79</v>
      </c>
      <c r="F1572" s="8" t="s">
        <v>131</v>
      </c>
      <c r="G1572" s="6">
        <v>50</v>
      </c>
      <c r="H1572" s="6">
        <v>117600</v>
      </c>
      <c r="I1572" s="6">
        <v>15</v>
      </c>
      <c r="J1572" s="6">
        <f t="shared" si="48"/>
        <v>5880000</v>
      </c>
      <c r="K1572" s="6">
        <f t="shared" si="49"/>
        <v>4998000</v>
      </c>
      <c r="L1572" s="8" t="s">
        <v>107</v>
      </c>
      <c r="M1572" s="8" t="s">
        <v>96</v>
      </c>
    </row>
    <row r="1573" spans="1:13" x14ac:dyDescent="0.25">
      <c r="A1573" s="9">
        <v>1541</v>
      </c>
      <c r="B1573" s="10">
        <v>45624</v>
      </c>
      <c r="C1573" s="11" t="s">
        <v>124</v>
      </c>
      <c r="D1573" s="11" t="s">
        <v>73</v>
      </c>
      <c r="E1573" s="11" t="s">
        <v>102</v>
      </c>
      <c r="F1573" s="11" t="s">
        <v>110</v>
      </c>
      <c r="G1573" s="9">
        <v>21</v>
      </c>
      <c r="H1573" s="9">
        <v>23800</v>
      </c>
      <c r="I1573" s="9">
        <v>0</v>
      </c>
      <c r="J1573" s="9">
        <f t="shared" si="48"/>
        <v>499800</v>
      </c>
      <c r="K1573" s="9">
        <f t="shared" si="49"/>
        <v>499800</v>
      </c>
      <c r="L1573" s="11" t="s">
        <v>76</v>
      </c>
      <c r="M1573" s="11"/>
    </row>
    <row r="1574" spans="1:13" x14ac:dyDescent="0.25">
      <c r="A1574" s="6">
        <v>1542</v>
      </c>
      <c r="B1574" s="7">
        <v>45438</v>
      </c>
      <c r="C1574" s="8" t="s">
        <v>169</v>
      </c>
      <c r="D1574" s="8" t="s">
        <v>83</v>
      </c>
      <c r="E1574" s="8" t="s">
        <v>74</v>
      </c>
      <c r="F1574" s="8" t="s">
        <v>75</v>
      </c>
      <c r="G1574" s="6">
        <v>11</v>
      </c>
      <c r="H1574" s="6">
        <v>21100</v>
      </c>
      <c r="I1574" s="6">
        <v>5</v>
      </c>
      <c r="J1574" s="6">
        <f t="shared" si="48"/>
        <v>232100</v>
      </c>
      <c r="K1574" s="6">
        <f t="shared" si="49"/>
        <v>220495</v>
      </c>
      <c r="L1574" s="8" t="s">
        <v>76</v>
      </c>
      <c r="M1574" s="8" t="s">
        <v>96</v>
      </c>
    </row>
    <row r="1575" spans="1:13" x14ac:dyDescent="0.25">
      <c r="A1575" s="9">
        <v>1543</v>
      </c>
      <c r="B1575" s="10">
        <v>45403</v>
      </c>
      <c r="C1575" s="11" t="s">
        <v>224</v>
      </c>
      <c r="D1575" s="11" t="s">
        <v>117</v>
      </c>
      <c r="E1575" s="11" t="s">
        <v>111</v>
      </c>
      <c r="F1575" s="11" t="s">
        <v>159</v>
      </c>
      <c r="G1575" s="9">
        <v>30</v>
      </c>
      <c r="H1575" s="9">
        <v>13400</v>
      </c>
      <c r="I1575" s="9">
        <v>15</v>
      </c>
      <c r="J1575" s="9">
        <f t="shared" si="48"/>
        <v>402000</v>
      </c>
      <c r="K1575" s="9">
        <f t="shared" si="49"/>
        <v>341700</v>
      </c>
      <c r="L1575" s="11" t="s">
        <v>174</v>
      </c>
      <c r="M1575" s="11" t="s">
        <v>81</v>
      </c>
    </row>
    <row r="1576" spans="1:13" x14ac:dyDescent="0.25">
      <c r="A1576" s="6">
        <v>1544</v>
      </c>
      <c r="B1576" s="7">
        <v>45321</v>
      </c>
      <c r="C1576" s="8" t="s">
        <v>114</v>
      </c>
      <c r="D1576" s="8" t="s">
        <v>73</v>
      </c>
      <c r="E1576" s="8" t="s">
        <v>84</v>
      </c>
      <c r="F1576" s="8" t="s">
        <v>200</v>
      </c>
      <c r="G1576" s="6">
        <v>41</v>
      </c>
      <c r="H1576" s="6">
        <v>3200</v>
      </c>
      <c r="I1576" s="6">
        <v>0</v>
      </c>
      <c r="J1576" s="6">
        <f t="shared" si="48"/>
        <v>131200</v>
      </c>
      <c r="K1576" s="6">
        <f t="shared" si="49"/>
        <v>131200</v>
      </c>
      <c r="L1576" s="8" t="s">
        <v>76</v>
      </c>
      <c r="M1576" s="8" t="s">
        <v>96</v>
      </c>
    </row>
    <row r="1577" spans="1:13" x14ac:dyDescent="0.25">
      <c r="A1577" s="9">
        <v>1545</v>
      </c>
      <c r="B1577" s="10">
        <v>45371</v>
      </c>
      <c r="C1577" s="11" t="s">
        <v>108</v>
      </c>
      <c r="D1577" s="11" t="s">
        <v>109</v>
      </c>
      <c r="E1577" s="11" t="s">
        <v>102</v>
      </c>
      <c r="F1577" s="11" t="s">
        <v>103</v>
      </c>
      <c r="G1577" s="9">
        <v>2</v>
      </c>
      <c r="H1577" s="9">
        <v>9400</v>
      </c>
      <c r="I1577" s="9">
        <v>0</v>
      </c>
      <c r="J1577" s="9">
        <f t="shared" si="48"/>
        <v>18800</v>
      </c>
      <c r="K1577" s="9">
        <f t="shared" si="49"/>
        <v>18800</v>
      </c>
      <c r="L1577" s="11" t="s">
        <v>76</v>
      </c>
      <c r="M1577" s="11" t="s">
        <v>81</v>
      </c>
    </row>
    <row r="1578" spans="1:13" x14ac:dyDescent="0.25">
      <c r="A1578" s="6">
        <v>1546</v>
      </c>
      <c r="B1578" s="7">
        <v>45272</v>
      </c>
      <c r="C1578" s="8" t="s">
        <v>106</v>
      </c>
      <c r="D1578" s="8" t="s">
        <v>73</v>
      </c>
      <c r="E1578" s="8" t="s">
        <v>111</v>
      </c>
      <c r="F1578" s="8" t="s">
        <v>165</v>
      </c>
      <c r="G1578" s="6">
        <v>36</v>
      </c>
      <c r="H1578" s="6">
        <v>16900</v>
      </c>
      <c r="I1578" s="6">
        <v>5</v>
      </c>
      <c r="J1578" s="6">
        <f t="shared" si="48"/>
        <v>608400</v>
      </c>
      <c r="K1578" s="6">
        <f t="shared" si="49"/>
        <v>577980</v>
      </c>
      <c r="L1578" s="8" t="s">
        <v>76</v>
      </c>
      <c r="M1578" s="8" t="s">
        <v>81</v>
      </c>
    </row>
    <row r="1579" spans="1:13" x14ac:dyDescent="0.25">
      <c r="A1579" s="9">
        <v>1547</v>
      </c>
      <c r="B1579" s="10">
        <v>45548</v>
      </c>
      <c r="C1579" s="11" t="s">
        <v>119</v>
      </c>
      <c r="D1579" s="11" t="s">
        <v>83</v>
      </c>
      <c r="E1579" s="11" t="s">
        <v>111</v>
      </c>
      <c r="F1579" s="11" t="s">
        <v>166</v>
      </c>
      <c r="G1579" s="9">
        <v>43</v>
      </c>
      <c r="H1579" s="9">
        <v>28600</v>
      </c>
      <c r="I1579" s="9">
        <v>0</v>
      </c>
      <c r="J1579" s="9">
        <f t="shared" si="48"/>
        <v>1229800</v>
      </c>
      <c r="K1579" s="9">
        <f t="shared" si="49"/>
        <v>1229800</v>
      </c>
      <c r="L1579" s="11" t="s">
        <v>76</v>
      </c>
      <c r="M1579" s="11" t="s">
        <v>77</v>
      </c>
    </row>
    <row r="1580" spans="1:13" x14ac:dyDescent="0.25">
      <c r="A1580" s="6">
        <v>1548</v>
      </c>
      <c r="B1580" s="7">
        <v>45258</v>
      </c>
      <c r="C1580" s="8" t="s">
        <v>119</v>
      </c>
      <c r="D1580" s="8" t="s">
        <v>93</v>
      </c>
      <c r="E1580" s="8" t="s">
        <v>74</v>
      </c>
      <c r="F1580" s="8" t="s">
        <v>142</v>
      </c>
      <c r="G1580" s="6">
        <v>32</v>
      </c>
      <c r="H1580" s="6">
        <v>11500</v>
      </c>
      <c r="I1580" s="6">
        <v>5</v>
      </c>
      <c r="J1580" s="6">
        <f t="shared" si="48"/>
        <v>368000</v>
      </c>
      <c r="K1580" s="6">
        <f t="shared" si="49"/>
        <v>349600</v>
      </c>
      <c r="L1580" s="8" t="s">
        <v>264</v>
      </c>
      <c r="M1580" s="8" t="s">
        <v>91</v>
      </c>
    </row>
    <row r="1581" spans="1:13" x14ac:dyDescent="0.25">
      <c r="A1581" s="9">
        <v>1549</v>
      </c>
      <c r="B1581" s="10">
        <v>44940</v>
      </c>
      <c r="C1581" s="11" t="s">
        <v>95</v>
      </c>
      <c r="D1581" s="11" t="s">
        <v>109</v>
      </c>
      <c r="E1581" s="11" t="s">
        <v>74</v>
      </c>
      <c r="F1581" s="11" t="s">
        <v>190</v>
      </c>
      <c r="G1581" s="9">
        <v>28</v>
      </c>
      <c r="H1581" s="9">
        <v>34300</v>
      </c>
      <c r="I1581" s="9">
        <v>10</v>
      </c>
      <c r="J1581" s="9">
        <f t="shared" si="48"/>
        <v>960400</v>
      </c>
      <c r="K1581" s="9">
        <f t="shared" si="49"/>
        <v>864360</v>
      </c>
      <c r="L1581" s="11" t="s">
        <v>76</v>
      </c>
      <c r="M1581" s="11" t="s">
        <v>81</v>
      </c>
    </row>
    <row r="1582" spans="1:13" x14ac:dyDescent="0.25">
      <c r="A1582" s="6">
        <v>1550</v>
      </c>
      <c r="B1582" s="7">
        <v>45215</v>
      </c>
      <c r="C1582" s="8" t="s">
        <v>88</v>
      </c>
      <c r="D1582" s="8" t="s">
        <v>117</v>
      </c>
      <c r="E1582" s="8" t="s">
        <v>84</v>
      </c>
      <c r="F1582" s="8" t="s">
        <v>200</v>
      </c>
      <c r="G1582" s="6">
        <v>31</v>
      </c>
      <c r="H1582" s="6">
        <v>3300</v>
      </c>
      <c r="I1582" s="6">
        <v>0</v>
      </c>
      <c r="J1582" s="6">
        <f t="shared" si="48"/>
        <v>102300</v>
      </c>
      <c r="K1582" s="6">
        <f t="shared" si="49"/>
        <v>102300</v>
      </c>
      <c r="L1582" s="8" t="s">
        <v>76</v>
      </c>
      <c r="M1582" s="8" t="s">
        <v>91</v>
      </c>
    </row>
    <row r="1583" spans="1:13" x14ac:dyDescent="0.25">
      <c r="A1583" s="9">
        <v>1551</v>
      </c>
      <c r="B1583" s="10">
        <v>45354</v>
      </c>
      <c r="C1583" s="11" t="s">
        <v>455</v>
      </c>
      <c r="D1583" s="11" t="s">
        <v>109</v>
      </c>
      <c r="E1583" s="11" t="s">
        <v>74</v>
      </c>
      <c r="F1583" s="11" t="s">
        <v>75</v>
      </c>
      <c r="G1583" s="9">
        <v>21</v>
      </c>
      <c r="H1583" s="9">
        <v>24800</v>
      </c>
      <c r="I1583" s="9">
        <v>20</v>
      </c>
      <c r="J1583" s="9">
        <f t="shared" si="48"/>
        <v>520800</v>
      </c>
      <c r="K1583" s="9">
        <f t="shared" si="49"/>
        <v>416640</v>
      </c>
      <c r="L1583" s="11" t="s">
        <v>76</v>
      </c>
      <c r="M1583" s="11" t="s">
        <v>91</v>
      </c>
    </row>
    <row r="1584" spans="1:13" x14ac:dyDescent="0.25">
      <c r="A1584" s="6">
        <v>1552</v>
      </c>
      <c r="B1584" s="7">
        <v>45214</v>
      </c>
      <c r="C1584" s="8" t="s">
        <v>246</v>
      </c>
      <c r="D1584" s="8" t="s">
        <v>117</v>
      </c>
      <c r="E1584" s="8" t="s">
        <v>102</v>
      </c>
      <c r="F1584" s="8" t="s">
        <v>157</v>
      </c>
      <c r="G1584" s="6">
        <v>9</v>
      </c>
      <c r="H1584" s="6">
        <v>12900</v>
      </c>
      <c r="I1584" s="6">
        <v>15</v>
      </c>
      <c r="J1584" s="6">
        <f t="shared" si="48"/>
        <v>116100</v>
      </c>
      <c r="K1584" s="6">
        <f t="shared" si="49"/>
        <v>98685</v>
      </c>
      <c r="L1584" s="8" t="s">
        <v>125</v>
      </c>
      <c r="M1584" s="8" t="s">
        <v>81</v>
      </c>
    </row>
    <row r="1585" spans="1:13" x14ac:dyDescent="0.25">
      <c r="A1585" s="9">
        <v>1553</v>
      </c>
      <c r="B1585" s="10">
        <v>45534</v>
      </c>
      <c r="C1585" s="11" t="s">
        <v>124</v>
      </c>
      <c r="D1585" s="11" t="s">
        <v>109</v>
      </c>
      <c r="E1585" s="11" t="s">
        <v>84</v>
      </c>
      <c r="F1585" s="11" t="s">
        <v>85</v>
      </c>
      <c r="G1585" s="9">
        <v>2</v>
      </c>
      <c r="H1585" s="9">
        <v>5600</v>
      </c>
      <c r="I1585" s="9">
        <v>5</v>
      </c>
      <c r="J1585" s="9">
        <f t="shared" si="48"/>
        <v>11200</v>
      </c>
      <c r="K1585" s="9">
        <f t="shared" si="49"/>
        <v>10640</v>
      </c>
      <c r="L1585" s="11" t="s">
        <v>76</v>
      </c>
      <c r="M1585" s="11" t="s">
        <v>77</v>
      </c>
    </row>
    <row r="1586" spans="1:13" x14ac:dyDescent="0.25">
      <c r="A1586" s="6">
        <v>1554</v>
      </c>
      <c r="B1586" s="7">
        <v>45078</v>
      </c>
      <c r="C1586" s="8" t="s">
        <v>124</v>
      </c>
      <c r="D1586" s="8" t="s">
        <v>117</v>
      </c>
      <c r="E1586" s="8" t="s">
        <v>79</v>
      </c>
      <c r="F1586" s="8" t="s">
        <v>172</v>
      </c>
      <c r="G1586" s="6">
        <v>47</v>
      </c>
      <c r="H1586" s="6">
        <v>25400</v>
      </c>
      <c r="I1586" s="6">
        <v>5</v>
      </c>
      <c r="J1586" s="6">
        <f t="shared" si="48"/>
        <v>1193800</v>
      </c>
      <c r="K1586" s="6">
        <f t="shared" si="49"/>
        <v>1134110</v>
      </c>
      <c r="L1586" s="8" t="s">
        <v>76</v>
      </c>
      <c r="M1586" s="8" t="s">
        <v>91</v>
      </c>
    </row>
    <row r="1587" spans="1:13" x14ac:dyDescent="0.25">
      <c r="A1587" s="9">
        <v>1555</v>
      </c>
      <c r="B1587" s="10">
        <v>45124</v>
      </c>
      <c r="C1587" s="11" t="s">
        <v>101</v>
      </c>
      <c r="D1587" s="11" t="s">
        <v>109</v>
      </c>
      <c r="E1587" s="11" t="s">
        <v>74</v>
      </c>
      <c r="F1587" s="11" t="s">
        <v>94</v>
      </c>
      <c r="G1587" s="9">
        <v>15</v>
      </c>
      <c r="H1587" s="9">
        <v>35600</v>
      </c>
      <c r="I1587" s="9">
        <v>0</v>
      </c>
      <c r="J1587" s="9">
        <f t="shared" si="48"/>
        <v>534000</v>
      </c>
      <c r="K1587" s="9">
        <f t="shared" si="49"/>
        <v>534000</v>
      </c>
      <c r="L1587" s="11" t="s">
        <v>76</v>
      </c>
      <c r="M1587" s="11" t="s">
        <v>96</v>
      </c>
    </row>
    <row r="1588" spans="1:13" x14ac:dyDescent="0.25">
      <c r="A1588" s="6">
        <v>1556</v>
      </c>
      <c r="B1588" s="7">
        <v>45562</v>
      </c>
      <c r="C1588" s="8" t="s">
        <v>119</v>
      </c>
      <c r="D1588" s="8" t="s">
        <v>93</v>
      </c>
      <c r="E1588" s="8" t="s">
        <v>84</v>
      </c>
      <c r="F1588" s="8" t="s">
        <v>134</v>
      </c>
      <c r="G1588" s="6">
        <v>32</v>
      </c>
      <c r="H1588" s="6">
        <v>10900</v>
      </c>
      <c r="I1588" s="6">
        <v>20</v>
      </c>
      <c r="J1588" s="6">
        <f t="shared" si="48"/>
        <v>348800</v>
      </c>
      <c r="K1588" s="6">
        <f t="shared" si="49"/>
        <v>279040</v>
      </c>
      <c r="L1588" s="8" t="s">
        <v>125</v>
      </c>
      <c r="M1588" s="8" t="s">
        <v>81</v>
      </c>
    </row>
    <row r="1589" spans="1:13" x14ac:dyDescent="0.25">
      <c r="A1589" s="9">
        <v>1557</v>
      </c>
      <c r="B1589" s="11" t="s">
        <v>575</v>
      </c>
      <c r="C1589" s="11" t="s">
        <v>106</v>
      </c>
      <c r="D1589" s="11" t="s">
        <v>93</v>
      </c>
      <c r="E1589" s="11" t="s">
        <v>102</v>
      </c>
      <c r="F1589" s="11" t="s">
        <v>137</v>
      </c>
      <c r="G1589" s="9">
        <v>4</v>
      </c>
      <c r="H1589" s="9">
        <v>2100</v>
      </c>
      <c r="I1589" s="9">
        <v>10</v>
      </c>
      <c r="J1589" s="9">
        <f t="shared" si="48"/>
        <v>8400</v>
      </c>
      <c r="K1589" s="9">
        <f t="shared" si="49"/>
        <v>7560</v>
      </c>
      <c r="L1589" s="11" t="s">
        <v>187</v>
      </c>
      <c r="M1589" s="11" t="s">
        <v>81</v>
      </c>
    </row>
    <row r="1590" spans="1:13" x14ac:dyDescent="0.25">
      <c r="A1590" s="6">
        <v>1558</v>
      </c>
      <c r="B1590" s="7">
        <v>45443</v>
      </c>
      <c r="C1590" s="8" t="s">
        <v>101</v>
      </c>
      <c r="D1590" s="8" t="s">
        <v>249</v>
      </c>
      <c r="E1590" s="8" t="s">
        <v>111</v>
      </c>
      <c r="F1590" s="8" t="s">
        <v>165</v>
      </c>
      <c r="G1590" s="6">
        <v>1</v>
      </c>
      <c r="H1590" s="6">
        <v>19400</v>
      </c>
      <c r="I1590" s="6">
        <v>0</v>
      </c>
      <c r="J1590" s="6">
        <f t="shared" si="48"/>
        <v>19400</v>
      </c>
      <c r="K1590" s="6">
        <f t="shared" si="49"/>
        <v>19400</v>
      </c>
      <c r="L1590" s="8" t="s">
        <v>76</v>
      </c>
      <c r="M1590" s="8" t="s">
        <v>81</v>
      </c>
    </row>
    <row r="1591" spans="1:13" x14ac:dyDescent="0.25">
      <c r="A1591" s="9">
        <v>1559</v>
      </c>
      <c r="B1591" s="10">
        <v>45230</v>
      </c>
      <c r="C1591" s="11" t="s">
        <v>78</v>
      </c>
      <c r="D1591" s="11" t="s">
        <v>73</v>
      </c>
      <c r="E1591" s="11" t="s">
        <v>111</v>
      </c>
      <c r="F1591" s="11" t="s">
        <v>112</v>
      </c>
      <c r="G1591" s="9">
        <v>50</v>
      </c>
      <c r="H1591" s="9">
        <v>64500</v>
      </c>
      <c r="I1591" s="9">
        <v>5</v>
      </c>
      <c r="J1591" s="9">
        <f t="shared" si="48"/>
        <v>3225000</v>
      </c>
      <c r="K1591" s="9">
        <f t="shared" si="49"/>
        <v>3063750</v>
      </c>
      <c r="L1591" s="11" t="s">
        <v>305</v>
      </c>
      <c r="M1591" s="11" t="s">
        <v>81</v>
      </c>
    </row>
    <row r="1592" spans="1:13" x14ac:dyDescent="0.25">
      <c r="A1592" s="6">
        <v>1560</v>
      </c>
      <c r="B1592" s="8" t="s">
        <v>576</v>
      </c>
      <c r="C1592" s="8" t="s">
        <v>114</v>
      </c>
      <c r="D1592" s="8" t="s">
        <v>93</v>
      </c>
      <c r="E1592" s="8" t="s">
        <v>84</v>
      </c>
      <c r="F1592" s="8" t="s">
        <v>85</v>
      </c>
      <c r="G1592" s="6">
        <v>7</v>
      </c>
      <c r="H1592" s="6">
        <v>5900</v>
      </c>
      <c r="I1592" s="6">
        <v>0</v>
      </c>
      <c r="J1592" s="6">
        <f t="shared" si="48"/>
        <v>41300</v>
      </c>
      <c r="K1592" s="6">
        <f t="shared" si="49"/>
        <v>41300</v>
      </c>
      <c r="L1592" s="8" t="s">
        <v>125</v>
      </c>
      <c r="M1592" s="8" t="s">
        <v>91</v>
      </c>
    </row>
    <row r="1593" spans="1:13" x14ac:dyDescent="0.25">
      <c r="A1593" s="9">
        <v>1561</v>
      </c>
      <c r="B1593" s="10">
        <v>45129</v>
      </c>
      <c r="C1593" s="11" t="s">
        <v>124</v>
      </c>
      <c r="D1593" s="11" t="s">
        <v>83</v>
      </c>
      <c r="E1593" s="11" t="s">
        <v>74</v>
      </c>
      <c r="F1593" s="11" t="s">
        <v>142</v>
      </c>
      <c r="G1593" s="9">
        <v>21</v>
      </c>
      <c r="H1593" s="9">
        <v>12600</v>
      </c>
      <c r="I1593" s="9">
        <v>0</v>
      </c>
      <c r="J1593" s="9">
        <f t="shared" si="48"/>
        <v>264600</v>
      </c>
      <c r="K1593" s="9">
        <f t="shared" si="49"/>
        <v>264600</v>
      </c>
      <c r="L1593" s="11" t="s">
        <v>125</v>
      </c>
      <c r="M1593" s="11" t="s">
        <v>77</v>
      </c>
    </row>
    <row r="1594" spans="1:13" x14ac:dyDescent="0.25">
      <c r="A1594" s="6">
        <v>1562</v>
      </c>
      <c r="B1594" s="7">
        <v>45261</v>
      </c>
      <c r="C1594" s="8" t="s">
        <v>82</v>
      </c>
      <c r="D1594" s="8" t="s">
        <v>83</v>
      </c>
      <c r="E1594" s="8" t="s">
        <v>74</v>
      </c>
      <c r="F1594" s="8" t="s">
        <v>142</v>
      </c>
      <c r="G1594" s="6">
        <v>47</v>
      </c>
      <c r="H1594" s="6">
        <v>11700</v>
      </c>
      <c r="I1594" s="6">
        <v>15</v>
      </c>
      <c r="J1594" s="6">
        <f t="shared" si="48"/>
        <v>549900</v>
      </c>
      <c r="K1594" s="6">
        <f t="shared" si="49"/>
        <v>467415</v>
      </c>
      <c r="L1594" s="8" t="s">
        <v>76</v>
      </c>
      <c r="M1594" s="8" t="s">
        <v>77</v>
      </c>
    </row>
    <row r="1595" spans="1:13" x14ac:dyDescent="0.25">
      <c r="A1595" s="9">
        <v>1563</v>
      </c>
      <c r="B1595" s="10">
        <v>45371</v>
      </c>
      <c r="C1595" s="11" t="s">
        <v>235</v>
      </c>
      <c r="D1595" s="11" t="s">
        <v>83</v>
      </c>
      <c r="E1595" s="11" t="s">
        <v>84</v>
      </c>
      <c r="F1595" s="11" t="s">
        <v>200</v>
      </c>
      <c r="G1595" s="9">
        <v>49</v>
      </c>
      <c r="H1595" s="9">
        <v>3400</v>
      </c>
      <c r="I1595" s="9">
        <v>0</v>
      </c>
      <c r="J1595" s="9">
        <f t="shared" si="48"/>
        <v>166600</v>
      </c>
      <c r="K1595" s="9">
        <f t="shared" si="49"/>
        <v>166600</v>
      </c>
      <c r="L1595" s="11" t="s">
        <v>76</v>
      </c>
      <c r="M1595" s="11" t="s">
        <v>96</v>
      </c>
    </row>
    <row r="1596" spans="1:13" x14ac:dyDescent="0.25">
      <c r="A1596" s="6">
        <v>1564</v>
      </c>
      <c r="B1596" s="7">
        <v>45506</v>
      </c>
      <c r="C1596" s="8" t="s">
        <v>124</v>
      </c>
      <c r="D1596" s="8" t="s">
        <v>143</v>
      </c>
      <c r="E1596" s="8" t="s">
        <v>102</v>
      </c>
      <c r="F1596" s="8" t="s">
        <v>138</v>
      </c>
      <c r="G1596" s="6">
        <v>46</v>
      </c>
      <c r="H1596" s="6">
        <v>7000</v>
      </c>
      <c r="I1596" s="6">
        <v>0</v>
      </c>
      <c r="J1596" s="6">
        <f t="shared" si="48"/>
        <v>322000</v>
      </c>
      <c r="K1596" s="6">
        <f t="shared" si="49"/>
        <v>322000</v>
      </c>
      <c r="L1596" s="8" t="s">
        <v>76</v>
      </c>
      <c r="M1596" s="8" t="s">
        <v>77</v>
      </c>
    </row>
    <row r="1597" spans="1:13" x14ac:dyDescent="0.25">
      <c r="A1597" s="9">
        <v>1565</v>
      </c>
      <c r="B1597" s="10">
        <v>45070</v>
      </c>
      <c r="C1597" s="11" t="s">
        <v>108</v>
      </c>
      <c r="D1597" s="11" t="s">
        <v>73</v>
      </c>
      <c r="E1597" s="11" t="s">
        <v>102</v>
      </c>
      <c r="F1597" s="11" t="s">
        <v>103</v>
      </c>
      <c r="G1597" s="9">
        <v>16</v>
      </c>
      <c r="H1597" s="9">
        <v>11100</v>
      </c>
      <c r="I1597" s="9">
        <v>0</v>
      </c>
      <c r="J1597" s="9">
        <f t="shared" si="48"/>
        <v>177600</v>
      </c>
      <c r="K1597" s="9">
        <f t="shared" si="49"/>
        <v>177600</v>
      </c>
      <c r="L1597" s="11" t="s">
        <v>76</v>
      </c>
      <c r="M1597" s="11" t="s">
        <v>96</v>
      </c>
    </row>
    <row r="1598" spans="1:13" x14ac:dyDescent="0.25">
      <c r="A1598" s="6">
        <v>1566</v>
      </c>
      <c r="B1598" s="7">
        <v>45273</v>
      </c>
      <c r="C1598" s="8" t="s">
        <v>97</v>
      </c>
      <c r="D1598" s="8" t="s">
        <v>83</v>
      </c>
      <c r="E1598" s="8" t="s">
        <v>74</v>
      </c>
      <c r="F1598" s="8" t="s">
        <v>118</v>
      </c>
      <c r="G1598" s="6">
        <v>35</v>
      </c>
      <c r="H1598" s="6">
        <v>28600</v>
      </c>
      <c r="I1598" s="6">
        <v>15</v>
      </c>
      <c r="J1598" s="6">
        <f t="shared" si="48"/>
        <v>1001000</v>
      </c>
      <c r="K1598" s="6">
        <f t="shared" si="49"/>
        <v>850850</v>
      </c>
      <c r="L1598" s="8" t="s">
        <v>76</v>
      </c>
      <c r="M1598" s="8" t="s">
        <v>91</v>
      </c>
    </row>
    <row r="1599" spans="1:13" x14ac:dyDescent="0.25">
      <c r="A1599" s="9">
        <v>1567</v>
      </c>
      <c r="B1599" s="10">
        <v>45332</v>
      </c>
      <c r="C1599" s="11" t="s">
        <v>108</v>
      </c>
      <c r="D1599" s="11" t="s">
        <v>93</v>
      </c>
      <c r="E1599" s="11" t="s">
        <v>79</v>
      </c>
      <c r="F1599" s="11" t="s">
        <v>80</v>
      </c>
      <c r="G1599" s="9">
        <v>8</v>
      </c>
      <c r="H1599" s="9" t="s">
        <v>577</v>
      </c>
      <c r="I1599" s="9">
        <v>0</v>
      </c>
      <c r="J1599" s="9">
        <f t="shared" si="48"/>
        <v>68800</v>
      </c>
      <c r="K1599" s="9">
        <f t="shared" si="49"/>
        <v>68800</v>
      </c>
      <c r="L1599" s="11" t="s">
        <v>86</v>
      </c>
      <c r="M1599" s="11" t="s">
        <v>96</v>
      </c>
    </row>
    <row r="1600" spans="1:13" x14ac:dyDescent="0.25">
      <c r="A1600" s="6">
        <v>1568</v>
      </c>
      <c r="B1600" s="7">
        <v>45172</v>
      </c>
      <c r="C1600" s="8" t="s">
        <v>78</v>
      </c>
      <c r="D1600" s="8" t="s">
        <v>93</v>
      </c>
      <c r="E1600" s="8" t="s">
        <v>79</v>
      </c>
      <c r="F1600" s="8" t="s">
        <v>136</v>
      </c>
      <c r="G1600" s="12">
        <v>-45</v>
      </c>
      <c r="H1600" s="6">
        <v>90200</v>
      </c>
      <c r="I1600" s="6">
        <v>0</v>
      </c>
      <c r="J1600" s="6">
        <f t="shared" si="48"/>
        <v>-4059000</v>
      </c>
      <c r="K1600" s="6">
        <f t="shared" si="49"/>
        <v>-4059000</v>
      </c>
      <c r="L1600" s="8" t="s">
        <v>76</v>
      </c>
      <c r="M1600" s="8" t="s">
        <v>77</v>
      </c>
    </row>
    <row r="1601" spans="1:13" x14ac:dyDescent="0.25">
      <c r="A1601" s="9">
        <v>1569</v>
      </c>
      <c r="B1601" s="10">
        <v>45151</v>
      </c>
      <c r="C1601" s="11" t="s">
        <v>106</v>
      </c>
      <c r="D1601" s="11" t="s">
        <v>109</v>
      </c>
      <c r="E1601" s="11" t="s">
        <v>84</v>
      </c>
      <c r="F1601" s="11" t="s">
        <v>200</v>
      </c>
      <c r="G1601" s="9">
        <v>49</v>
      </c>
      <c r="H1601" s="9">
        <v>3100</v>
      </c>
      <c r="I1601" s="9">
        <v>0</v>
      </c>
      <c r="J1601" s="9">
        <f t="shared" si="48"/>
        <v>151900</v>
      </c>
      <c r="K1601" s="9">
        <f t="shared" si="49"/>
        <v>151900</v>
      </c>
      <c r="L1601" s="11" t="s">
        <v>76</v>
      </c>
      <c r="M1601" s="11" t="s">
        <v>91</v>
      </c>
    </row>
    <row r="1602" spans="1:13" x14ac:dyDescent="0.25">
      <c r="A1602" s="6">
        <v>1570</v>
      </c>
      <c r="B1602" s="7">
        <v>45449</v>
      </c>
      <c r="C1602" s="8" t="s">
        <v>101</v>
      </c>
      <c r="D1602" s="8" t="s">
        <v>83</v>
      </c>
      <c r="E1602" s="8" t="s">
        <v>79</v>
      </c>
      <c r="F1602" s="8" t="s">
        <v>115</v>
      </c>
      <c r="G1602" s="6">
        <v>3</v>
      </c>
      <c r="H1602" s="6">
        <v>9300</v>
      </c>
      <c r="I1602" s="6">
        <v>0</v>
      </c>
      <c r="J1602" s="6">
        <f t="shared" ref="J1602:J1665" si="50">G1602*H1602</f>
        <v>27900</v>
      </c>
      <c r="K1602" s="6">
        <f t="shared" ref="K1602:K1665" si="51">J1602*(1-I1602/100)</f>
        <v>27900</v>
      </c>
      <c r="L1602" s="8" t="s">
        <v>76</v>
      </c>
      <c r="M1602" s="8" t="s">
        <v>77</v>
      </c>
    </row>
    <row r="1603" spans="1:13" x14ac:dyDescent="0.25">
      <c r="A1603" s="9">
        <v>133</v>
      </c>
      <c r="B1603" s="10">
        <v>45308</v>
      </c>
      <c r="C1603" s="11" t="s">
        <v>108</v>
      </c>
      <c r="D1603" s="11" t="s">
        <v>93</v>
      </c>
      <c r="E1603" s="11" t="s">
        <v>79</v>
      </c>
      <c r="F1603" s="11" t="s">
        <v>120</v>
      </c>
      <c r="G1603" s="9">
        <v>27</v>
      </c>
      <c r="H1603" s="9">
        <v>6400</v>
      </c>
      <c r="I1603" s="9">
        <v>20</v>
      </c>
      <c r="J1603" s="9">
        <f t="shared" si="50"/>
        <v>172800</v>
      </c>
      <c r="K1603" s="9">
        <f t="shared" si="51"/>
        <v>138240</v>
      </c>
      <c r="L1603" s="11" t="s">
        <v>76</v>
      </c>
      <c r="M1603" s="11" t="s">
        <v>91</v>
      </c>
    </row>
    <row r="1604" spans="1:13" x14ac:dyDescent="0.25">
      <c r="A1604" s="6">
        <v>1571</v>
      </c>
      <c r="B1604" s="7">
        <v>45162</v>
      </c>
      <c r="C1604" s="8" t="s">
        <v>124</v>
      </c>
      <c r="D1604" s="8" t="s">
        <v>83</v>
      </c>
      <c r="E1604" s="8" t="s">
        <v>292</v>
      </c>
      <c r="F1604" s="8" t="s">
        <v>120</v>
      </c>
      <c r="G1604" s="6">
        <v>38</v>
      </c>
      <c r="H1604" s="6">
        <v>6500</v>
      </c>
      <c r="I1604" s="6">
        <v>5</v>
      </c>
      <c r="J1604" s="6">
        <f t="shared" si="50"/>
        <v>247000</v>
      </c>
      <c r="K1604" s="6">
        <f t="shared" si="51"/>
        <v>234650</v>
      </c>
      <c r="L1604" s="8" t="s">
        <v>107</v>
      </c>
      <c r="M1604" s="8" t="s">
        <v>81</v>
      </c>
    </row>
    <row r="1605" spans="1:13" x14ac:dyDescent="0.25">
      <c r="A1605" s="9">
        <v>1572</v>
      </c>
      <c r="B1605" s="10">
        <v>45144</v>
      </c>
      <c r="C1605" s="11" t="s">
        <v>108</v>
      </c>
      <c r="D1605" s="11" t="s">
        <v>93</v>
      </c>
      <c r="E1605" s="11" t="s">
        <v>79</v>
      </c>
      <c r="F1605" s="11" t="s">
        <v>179</v>
      </c>
      <c r="G1605" s="9">
        <v>24</v>
      </c>
      <c r="H1605" s="9">
        <v>2400</v>
      </c>
      <c r="I1605" s="9">
        <v>20</v>
      </c>
      <c r="J1605" s="9">
        <f t="shared" si="50"/>
        <v>57600</v>
      </c>
      <c r="K1605" s="9">
        <f t="shared" si="51"/>
        <v>46080</v>
      </c>
      <c r="L1605" s="11" t="s">
        <v>164</v>
      </c>
      <c r="M1605" s="11" t="s">
        <v>81</v>
      </c>
    </row>
    <row r="1606" spans="1:13" x14ac:dyDescent="0.25">
      <c r="A1606" s="6">
        <v>1573</v>
      </c>
      <c r="B1606" s="7">
        <v>45133</v>
      </c>
      <c r="C1606" s="8" t="s">
        <v>124</v>
      </c>
      <c r="D1606" s="8" t="s">
        <v>117</v>
      </c>
      <c r="E1606" s="8" t="s">
        <v>74</v>
      </c>
      <c r="F1606" s="8" t="s">
        <v>75</v>
      </c>
      <c r="G1606" s="6">
        <v>17</v>
      </c>
      <c r="H1606" s="6">
        <v>21600</v>
      </c>
      <c r="I1606" s="6">
        <v>5</v>
      </c>
      <c r="J1606" s="6">
        <f t="shared" si="50"/>
        <v>367200</v>
      </c>
      <c r="K1606" s="6">
        <f t="shared" si="51"/>
        <v>348840</v>
      </c>
      <c r="L1606" s="8" t="s">
        <v>76</v>
      </c>
      <c r="M1606" s="8" t="s">
        <v>96</v>
      </c>
    </row>
    <row r="1607" spans="1:13" x14ac:dyDescent="0.25">
      <c r="A1607" s="9">
        <v>1574</v>
      </c>
      <c r="B1607" s="10">
        <v>44956</v>
      </c>
      <c r="C1607" s="11" t="s">
        <v>119</v>
      </c>
      <c r="D1607" s="11" t="s">
        <v>93</v>
      </c>
      <c r="E1607" s="11" t="s">
        <v>102</v>
      </c>
      <c r="F1607" s="11" t="s">
        <v>151</v>
      </c>
      <c r="G1607" s="9">
        <v>8</v>
      </c>
      <c r="H1607" s="9">
        <v>7100</v>
      </c>
      <c r="I1607" s="9">
        <v>15</v>
      </c>
      <c r="J1607" s="9">
        <f t="shared" si="50"/>
        <v>56800</v>
      </c>
      <c r="K1607" s="9">
        <f t="shared" si="51"/>
        <v>48280</v>
      </c>
      <c r="L1607" s="11" t="s">
        <v>76</v>
      </c>
      <c r="M1607" s="11" t="s">
        <v>77</v>
      </c>
    </row>
    <row r="1608" spans="1:13" x14ac:dyDescent="0.25">
      <c r="A1608" s="6">
        <v>1575</v>
      </c>
      <c r="B1608" s="7">
        <v>45137</v>
      </c>
      <c r="C1608" s="8" t="s">
        <v>106</v>
      </c>
      <c r="D1608" s="8" t="s">
        <v>93</v>
      </c>
      <c r="E1608" s="8" t="s">
        <v>74</v>
      </c>
      <c r="F1608" s="8" t="s">
        <v>75</v>
      </c>
      <c r="G1608" s="6">
        <v>20</v>
      </c>
      <c r="H1608" s="6">
        <v>24700</v>
      </c>
      <c r="I1608" s="6">
        <v>15</v>
      </c>
      <c r="J1608" s="6">
        <f t="shared" si="50"/>
        <v>494000</v>
      </c>
      <c r="K1608" s="6">
        <f t="shared" si="51"/>
        <v>419900</v>
      </c>
      <c r="L1608" s="8" t="s">
        <v>76</v>
      </c>
      <c r="M1608" s="8" t="s">
        <v>77</v>
      </c>
    </row>
    <row r="1609" spans="1:13" x14ac:dyDescent="0.25">
      <c r="A1609" s="9">
        <v>1576</v>
      </c>
      <c r="B1609" s="10">
        <v>45568</v>
      </c>
      <c r="C1609" s="11" t="s">
        <v>106</v>
      </c>
      <c r="D1609" s="11"/>
      <c r="E1609" s="11" t="s">
        <v>74</v>
      </c>
      <c r="F1609" s="11" t="s">
        <v>75</v>
      </c>
      <c r="G1609" s="12">
        <v>-20</v>
      </c>
      <c r="H1609" s="9">
        <v>22600</v>
      </c>
      <c r="I1609" s="9">
        <v>20</v>
      </c>
      <c r="J1609" s="9">
        <f t="shared" si="50"/>
        <v>-452000</v>
      </c>
      <c r="K1609" s="9">
        <f t="shared" si="51"/>
        <v>-361600</v>
      </c>
      <c r="L1609" s="11" t="s">
        <v>76</v>
      </c>
      <c r="M1609" s="11" t="s">
        <v>81</v>
      </c>
    </row>
    <row r="1610" spans="1:13" x14ac:dyDescent="0.25">
      <c r="A1610" s="6">
        <v>1577</v>
      </c>
      <c r="B1610" s="7">
        <v>45268</v>
      </c>
      <c r="C1610" s="8" t="s">
        <v>106</v>
      </c>
      <c r="D1610" s="8" t="s">
        <v>83</v>
      </c>
      <c r="E1610" s="8" t="s">
        <v>111</v>
      </c>
      <c r="F1610" s="8" t="s">
        <v>132</v>
      </c>
      <c r="G1610" s="6">
        <v>26</v>
      </c>
      <c r="H1610" s="6">
        <v>7600</v>
      </c>
      <c r="I1610" s="6">
        <v>5</v>
      </c>
      <c r="J1610" s="6">
        <f t="shared" si="50"/>
        <v>197600</v>
      </c>
      <c r="K1610" s="6">
        <f t="shared" si="51"/>
        <v>187720</v>
      </c>
      <c r="L1610" s="8" t="s">
        <v>76</v>
      </c>
      <c r="M1610" s="8" t="s">
        <v>81</v>
      </c>
    </row>
    <row r="1611" spans="1:13" x14ac:dyDescent="0.25">
      <c r="A1611" s="9">
        <v>1578</v>
      </c>
      <c r="B1611" s="10">
        <v>45418</v>
      </c>
      <c r="C1611" s="11" t="s">
        <v>82</v>
      </c>
      <c r="D1611" s="11" t="s">
        <v>93</v>
      </c>
      <c r="E1611" s="11" t="s">
        <v>74</v>
      </c>
      <c r="F1611" s="11" t="s">
        <v>75</v>
      </c>
      <c r="G1611" s="9">
        <v>7</v>
      </c>
      <c r="H1611" s="9">
        <v>20200</v>
      </c>
      <c r="I1611" s="9">
        <v>10</v>
      </c>
      <c r="J1611" s="9">
        <f t="shared" si="50"/>
        <v>141400</v>
      </c>
      <c r="K1611" s="9">
        <f t="shared" si="51"/>
        <v>127260</v>
      </c>
      <c r="L1611" s="11" t="s">
        <v>107</v>
      </c>
      <c r="M1611" s="11" t="s">
        <v>77</v>
      </c>
    </row>
    <row r="1612" spans="1:13" x14ac:dyDescent="0.25">
      <c r="A1612" s="6">
        <v>1579</v>
      </c>
      <c r="B1612" s="7">
        <v>44978</v>
      </c>
      <c r="C1612" s="8" t="s">
        <v>78</v>
      </c>
      <c r="D1612" s="8" t="s">
        <v>117</v>
      </c>
      <c r="E1612" s="8" t="s">
        <v>79</v>
      </c>
      <c r="F1612" s="8" t="s">
        <v>179</v>
      </c>
      <c r="G1612" s="6">
        <v>47</v>
      </c>
      <c r="H1612" s="6">
        <v>2500</v>
      </c>
      <c r="I1612" s="6">
        <v>0</v>
      </c>
      <c r="J1612" s="6">
        <f t="shared" si="50"/>
        <v>117500</v>
      </c>
      <c r="K1612" s="6">
        <f t="shared" si="51"/>
        <v>117500</v>
      </c>
      <c r="L1612" s="8" t="s">
        <v>129</v>
      </c>
      <c r="M1612" s="8" t="s">
        <v>81</v>
      </c>
    </row>
    <row r="1613" spans="1:13" x14ac:dyDescent="0.25">
      <c r="A1613" s="9">
        <v>1580</v>
      </c>
      <c r="B1613" s="11" t="s">
        <v>578</v>
      </c>
      <c r="C1613" s="11" t="s">
        <v>88</v>
      </c>
      <c r="D1613" s="11" t="s">
        <v>109</v>
      </c>
      <c r="E1613" s="11" t="s">
        <v>84</v>
      </c>
      <c r="F1613" s="11" t="s">
        <v>148</v>
      </c>
      <c r="G1613" s="9">
        <v>24</v>
      </c>
      <c r="H1613" s="9">
        <v>5200</v>
      </c>
      <c r="I1613" s="9">
        <v>15</v>
      </c>
      <c r="J1613" s="9">
        <f t="shared" si="50"/>
        <v>124800</v>
      </c>
      <c r="K1613" s="9">
        <f t="shared" si="51"/>
        <v>106080</v>
      </c>
      <c r="L1613" s="11" t="s">
        <v>76</v>
      </c>
      <c r="M1613" s="11" t="s">
        <v>91</v>
      </c>
    </row>
    <row r="1614" spans="1:13" x14ac:dyDescent="0.25">
      <c r="A1614" s="6">
        <v>1581</v>
      </c>
      <c r="B1614" s="8" t="s">
        <v>395</v>
      </c>
      <c r="C1614" s="8" t="s">
        <v>101</v>
      </c>
      <c r="D1614" s="8" t="s">
        <v>73</v>
      </c>
      <c r="E1614" s="8" t="s">
        <v>79</v>
      </c>
      <c r="F1614" s="8" t="s">
        <v>179</v>
      </c>
      <c r="G1614" s="6">
        <v>30</v>
      </c>
      <c r="H1614" s="6" t="s">
        <v>508</v>
      </c>
      <c r="I1614" s="6">
        <v>0</v>
      </c>
      <c r="J1614" s="6">
        <f t="shared" si="50"/>
        <v>69000</v>
      </c>
      <c r="K1614" s="6">
        <f t="shared" si="51"/>
        <v>69000</v>
      </c>
      <c r="L1614" s="8" t="s">
        <v>125</v>
      </c>
      <c r="M1614" s="8" t="s">
        <v>81</v>
      </c>
    </row>
    <row r="1615" spans="1:13" x14ac:dyDescent="0.25">
      <c r="A1615" s="9">
        <v>1582</v>
      </c>
      <c r="B1615" s="10">
        <v>45578</v>
      </c>
      <c r="C1615" s="11" t="s">
        <v>78</v>
      </c>
      <c r="D1615" s="11" t="s">
        <v>98</v>
      </c>
      <c r="E1615" s="11" t="s">
        <v>84</v>
      </c>
      <c r="F1615" s="11" t="s">
        <v>206</v>
      </c>
      <c r="G1615" s="9">
        <v>47</v>
      </c>
      <c r="H1615" s="9">
        <v>13000</v>
      </c>
      <c r="I1615" s="9">
        <v>0</v>
      </c>
      <c r="J1615" s="9">
        <f t="shared" si="50"/>
        <v>611000</v>
      </c>
      <c r="K1615" s="9">
        <f t="shared" si="51"/>
        <v>611000</v>
      </c>
      <c r="L1615" s="11" t="s">
        <v>76</v>
      </c>
      <c r="M1615" s="11" t="s">
        <v>96</v>
      </c>
    </row>
    <row r="1616" spans="1:13" x14ac:dyDescent="0.25">
      <c r="A1616" s="6">
        <v>1583</v>
      </c>
      <c r="B1616" s="7">
        <v>44950</v>
      </c>
      <c r="C1616" s="8" t="s">
        <v>124</v>
      </c>
      <c r="D1616" s="8" t="s">
        <v>83</v>
      </c>
      <c r="E1616" s="8" t="s">
        <v>79</v>
      </c>
      <c r="F1616" s="8" t="s">
        <v>122</v>
      </c>
      <c r="G1616" s="6">
        <v>26</v>
      </c>
      <c r="H1616" s="6">
        <v>17200</v>
      </c>
      <c r="I1616" s="6">
        <v>0</v>
      </c>
      <c r="J1616" s="6">
        <f t="shared" si="50"/>
        <v>447200</v>
      </c>
      <c r="K1616" s="6">
        <f t="shared" si="51"/>
        <v>447200</v>
      </c>
      <c r="L1616" s="8" t="s">
        <v>86</v>
      </c>
      <c r="M1616" s="8" t="s">
        <v>77</v>
      </c>
    </row>
    <row r="1617" spans="1:13" x14ac:dyDescent="0.25">
      <c r="A1617" s="9">
        <v>1584</v>
      </c>
      <c r="B1617" s="10">
        <v>45436</v>
      </c>
      <c r="C1617" s="11" t="s">
        <v>114</v>
      </c>
      <c r="D1617" s="11" t="s">
        <v>83</v>
      </c>
      <c r="E1617" s="11" t="s">
        <v>111</v>
      </c>
      <c r="F1617" s="11" t="s">
        <v>166</v>
      </c>
      <c r="G1617" s="9">
        <v>37</v>
      </c>
      <c r="H1617" s="9">
        <v>32000</v>
      </c>
      <c r="I1617" s="9">
        <v>20</v>
      </c>
      <c r="J1617" s="9">
        <f t="shared" si="50"/>
        <v>1184000</v>
      </c>
      <c r="K1617" s="9">
        <f t="shared" si="51"/>
        <v>947200</v>
      </c>
      <c r="L1617" s="11" t="s">
        <v>107</v>
      </c>
      <c r="M1617" s="11" t="s">
        <v>77</v>
      </c>
    </row>
    <row r="1618" spans="1:13" x14ac:dyDescent="0.25">
      <c r="A1618" s="6">
        <v>1585</v>
      </c>
      <c r="B1618" s="7">
        <v>45214</v>
      </c>
      <c r="C1618" s="8" t="s">
        <v>101</v>
      </c>
      <c r="D1618" s="8" t="s">
        <v>83</v>
      </c>
      <c r="E1618" s="8" t="s">
        <v>84</v>
      </c>
      <c r="F1618" s="8" t="s">
        <v>134</v>
      </c>
      <c r="G1618" s="6">
        <v>18</v>
      </c>
      <c r="H1618" s="6">
        <v>8700</v>
      </c>
      <c r="I1618" s="6">
        <v>0</v>
      </c>
      <c r="J1618" s="6">
        <f t="shared" si="50"/>
        <v>156600</v>
      </c>
      <c r="K1618" s="6">
        <f t="shared" si="51"/>
        <v>156600</v>
      </c>
      <c r="L1618" s="8" t="s">
        <v>125</v>
      </c>
      <c r="M1618" s="8" t="s">
        <v>81</v>
      </c>
    </row>
    <row r="1619" spans="1:13" x14ac:dyDescent="0.25">
      <c r="A1619" s="9">
        <v>1586</v>
      </c>
      <c r="B1619" s="10">
        <v>45633</v>
      </c>
      <c r="C1619" s="11" t="s">
        <v>119</v>
      </c>
      <c r="D1619" s="11" t="s">
        <v>73</v>
      </c>
      <c r="E1619" s="11" t="s">
        <v>79</v>
      </c>
      <c r="F1619" s="11" t="s">
        <v>115</v>
      </c>
      <c r="G1619" s="9">
        <v>45</v>
      </c>
      <c r="H1619" s="9">
        <v>9400</v>
      </c>
      <c r="I1619" s="9">
        <v>15</v>
      </c>
      <c r="J1619" s="9">
        <f t="shared" si="50"/>
        <v>423000</v>
      </c>
      <c r="K1619" s="9">
        <f t="shared" si="51"/>
        <v>359550</v>
      </c>
      <c r="L1619" s="11" t="s">
        <v>76</v>
      </c>
      <c r="M1619" s="11" t="s">
        <v>81</v>
      </c>
    </row>
    <row r="1620" spans="1:13" x14ac:dyDescent="0.25">
      <c r="A1620" s="6">
        <v>1587</v>
      </c>
      <c r="B1620" s="7">
        <v>44975</v>
      </c>
      <c r="C1620" s="8" t="s">
        <v>101</v>
      </c>
      <c r="D1620" s="8"/>
      <c r="E1620" s="8" t="s">
        <v>79</v>
      </c>
      <c r="F1620" s="8" t="s">
        <v>120</v>
      </c>
      <c r="G1620" s="12">
        <v>-31</v>
      </c>
      <c r="H1620" s="6" t="s">
        <v>579</v>
      </c>
      <c r="I1620" s="6">
        <v>15</v>
      </c>
      <c r="J1620" s="6" t="e">
        <f t="shared" si="50"/>
        <v>#VALUE!</v>
      </c>
      <c r="K1620" s="6" t="e">
        <f t="shared" si="51"/>
        <v>#VALUE!</v>
      </c>
      <c r="L1620" s="8" t="s">
        <v>76</v>
      </c>
      <c r="M1620" s="8" t="s">
        <v>96</v>
      </c>
    </row>
    <row r="1621" spans="1:13" x14ac:dyDescent="0.25">
      <c r="A1621" s="9">
        <v>1588</v>
      </c>
      <c r="B1621" s="10">
        <v>45307</v>
      </c>
      <c r="C1621" s="11" t="s">
        <v>82</v>
      </c>
      <c r="D1621" s="11" t="s">
        <v>93</v>
      </c>
      <c r="E1621" s="11" t="s">
        <v>84</v>
      </c>
      <c r="F1621" s="11" t="s">
        <v>200</v>
      </c>
      <c r="G1621" s="9">
        <v>23</v>
      </c>
      <c r="H1621" s="9">
        <v>3500</v>
      </c>
      <c r="I1621" s="9">
        <v>0</v>
      </c>
      <c r="J1621" s="9">
        <f t="shared" si="50"/>
        <v>80500</v>
      </c>
      <c r="K1621" s="9">
        <f t="shared" si="51"/>
        <v>80500</v>
      </c>
      <c r="L1621" s="11" t="s">
        <v>174</v>
      </c>
      <c r="M1621" s="11" t="s">
        <v>91</v>
      </c>
    </row>
    <row r="1622" spans="1:13" x14ac:dyDescent="0.25">
      <c r="A1622" s="6">
        <v>1589</v>
      </c>
      <c r="B1622" s="7">
        <v>45405</v>
      </c>
      <c r="C1622" s="8" t="s">
        <v>286</v>
      </c>
      <c r="D1622" s="8" t="s">
        <v>117</v>
      </c>
      <c r="E1622" s="8" t="s">
        <v>84</v>
      </c>
      <c r="F1622" s="8" t="s">
        <v>85</v>
      </c>
      <c r="G1622" s="6">
        <v>27</v>
      </c>
      <c r="H1622" s="6">
        <v>5800</v>
      </c>
      <c r="I1622" s="6">
        <v>0</v>
      </c>
      <c r="J1622" s="6">
        <f t="shared" si="50"/>
        <v>156600</v>
      </c>
      <c r="K1622" s="6">
        <f t="shared" si="51"/>
        <v>156600</v>
      </c>
      <c r="L1622" s="8" t="s">
        <v>76</v>
      </c>
      <c r="M1622" s="8" t="s">
        <v>91</v>
      </c>
    </row>
    <row r="1623" spans="1:13" x14ac:dyDescent="0.25">
      <c r="A1623" s="9">
        <v>1590</v>
      </c>
      <c r="B1623" s="10">
        <v>45543</v>
      </c>
      <c r="C1623" s="11" t="s">
        <v>101</v>
      </c>
      <c r="D1623" s="11" t="s">
        <v>109</v>
      </c>
      <c r="E1623" s="11" t="s">
        <v>74</v>
      </c>
      <c r="F1623" s="11" t="s">
        <v>212</v>
      </c>
      <c r="G1623" s="9">
        <v>29</v>
      </c>
      <c r="H1623" s="9">
        <v>8500</v>
      </c>
      <c r="I1623" s="9">
        <v>0</v>
      </c>
      <c r="J1623" s="9">
        <f t="shared" si="50"/>
        <v>246500</v>
      </c>
      <c r="K1623" s="9">
        <f t="shared" si="51"/>
        <v>246500</v>
      </c>
      <c r="L1623" s="11" t="s">
        <v>86</v>
      </c>
      <c r="M1623" s="11" t="s">
        <v>81</v>
      </c>
    </row>
    <row r="1624" spans="1:13" x14ac:dyDescent="0.25">
      <c r="A1624" s="6">
        <v>1591</v>
      </c>
      <c r="B1624" s="7">
        <v>45278</v>
      </c>
      <c r="C1624" s="8" t="s">
        <v>82</v>
      </c>
      <c r="D1624" s="8" t="s">
        <v>109</v>
      </c>
      <c r="E1624" s="8" t="s">
        <v>102</v>
      </c>
      <c r="F1624" s="8" t="s">
        <v>157</v>
      </c>
      <c r="G1624" s="6">
        <v>48</v>
      </c>
      <c r="H1624" s="6">
        <v>12400</v>
      </c>
      <c r="I1624" s="6">
        <v>20</v>
      </c>
      <c r="J1624" s="6">
        <f t="shared" si="50"/>
        <v>595200</v>
      </c>
      <c r="K1624" s="6">
        <f t="shared" si="51"/>
        <v>476160</v>
      </c>
      <c r="L1624" s="8" t="s">
        <v>76</v>
      </c>
      <c r="M1624" s="8" t="s">
        <v>81</v>
      </c>
    </row>
    <row r="1625" spans="1:13" x14ac:dyDescent="0.25">
      <c r="A1625" s="9">
        <v>1592</v>
      </c>
      <c r="B1625" s="10">
        <v>45137</v>
      </c>
      <c r="C1625" s="11" t="s">
        <v>114</v>
      </c>
      <c r="D1625" s="11" t="s">
        <v>73</v>
      </c>
      <c r="E1625" s="11" t="s">
        <v>111</v>
      </c>
      <c r="F1625" s="11" t="s">
        <v>112</v>
      </c>
      <c r="G1625" s="9">
        <v>35</v>
      </c>
      <c r="H1625" s="9">
        <v>74600</v>
      </c>
      <c r="I1625" s="9">
        <v>10</v>
      </c>
      <c r="J1625" s="9">
        <f t="shared" si="50"/>
        <v>2611000</v>
      </c>
      <c r="K1625" s="9">
        <f t="shared" si="51"/>
        <v>2349900</v>
      </c>
      <c r="L1625" s="11" t="s">
        <v>76</v>
      </c>
      <c r="M1625" s="11" t="s">
        <v>77</v>
      </c>
    </row>
    <row r="1626" spans="1:13" x14ac:dyDescent="0.25">
      <c r="A1626" s="6">
        <v>1593</v>
      </c>
      <c r="B1626" s="7">
        <v>44931</v>
      </c>
      <c r="C1626" s="8" t="s">
        <v>95</v>
      </c>
      <c r="D1626" s="8" t="s">
        <v>93</v>
      </c>
      <c r="E1626" s="8" t="s">
        <v>84</v>
      </c>
      <c r="F1626" s="8" t="s">
        <v>90</v>
      </c>
      <c r="G1626" s="6">
        <v>22</v>
      </c>
      <c r="H1626" s="6">
        <v>1900</v>
      </c>
      <c r="I1626" s="6"/>
      <c r="J1626" s="6">
        <f t="shared" si="50"/>
        <v>41800</v>
      </c>
      <c r="K1626" s="6">
        <f t="shared" si="51"/>
        <v>41800</v>
      </c>
      <c r="L1626" s="8" t="s">
        <v>76</v>
      </c>
      <c r="M1626" s="8" t="s">
        <v>96</v>
      </c>
    </row>
    <row r="1627" spans="1:13" x14ac:dyDescent="0.25">
      <c r="A1627" s="9">
        <v>1594</v>
      </c>
      <c r="B1627" s="10">
        <v>45309</v>
      </c>
      <c r="C1627" s="11" t="s">
        <v>82</v>
      </c>
      <c r="D1627" s="11" t="s">
        <v>83</v>
      </c>
      <c r="E1627" s="11" t="s">
        <v>102</v>
      </c>
      <c r="F1627" s="11" t="s">
        <v>151</v>
      </c>
      <c r="G1627" s="9">
        <v>23</v>
      </c>
      <c r="H1627" s="9" t="s">
        <v>580</v>
      </c>
      <c r="I1627" s="9">
        <v>0</v>
      </c>
      <c r="J1627" s="9" t="e">
        <f t="shared" si="50"/>
        <v>#VALUE!</v>
      </c>
      <c r="K1627" s="9" t="e">
        <f t="shared" si="51"/>
        <v>#VALUE!</v>
      </c>
      <c r="L1627" s="11" t="s">
        <v>247</v>
      </c>
      <c r="M1627" s="11" t="s">
        <v>77</v>
      </c>
    </row>
    <row r="1628" spans="1:13" x14ac:dyDescent="0.25">
      <c r="A1628" s="6">
        <v>1595</v>
      </c>
      <c r="B1628" s="7">
        <v>45582</v>
      </c>
      <c r="C1628" s="8" t="s">
        <v>119</v>
      </c>
      <c r="D1628" s="8" t="s">
        <v>109</v>
      </c>
      <c r="E1628" s="8" t="s">
        <v>133</v>
      </c>
      <c r="F1628" s="8" t="s">
        <v>206</v>
      </c>
      <c r="G1628" s="6">
        <v>33</v>
      </c>
      <c r="H1628" s="6">
        <v>15700</v>
      </c>
      <c r="I1628" s="6">
        <v>0</v>
      </c>
      <c r="J1628" s="6">
        <f t="shared" si="50"/>
        <v>518100</v>
      </c>
      <c r="K1628" s="6">
        <f t="shared" si="51"/>
        <v>518100</v>
      </c>
      <c r="L1628" s="8" t="s">
        <v>86</v>
      </c>
      <c r="M1628" s="8" t="s">
        <v>91</v>
      </c>
    </row>
    <row r="1629" spans="1:13" x14ac:dyDescent="0.25">
      <c r="A1629" s="9">
        <v>1596</v>
      </c>
      <c r="B1629" s="10">
        <v>45000</v>
      </c>
      <c r="C1629" s="11" t="s">
        <v>101</v>
      </c>
      <c r="D1629" s="11" t="s">
        <v>109</v>
      </c>
      <c r="E1629" s="11" t="s">
        <v>111</v>
      </c>
      <c r="F1629" s="11" t="s">
        <v>135</v>
      </c>
      <c r="G1629" s="9">
        <v>35</v>
      </c>
      <c r="H1629" s="9">
        <v>127200</v>
      </c>
      <c r="I1629" s="9">
        <v>0</v>
      </c>
      <c r="J1629" s="9">
        <f t="shared" si="50"/>
        <v>4452000</v>
      </c>
      <c r="K1629" s="9">
        <f t="shared" si="51"/>
        <v>4452000</v>
      </c>
      <c r="L1629" s="11" t="s">
        <v>76</v>
      </c>
      <c r="M1629" s="11" t="s">
        <v>81</v>
      </c>
    </row>
    <row r="1630" spans="1:13" x14ac:dyDescent="0.25">
      <c r="A1630" s="6">
        <v>1597</v>
      </c>
      <c r="B1630" s="7">
        <v>44943</v>
      </c>
      <c r="C1630" s="8" t="s">
        <v>78</v>
      </c>
      <c r="D1630" s="8" t="s">
        <v>117</v>
      </c>
      <c r="E1630" s="8" t="s">
        <v>79</v>
      </c>
      <c r="F1630" s="8" t="s">
        <v>80</v>
      </c>
      <c r="G1630" s="6">
        <v>50</v>
      </c>
      <c r="H1630" s="6">
        <v>8000</v>
      </c>
      <c r="I1630" s="6">
        <v>0</v>
      </c>
      <c r="J1630" s="6">
        <f t="shared" si="50"/>
        <v>400000</v>
      </c>
      <c r="K1630" s="6">
        <f t="shared" si="51"/>
        <v>400000</v>
      </c>
      <c r="L1630" s="8" t="s">
        <v>86</v>
      </c>
      <c r="M1630" s="8" t="s">
        <v>77</v>
      </c>
    </row>
    <row r="1631" spans="1:13" x14ac:dyDescent="0.25">
      <c r="A1631" s="9">
        <v>1598</v>
      </c>
      <c r="B1631" s="11" t="s">
        <v>581</v>
      </c>
      <c r="C1631" s="11" t="s">
        <v>97</v>
      </c>
      <c r="D1631" s="11" t="s">
        <v>83</v>
      </c>
      <c r="E1631" s="11" t="s">
        <v>74</v>
      </c>
      <c r="F1631" s="11" t="s">
        <v>140</v>
      </c>
      <c r="G1631" s="9">
        <v>39</v>
      </c>
      <c r="H1631" s="9">
        <v>4100</v>
      </c>
      <c r="I1631" s="9">
        <v>0</v>
      </c>
      <c r="J1631" s="9">
        <f t="shared" si="50"/>
        <v>159900</v>
      </c>
      <c r="K1631" s="9">
        <f t="shared" si="51"/>
        <v>159900</v>
      </c>
      <c r="L1631" s="11" t="s">
        <v>76</v>
      </c>
      <c r="M1631" s="11" t="s">
        <v>91</v>
      </c>
    </row>
    <row r="1632" spans="1:13" x14ac:dyDescent="0.25">
      <c r="A1632" s="6">
        <v>1599</v>
      </c>
      <c r="B1632" s="7">
        <v>45140</v>
      </c>
      <c r="C1632" s="8" t="s">
        <v>169</v>
      </c>
      <c r="D1632" s="8" t="s">
        <v>83</v>
      </c>
      <c r="E1632" s="8" t="s">
        <v>102</v>
      </c>
      <c r="F1632" s="8" t="s">
        <v>197</v>
      </c>
      <c r="G1632" s="6">
        <v>38</v>
      </c>
      <c r="H1632" s="6">
        <v>4000</v>
      </c>
      <c r="I1632" s="6">
        <v>0</v>
      </c>
      <c r="J1632" s="6">
        <f t="shared" si="50"/>
        <v>152000</v>
      </c>
      <c r="K1632" s="6">
        <f t="shared" si="51"/>
        <v>152000</v>
      </c>
      <c r="L1632" s="8" t="s">
        <v>76</v>
      </c>
      <c r="M1632" s="8"/>
    </row>
    <row r="1633" spans="1:13" x14ac:dyDescent="0.25">
      <c r="A1633" s="9">
        <v>1600</v>
      </c>
      <c r="B1633" s="10">
        <v>45438</v>
      </c>
      <c r="C1633" s="11" t="s">
        <v>88</v>
      </c>
      <c r="D1633" s="11" t="s">
        <v>117</v>
      </c>
      <c r="E1633" s="11" t="s">
        <v>79</v>
      </c>
      <c r="F1633" s="11" t="s">
        <v>179</v>
      </c>
      <c r="G1633" s="9">
        <v>25</v>
      </c>
      <c r="H1633" s="9">
        <v>2700</v>
      </c>
      <c r="I1633" s="9">
        <v>5</v>
      </c>
      <c r="J1633" s="9">
        <f t="shared" si="50"/>
        <v>67500</v>
      </c>
      <c r="K1633" s="9">
        <f t="shared" si="51"/>
        <v>64125</v>
      </c>
      <c r="L1633" s="11" t="s">
        <v>86</v>
      </c>
      <c r="M1633" s="11" t="s">
        <v>77</v>
      </c>
    </row>
    <row r="1634" spans="1:13" x14ac:dyDescent="0.25">
      <c r="A1634" s="6">
        <v>1601</v>
      </c>
      <c r="B1634" s="7">
        <v>45632</v>
      </c>
      <c r="C1634" s="8" t="s">
        <v>124</v>
      </c>
      <c r="D1634" s="8" t="s">
        <v>93</v>
      </c>
      <c r="E1634" s="8" t="s">
        <v>74</v>
      </c>
      <c r="F1634" s="8" t="s">
        <v>99</v>
      </c>
      <c r="G1634" s="6">
        <v>25</v>
      </c>
      <c r="H1634" s="6">
        <v>4000</v>
      </c>
      <c r="I1634" s="6">
        <v>20</v>
      </c>
      <c r="J1634" s="6">
        <f t="shared" si="50"/>
        <v>100000</v>
      </c>
      <c r="K1634" s="6">
        <f t="shared" si="51"/>
        <v>80000</v>
      </c>
      <c r="L1634" s="8" t="s">
        <v>76</v>
      </c>
      <c r="M1634" s="8" t="s">
        <v>91</v>
      </c>
    </row>
    <row r="1635" spans="1:13" x14ac:dyDescent="0.25">
      <c r="A1635" s="9">
        <v>1602</v>
      </c>
      <c r="B1635" s="10">
        <v>45015</v>
      </c>
      <c r="C1635" s="11" t="s">
        <v>119</v>
      </c>
      <c r="D1635" s="11"/>
      <c r="E1635" s="11" t="s">
        <v>102</v>
      </c>
      <c r="F1635" s="11" t="s">
        <v>137</v>
      </c>
      <c r="G1635" s="9">
        <v>47</v>
      </c>
      <c r="H1635" s="9">
        <v>2000</v>
      </c>
      <c r="I1635" s="9">
        <v>5</v>
      </c>
      <c r="J1635" s="9">
        <f t="shared" si="50"/>
        <v>94000</v>
      </c>
      <c r="K1635" s="9">
        <f t="shared" si="51"/>
        <v>89300</v>
      </c>
      <c r="L1635" s="11" t="s">
        <v>86</v>
      </c>
      <c r="M1635" s="11" t="s">
        <v>77</v>
      </c>
    </row>
    <row r="1636" spans="1:13" x14ac:dyDescent="0.25">
      <c r="A1636" s="6">
        <v>1603</v>
      </c>
      <c r="B1636" s="7">
        <v>45315</v>
      </c>
      <c r="C1636" s="8" t="s">
        <v>88</v>
      </c>
      <c r="D1636" s="8" t="s">
        <v>109</v>
      </c>
      <c r="E1636" s="8" t="s">
        <v>102</v>
      </c>
      <c r="F1636" s="8" t="s">
        <v>197</v>
      </c>
      <c r="G1636" s="6">
        <v>20</v>
      </c>
      <c r="H1636" s="6">
        <v>3500</v>
      </c>
      <c r="I1636" s="6">
        <v>0</v>
      </c>
      <c r="J1636" s="6">
        <f t="shared" si="50"/>
        <v>70000</v>
      </c>
      <c r="K1636" s="6">
        <f t="shared" si="51"/>
        <v>70000</v>
      </c>
      <c r="L1636" s="8" t="s">
        <v>76</v>
      </c>
      <c r="M1636" s="8" t="s">
        <v>91</v>
      </c>
    </row>
    <row r="1637" spans="1:13" x14ac:dyDescent="0.25">
      <c r="A1637" s="9">
        <v>1604</v>
      </c>
      <c r="B1637" s="10">
        <v>45555</v>
      </c>
      <c r="C1637" s="11" t="s">
        <v>114</v>
      </c>
      <c r="D1637" s="11"/>
      <c r="E1637" s="11" t="s">
        <v>79</v>
      </c>
      <c r="F1637" s="11" t="s">
        <v>122</v>
      </c>
      <c r="G1637" s="9">
        <v>44</v>
      </c>
      <c r="H1637" s="9">
        <v>18900</v>
      </c>
      <c r="I1637" s="9">
        <v>0</v>
      </c>
      <c r="J1637" s="9">
        <f t="shared" si="50"/>
        <v>831600</v>
      </c>
      <c r="K1637" s="9">
        <f t="shared" si="51"/>
        <v>831600</v>
      </c>
      <c r="L1637" s="11" t="s">
        <v>86</v>
      </c>
      <c r="M1637" s="11" t="s">
        <v>91</v>
      </c>
    </row>
    <row r="1638" spans="1:13" x14ac:dyDescent="0.25">
      <c r="A1638" s="6">
        <v>1605</v>
      </c>
      <c r="B1638" s="7">
        <v>45441</v>
      </c>
      <c r="C1638" s="8" t="s">
        <v>160</v>
      </c>
      <c r="D1638" s="8" t="s">
        <v>83</v>
      </c>
      <c r="E1638" s="8" t="s">
        <v>74</v>
      </c>
      <c r="F1638" s="8" t="s">
        <v>140</v>
      </c>
      <c r="G1638" s="6">
        <v>35</v>
      </c>
      <c r="H1638" s="6">
        <v>5000</v>
      </c>
      <c r="I1638" s="6">
        <v>0</v>
      </c>
      <c r="J1638" s="6">
        <f t="shared" si="50"/>
        <v>175000</v>
      </c>
      <c r="K1638" s="6">
        <f t="shared" si="51"/>
        <v>175000</v>
      </c>
      <c r="L1638" s="8" t="s">
        <v>86</v>
      </c>
      <c r="M1638" s="8" t="s">
        <v>77</v>
      </c>
    </row>
    <row r="1639" spans="1:13" x14ac:dyDescent="0.25">
      <c r="A1639" s="9">
        <v>1606</v>
      </c>
      <c r="B1639" s="10">
        <v>45526</v>
      </c>
      <c r="C1639" s="11" t="s">
        <v>97</v>
      </c>
      <c r="D1639" s="11" t="s">
        <v>93</v>
      </c>
      <c r="E1639" s="11" t="s">
        <v>111</v>
      </c>
      <c r="F1639" s="11" t="s">
        <v>166</v>
      </c>
      <c r="G1639" s="9">
        <v>19</v>
      </c>
      <c r="H1639" s="9">
        <v>31500</v>
      </c>
      <c r="I1639" s="9">
        <v>0</v>
      </c>
      <c r="J1639" s="9">
        <f t="shared" si="50"/>
        <v>598500</v>
      </c>
      <c r="K1639" s="9">
        <f t="shared" si="51"/>
        <v>598500</v>
      </c>
      <c r="L1639" s="11" t="s">
        <v>305</v>
      </c>
      <c r="M1639" s="11" t="s">
        <v>77</v>
      </c>
    </row>
    <row r="1640" spans="1:13" x14ac:dyDescent="0.25">
      <c r="A1640" s="6">
        <v>1607</v>
      </c>
      <c r="B1640" s="7">
        <v>45542</v>
      </c>
      <c r="C1640" s="8" t="s">
        <v>88</v>
      </c>
      <c r="D1640" s="8" t="s">
        <v>186</v>
      </c>
      <c r="E1640" s="8" t="s">
        <v>79</v>
      </c>
      <c r="F1640" s="8" t="s">
        <v>122</v>
      </c>
      <c r="G1640" s="6">
        <v>5</v>
      </c>
      <c r="H1640" s="6">
        <v>20600</v>
      </c>
      <c r="I1640" s="6">
        <v>0</v>
      </c>
      <c r="J1640" s="6">
        <f t="shared" si="50"/>
        <v>103000</v>
      </c>
      <c r="K1640" s="6">
        <f t="shared" si="51"/>
        <v>103000</v>
      </c>
      <c r="L1640" s="8" t="s">
        <v>76</v>
      </c>
      <c r="M1640" s="8" t="s">
        <v>91</v>
      </c>
    </row>
    <row r="1641" spans="1:13" x14ac:dyDescent="0.25">
      <c r="A1641" s="9">
        <v>1608</v>
      </c>
      <c r="B1641" s="10">
        <v>44932</v>
      </c>
      <c r="C1641" s="11" t="s">
        <v>114</v>
      </c>
      <c r="D1641" s="11" t="s">
        <v>109</v>
      </c>
      <c r="E1641" s="11" t="s">
        <v>111</v>
      </c>
      <c r="F1641" s="11" t="s">
        <v>192</v>
      </c>
      <c r="G1641" s="9">
        <v>15</v>
      </c>
      <c r="H1641" s="9">
        <v>92700</v>
      </c>
      <c r="I1641" s="9">
        <v>0</v>
      </c>
      <c r="J1641" s="9">
        <f t="shared" si="50"/>
        <v>1390500</v>
      </c>
      <c r="K1641" s="9">
        <f t="shared" si="51"/>
        <v>1390500</v>
      </c>
      <c r="L1641" s="11" t="s">
        <v>76</v>
      </c>
      <c r="M1641" s="11" t="s">
        <v>91</v>
      </c>
    </row>
    <row r="1642" spans="1:13" x14ac:dyDescent="0.25">
      <c r="A1642" s="6">
        <v>1609</v>
      </c>
      <c r="B1642" s="7">
        <v>45657</v>
      </c>
      <c r="C1642" s="8" t="s">
        <v>119</v>
      </c>
      <c r="D1642" s="8"/>
      <c r="E1642" s="8" t="s">
        <v>79</v>
      </c>
      <c r="F1642" s="8" t="s">
        <v>122</v>
      </c>
      <c r="G1642" s="6">
        <v>48</v>
      </c>
      <c r="H1642" s="6">
        <v>16800</v>
      </c>
      <c r="I1642" s="6">
        <v>5</v>
      </c>
      <c r="J1642" s="6">
        <f t="shared" si="50"/>
        <v>806400</v>
      </c>
      <c r="K1642" s="6">
        <f t="shared" si="51"/>
        <v>766080</v>
      </c>
      <c r="L1642" s="8" t="s">
        <v>125</v>
      </c>
      <c r="M1642" s="8" t="s">
        <v>77</v>
      </c>
    </row>
    <row r="1643" spans="1:13" x14ac:dyDescent="0.25">
      <c r="A1643" s="9">
        <v>1610</v>
      </c>
      <c r="B1643" s="10">
        <v>45435</v>
      </c>
      <c r="C1643" s="11" t="s">
        <v>88</v>
      </c>
      <c r="D1643" s="11" t="s">
        <v>83</v>
      </c>
      <c r="E1643" s="11" t="s">
        <v>79</v>
      </c>
      <c r="F1643" s="11" t="s">
        <v>120</v>
      </c>
      <c r="G1643" s="9">
        <v>7</v>
      </c>
      <c r="H1643" s="9">
        <v>6400</v>
      </c>
      <c r="I1643" s="9">
        <v>0</v>
      </c>
      <c r="J1643" s="9">
        <f t="shared" si="50"/>
        <v>44800</v>
      </c>
      <c r="K1643" s="9">
        <f t="shared" si="51"/>
        <v>44800</v>
      </c>
      <c r="L1643" s="11" t="s">
        <v>164</v>
      </c>
      <c r="M1643" s="11" t="s">
        <v>77</v>
      </c>
    </row>
    <row r="1644" spans="1:13" x14ac:dyDescent="0.25">
      <c r="A1644" s="6">
        <v>1611</v>
      </c>
      <c r="B1644" s="7">
        <v>45373</v>
      </c>
      <c r="C1644" s="8" t="s">
        <v>82</v>
      </c>
      <c r="D1644" s="8" t="s">
        <v>83</v>
      </c>
      <c r="E1644" s="8" t="s">
        <v>292</v>
      </c>
      <c r="F1644" s="8" t="s">
        <v>131</v>
      </c>
      <c r="G1644" s="6">
        <v>43</v>
      </c>
      <c r="H1644" s="6">
        <v>110600</v>
      </c>
      <c r="I1644" s="6">
        <v>10</v>
      </c>
      <c r="J1644" s="6">
        <f t="shared" si="50"/>
        <v>4755800</v>
      </c>
      <c r="K1644" s="6">
        <f t="shared" si="51"/>
        <v>4280220</v>
      </c>
      <c r="L1644" s="8" t="s">
        <v>174</v>
      </c>
      <c r="M1644" s="8" t="s">
        <v>91</v>
      </c>
    </row>
    <row r="1645" spans="1:13" x14ac:dyDescent="0.25">
      <c r="A1645" s="9">
        <v>1612</v>
      </c>
      <c r="B1645" s="10">
        <v>45176</v>
      </c>
      <c r="C1645" s="11" t="s">
        <v>108</v>
      </c>
      <c r="D1645" s="11" t="s">
        <v>73</v>
      </c>
      <c r="E1645" s="11" t="s">
        <v>79</v>
      </c>
      <c r="F1645" s="11" t="s">
        <v>122</v>
      </c>
      <c r="G1645" s="9">
        <v>12</v>
      </c>
      <c r="H1645" s="9">
        <v>16600</v>
      </c>
      <c r="I1645" s="9">
        <v>15</v>
      </c>
      <c r="J1645" s="9">
        <f t="shared" si="50"/>
        <v>199200</v>
      </c>
      <c r="K1645" s="9">
        <f t="shared" si="51"/>
        <v>169320</v>
      </c>
      <c r="L1645" s="11" t="s">
        <v>187</v>
      </c>
      <c r="M1645" s="11" t="s">
        <v>91</v>
      </c>
    </row>
    <row r="1646" spans="1:13" x14ac:dyDescent="0.25">
      <c r="A1646" s="6">
        <v>1613</v>
      </c>
      <c r="B1646" s="7">
        <v>45486</v>
      </c>
      <c r="C1646" s="8" t="s">
        <v>88</v>
      </c>
      <c r="D1646" s="8" t="s">
        <v>93</v>
      </c>
      <c r="E1646" s="8" t="s">
        <v>74</v>
      </c>
      <c r="F1646" s="8" t="s">
        <v>99</v>
      </c>
      <c r="G1646" s="6">
        <v>43</v>
      </c>
      <c r="H1646" s="6">
        <v>3200</v>
      </c>
      <c r="I1646" s="6">
        <v>0</v>
      </c>
      <c r="J1646" s="6">
        <f t="shared" si="50"/>
        <v>137600</v>
      </c>
      <c r="K1646" s="6">
        <f t="shared" si="51"/>
        <v>137600</v>
      </c>
      <c r="L1646" s="8" t="s">
        <v>76</v>
      </c>
      <c r="M1646" s="8" t="s">
        <v>91</v>
      </c>
    </row>
    <row r="1647" spans="1:13" x14ac:dyDescent="0.25">
      <c r="A1647" s="9">
        <v>1614</v>
      </c>
      <c r="B1647" s="11" t="s">
        <v>582</v>
      </c>
      <c r="C1647" s="11" t="s">
        <v>78</v>
      </c>
      <c r="D1647" s="11" t="s">
        <v>109</v>
      </c>
      <c r="E1647" s="11" t="s">
        <v>84</v>
      </c>
      <c r="F1647" s="11" t="s">
        <v>128</v>
      </c>
      <c r="G1647" s="9">
        <v>48</v>
      </c>
      <c r="H1647" s="9">
        <v>4100</v>
      </c>
      <c r="I1647" s="9"/>
      <c r="J1647" s="9">
        <f t="shared" si="50"/>
        <v>196800</v>
      </c>
      <c r="K1647" s="9">
        <f t="shared" si="51"/>
        <v>196800</v>
      </c>
      <c r="L1647" s="11" t="s">
        <v>86</v>
      </c>
      <c r="M1647" s="11" t="s">
        <v>77</v>
      </c>
    </row>
    <row r="1648" spans="1:13" x14ac:dyDescent="0.25">
      <c r="A1648" s="6">
        <v>1615</v>
      </c>
      <c r="B1648" s="8" t="s">
        <v>583</v>
      </c>
      <c r="C1648" s="8" t="s">
        <v>82</v>
      </c>
      <c r="D1648" s="8" t="s">
        <v>73</v>
      </c>
      <c r="E1648" s="8" t="s">
        <v>79</v>
      </c>
      <c r="F1648" s="8" t="s">
        <v>179</v>
      </c>
      <c r="G1648" s="6">
        <v>1</v>
      </c>
      <c r="H1648" s="6">
        <v>2600</v>
      </c>
      <c r="I1648" s="6">
        <v>0</v>
      </c>
      <c r="J1648" s="6">
        <f t="shared" si="50"/>
        <v>2600</v>
      </c>
      <c r="K1648" s="6">
        <f t="shared" si="51"/>
        <v>2600</v>
      </c>
      <c r="L1648" s="8" t="s">
        <v>76</v>
      </c>
      <c r="M1648" s="8" t="s">
        <v>81</v>
      </c>
    </row>
    <row r="1649" spans="1:13" x14ac:dyDescent="0.25">
      <c r="A1649" s="9">
        <v>1616</v>
      </c>
      <c r="B1649" s="10">
        <v>45176</v>
      </c>
      <c r="C1649" s="11" t="s">
        <v>119</v>
      </c>
      <c r="D1649" s="11" t="s">
        <v>109</v>
      </c>
      <c r="E1649" s="11" t="s">
        <v>162</v>
      </c>
      <c r="F1649" s="11" t="s">
        <v>85</v>
      </c>
      <c r="G1649" s="9">
        <v>14</v>
      </c>
      <c r="H1649" s="9">
        <v>5500</v>
      </c>
      <c r="I1649" s="9">
        <v>10</v>
      </c>
      <c r="J1649" s="9">
        <f t="shared" si="50"/>
        <v>77000</v>
      </c>
      <c r="K1649" s="9">
        <f t="shared" si="51"/>
        <v>69300</v>
      </c>
      <c r="L1649" s="11" t="s">
        <v>76</v>
      </c>
      <c r="M1649" s="11" t="s">
        <v>91</v>
      </c>
    </row>
    <row r="1650" spans="1:13" x14ac:dyDescent="0.25">
      <c r="A1650" s="6">
        <v>1617</v>
      </c>
      <c r="B1650" s="7">
        <v>45575</v>
      </c>
      <c r="C1650" s="8" t="s">
        <v>82</v>
      </c>
      <c r="D1650" s="8" t="s">
        <v>73</v>
      </c>
      <c r="E1650" s="8" t="s">
        <v>84</v>
      </c>
      <c r="F1650" s="8" t="s">
        <v>128</v>
      </c>
      <c r="G1650" s="6">
        <v>10</v>
      </c>
      <c r="H1650" s="6">
        <v>4700</v>
      </c>
      <c r="I1650" s="6">
        <v>5</v>
      </c>
      <c r="J1650" s="6">
        <f t="shared" si="50"/>
        <v>47000</v>
      </c>
      <c r="K1650" s="6">
        <f t="shared" si="51"/>
        <v>44650</v>
      </c>
      <c r="L1650" s="8" t="s">
        <v>107</v>
      </c>
      <c r="M1650" s="8" t="s">
        <v>77</v>
      </c>
    </row>
    <row r="1651" spans="1:13" x14ac:dyDescent="0.25">
      <c r="A1651" s="9">
        <v>1618</v>
      </c>
      <c r="B1651" s="11" t="s">
        <v>584</v>
      </c>
      <c r="C1651" s="11" t="s">
        <v>97</v>
      </c>
      <c r="D1651" s="11" t="s">
        <v>93</v>
      </c>
      <c r="E1651" s="11" t="s">
        <v>84</v>
      </c>
      <c r="F1651" s="11" t="s">
        <v>90</v>
      </c>
      <c r="G1651" s="9">
        <v>27</v>
      </c>
      <c r="H1651" s="9">
        <v>1900</v>
      </c>
      <c r="I1651" s="9">
        <v>0</v>
      </c>
      <c r="J1651" s="9">
        <f t="shared" si="50"/>
        <v>51300</v>
      </c>
      <c r="K1651" s="9">
        <f t="shared" si="51"/>
        <v>51300</v>
      </c>
      <c r="L1651" s="11" t="s">
        <v>86</v>
      </c>
      <c r="M1651" s="11" t="s">
        <v>96</v>
      </c>
    </row>
    <row r="1652" spans="1:13" x14ac:dyDescent="0.25">
      <c r="A1652" s="6">
        <v>1619</v>
      </c>
      <c r="B1652" s="7">
        <v>45195</v>
      </c>
      <c r="C1652" s="8" t="s">
        <v>114</v>
      </c>
      <c r="D1652" s="8" t="s">
        <v>73</v>
      </c>
      <c r="E1652" s="8" t="s">
        <v>111</v>
      </c>
      <c r="F1652" s="8" t="s">
        <v>192</v>
      </c>
      <c r="G1652" s="6">
        <v>50</v>
      </c>
      <c r="H1652" s="6">
        <v>106200</v>
      </c>
      <c r="I1652" s="6">
        <v>15</v>
      </c>
      <c r="J1652" s="6">
        <f t="shared" si="50"/>
        <v>5310000</v>
      </c>
      <c r="K1652" s="6">
        <f t="shared" si="51"/>
        <v>4513500</v>
      </c>
      <c r="L1652" s="8" t="s">
        <v>76</v>
      </c>
      <c r="M1652" s="8" t="s">
        <v>81</v>
      </c>
    </row>
    <row r="1653" spans="1:13" x14ac:dyDescent="0.25">
      <c r="A1653" s="9">
        <v>1620</v>
      </c>
      <c r="B1653" s="10">
        <v>45309</v>
      </c>
      <c r="C1653" s="11" t="s">
        <v>223</v>
      </c>
      <c r="D1653" s="11" t="s">
        <v>83</v>
      </c>
      <c r="E1653" s="11" t="s">
        <v>102</v>
      </c>
      <c r="F1653" s="11" t="s">
        <v>181</v>
      </c>
      <c r="G1653" s="9">
        <v>9</v>
      </c>
      <c r="H1653" s="9">
        <v>4900</v>
      </c>
      <c r="I1653" s="9">
        <v>15</v>
      </c>
      <c r="J1653" s="9">
        <f t="shared" si="50"/>
        <v>44100</v>
      </c>
      <c r="K1653" s="9">
        <f t="shared" si="51"/>
        <v>37485</v>
      </c>
      <c r="L1653" s="11" t="s">
        <v>76</v>
      </c>
      <c r="M1653" s="11" t="s">
        <v>91</v>
      </c>
    </row>
    <row r="1654" spans="1:13" x14ac:dyDescent="0.25">
      <c r="A1654" s="6">
        <v>1621</v>
      </c>
      <c r="B1654" s="8" t="s">
        <v>585</v>
      </c>
      <c r="C1654" s="8" t="s">
        <v>108</v>
      </c>
      <c r="D1654" s="8" t="s">
        <v>109</v>
      </c>
      <c r="E1654" s="8" t="s">
        <v>102</v>
      </c>
      <c r="F1654" s="8" t="s">
        <v>110</v>
      </c>
      <c r="G1654" s="6">
        <v>5</v>
      </c>
      <c r="H1654" s="6">
        <v>22500</v>
      </c>
      <c r="I1654" s="6">
        <v>5</v>
      </c>
      <c r="J1654" s="6">
        <f t="shared" si="50"/>
        <v>112500</v>
      </c>
      <c r="K1654" s="6">
        <f t="shared" si="51"/>
        <v>106875</v>
      </c>
      <c r="L1654" s="8" t="s">
        <v>76</v>
      </c>
      <c r="M1654" s="8" t="s">
        <v>77</v>
      </c>
    </row>
    <row r="1655" spans="1:13" x14ac:dyDescent="0.25">
      <c r="A1655" s="9">
        <v>1622</v>
      </c>
      <c r="B1655" s="10">
        <v>44994</v>
      </c>
      <c r="C1655" s="11" t="s">
        <v>82</v>
      </c>
      <c r="D1655" s="11" t="s">
        <v>73</v>
      </c>
      <c r="E1655" s="11" t="s">
        <v>84</v>
      </c>
      <c r="F1655" s="11" t="s">
        <v>206</v>
      </c>
      <c r="G1655" s="12">
        <v>-26</v>
      </c>
      <c r="H1655" s="9">
        <v>13900</v>
      </c>
      <c r="I1655" s="9">
        <v>0</v>
      </c>
      <c r="J1655" s="9">
        <f t="shared" si="50"/>
        <v>-361400</v>
      </c>
      <c r="K1655" s="9">
        <f t="shared" si="51"/>
        <v>-361400</v>
      </c>
      <c r="L1655" s="11" t="s">
        <v>76</v>
      </c>
      <c r="M1655" s="11" t="s">
        <v>96</v>
      </c>
    </row>
    <row r="1656" spans="1:13" x14ac:dyDescent="0.25">
      <c r="A1656" s="6">
        <v>368</v>
      </c>
      <c r="B1656" s="7">
        <v>45640</v>
      </c>
      <c r="C1656" s="8" t="s">
        <v>82</v>
      </c>
      <c r="D1656" s="8" t="s">
        <v>93</v>
      </c>
      <c r="E1656" s="8" t="s">
        <v>74</v>
      </c>
      <c r="F1656" s="8" t="s">
        <v>190</v>
      </c>
      <c r="G1656" s="6">
        <v>7</v>
      </c>
      <c r="H1656" s="6">
        <v>31200</v>
      </c>
      <c r="I1656" s="6">
        <v>0</v>
      </c>
      <c r="J1656" s="6">
        <f t="shared" si="50"/>
        <v>218400</v>
      </c>
      <c r="K1656" s="6">
        <f t="shared" si="51"/>
        <v>218400</v>
      </c>
      <c r="L1656" s="8" t="s">
        <v>76</v>
      </c>
      <c r="M1656" s="8" t="s">
        <v>91</v>
      </c>
    </row>
    <row r="1657" spans="1:13" x14ac:dyDescent="0.25">
      <c r="A1657" s="9">
        <v>1623</v>
      </c>
      <c r="B1657" s="10">
        <v>45475</v>
      </c>
      <c r="C1657" s="11" t="s">
        <v>124</v>
      </c>
      <c r="D1657" s="11" t="s">
        <v>117</v>
      </c>
      <c r="E1657" s="11" t="s">
        <v>74</v>
      </c>
      <c r="F1657" s="11" t="s">
        <v>99</v>
      </c>
      <c r="G1657" s="9">
        <v>25</v>
      </c>
      <c r="H1657" s="9">
        <v>3600</v>
      </c>
      <c r="I1657" s="9">
        <v>5</v>
      </c>
      <c r="J1657" s="9">
        <f t="shared" si="50"/>
        <v>90000</v>
      </c>
      <c r="K1657" s="9">
        <f t="shared" si="51"/>
        <v>85500</v>
      </c>
      <c r="L1657" s="11" t="s">
        <v>86</v>
      </c>
      <c r="M1657" s="11" t="s">
        <v>81</v>
      </c>
    </row>
    <row r="1658" spans="1:13" x14ac:dyDescent="0.25">
      <c r="A1658" s="6">
        <v>1624</v>
      </c>
      <c r="B1658" s="8" t="s">
        <v>586</v>
      </c>
      <c r="C1658" s="8" t="s">
        <v>97</v>
      </c>
      <c r="D1658" s="8" t="s">
        <v>83</v>
      </c>
      <c r="E1658" s="8" t="s">
        <v>74</v>
      </c>
      <c r="F1658" s="8" t="s">
        <v>118</v>
      </c>
      <c r="G1658" s="6">
        <v>18</v>
      </c>
      <c r="H1658" s="6">
        <v>27000</v>
      </c>
      <c r="I1658" s="6">
        <v>10</v>
      </c>
      <c r="J1658" s="6">
        <f t="shared" si="50"/>
        <v>486000</v>
      </c>
      <c r="K1658" s="6">
        <f t="shared" si="51"/>
        <v>437400</v>
      </c>
      <c r="L1658" s="8" t="s">
        <v>125</v>
      </c>
      <c r="M1658" s="8" t="s">
        <v>96</v>
      </c>
    </row>
    <row r="1659" spans="1:13" x14ac:dyDescent="0.25">
      <c r="A1659" s="9">
        <v>1625</v>
      </c>
      <c r="B1659" s="11" t="s">
        <v>584</v>
      </c>
      <c r="C1659" s="11" t="s">
        <v>106</v>
      </c>
      <c r="D1659" s="11" t="s">
        <v>117</v>
      </c>
      <c r="E1659" s="11" t="s">
        <v>74</v>
      </c>
      <c r="F1659" s="11" t="s">
        <v>75</v>
      </c>
      <c r="G1659" s="9">
        <v>23</v>
      </c>
      <c r="H1659" s="9">
        <v>22900</v>
      </c>
      <c r="I1659" s="9">
        <v>20</v>
      </c>
      <c r="J1659" s="9">
        <f t="shared" si="50"/>
        <v>526700</v>
      </c>
      <c r="K1659" s="9">
        <f t="shared" si="51"/>
        <v>421360</v>
      </c>
      <c r="L1659" s="11" t="s">
        <v>125</v>
      </c>
      <c r="M1659" s="11" t="s">
        <v>81</v>
      </c>
    </row>
    <row r="1660" spans="1:13" x14ac:dyDescent="0.25">
      <c r="A1660" s="6">
        <v>1626</v>
      </c>
      <c r="B1660" s="7">
        <v>45270</v>
      </c>
      <c r="C1660" s="8" t="s">
        <v>82</v>
      </c>
      <c r="D1660" s="8" t="s">
        <v>83</v>
      </c>
      <c r="E1660" s="8" t="s">
        <v>74</v>
      </c>
      <c r="F1660" s="8" t="s">
        <v>190</v>
      </c>
      <c r="G1660" s="6">
        <v>43</v>
      </c>
      <c r="H1660" s="6">
        <v>33600</v>
      </c>
      <c r="I1660" s="6">
        <v>20</v>
      </c>
      <c r="J1660" s="6">
        <f t="shared" si="50"/>
        <v>1444800</v>
      </c>
      <c r="K1660" s="6">
        <f t="shared" si="51"/>
        <v>1155840</v>
      </c>
      <c r="L1660" s="8" t="s">
        <v>86</v>
      </c>
      <c r="M1660" s="8" t="s">
        <v>81</v>
      </c>
    </row>
    <row r="1661" spans="1:13" x14ac:dyDescent="0.25">
      <c r="A1661" s="9">
        <v>1627</v>
      </c>
      <c r="B1661" s="11" t="s">
        <v>587</v>
      </c>
      <c r="C1661" s="11" t="s">
        <v>101</v>
      </c>
      <c r="D1661" s="11" t="s">
        <v>109</v>
      </c>
      <c r="E1661" s="11" t="s">
        <v>255</v>
      </c>
      <c r="F1661" s="11" t="s">
        <v>212</v>
      </c>
      <c r="G1661" s="12">
        <v>-30</v>
      </c>
      <c r="H1661" s="9" t="s">
        <v>588</v>
      </c>
      <c r="I1661" s="9">
        <v>0</v>
      </c>
      <c r="J1661" s="9">
        <f t="shared" si="50"/>
        <v>-228000</v>
      </c>
      <c r="K1661" s="9">
        <f t="shared" si="51"/>
        <v>-228000</v>
      </c>
      <c r="L1661" s="11" t="s">
        <v>76</v>
      </c>
      <c r="M1661" s="11" t="s">
        <v>81</v>
      </c>
    </row>
    <row r="1662" spans="1:13" x14ac:dyDescent="0.25">
      <c r="A1662" s="6">
        <v>1628</v>
      </c>
      <c r="B1662" s="7">
        <v>45225</v>
      </c>
      <c r="C1662" s="8" t="s">
        <v>106</v>
      </c>
      <c r="D1662" s="8" t="s">
        <v>109</v>
      </c>
      <c r="E1662" s="8" t="s">
        <v>102</v>
      </c>
      <c r="F1662" s="8" t="s">
        <v>157</v>
      </c>
      <c r="G1662" s="6">
        <v>42</v>
      </c>
      <c r="H1662" s="6">
        <v>11300</v>
      </c>
      <c r="I1662" s="6">
        <v>0</v>
      </c>
      <c r="J1662" s="6">
        <f t="shared" si="50"/>
        <v>474600</v>
      </c>
      <c r="K1662" s="6">
        <f t="shared" si="51"/>
        <v>474600</v>
      </c>
      <c r="L1662" s="8" t="s">
        <v>86</v>
      </c>
      <c r="M1662" s="8" t="s">
        <v>96</v>
      </c>
    </row>
    <row r="1663" spans="1:13" x14ac:dyDescent="0.25">
      <c r="A1663" s="9">
        <v>298</v>
      </c>
      <c r="B1663" s="10">
        <v>45628</v>
      </c>
      <c r="C1663" s="11" t="s">
        <v>119</v>
      </c>
      <c r="D1663" s="11" t="s">
        <v>83</v>
      </c>
      <c r="E1663" s="11" t="s">
        <v>111</v>
      </c>
      <c r="F1663" s="11" t="s">
        <v>159</v>
      </c>
      <c r="G1663" s="9">
        <v>37</v>
      </c>
      <c r="H1663" s="9">
        <v>11300</v>
      </c>
      <c r="I1663" s="9">
        <v>0</v>
      </c>
      <c r="J1663" s="9">
        <f t="shared" si="50"/>
        <v>418100</v>
      </c>
      <c r="K1663" s="9">
        <f t="shared" si="51"/>
        <v>418100</v>
      </c>
      <c r="L1663" s="11" t="s">
        <v>76</v>
      </c>
      <c r="M1663" s="11" t="s">
        <v>81</v>
      </c>
    </row>
    <row r="1664" spans="1:13" x14ac:dyDescent="0.25">
      <c r="A1664" s="6">
        <v>1629</v>
      </c>
      <c r="B1664" s="7">
        <v>45328</v>
      </c>
      <c r="C1664" s="8" t="s">
        <v>119</v>
      </c>
      <c r="D1664" s="8" t="s">
        <v>117</v>
      </c>
      <c r="E1664" s="8" t="s">
        <v>102</v>
      </c>
      <c r="F1664" s="8" t="s">
        <v>197</v>
      </c>
      <c r="G1664" s="6">
        <v>10</v>
      </c>
      <c r="H1664" s="6">
        <v>3900</v>
      </c>
      <c r="I1664" s="6">
        <v>0</v>
      </c>
      <c r="J1664" s="6">
        <f t="shared" si="50"/>
        <v>39000</v>
      </c>
      <c r="K1664" s="6">
        <f t="shared" si="51"/>
        <v>39000</v>
      </c>
      <c r="L1664" s="8" t="s">
        <v>76</v>
      </c>
      <c r="M1664" s="8" t="s">
        <v>77</v>
      </c>
    </row>
    <row r="1665" spans="1:13" x14ac:dyDescent="0.25">
      <c r="A1665" s="9">
        <v>1630</v>
      </c>
      <c r="B1665" s="11" t="s">
        <v>589</v>
      </c>
      <c r="C1665" s="11" t="s">
        <v>114</v>
      </c>
      <c r="D1665" s="11" t="s">
        <v>93</v>
      </c>
      <c r="E1665" s="11" t="s">
        <v>111</v>
      </c>
      <c r="F1665" s="11" t="s">
        <v>192</v>
      </c>
      <c r="G1665" s="9">
        <v>17</v>
      </c>
      <c r="H1665" s="9">
        <v>87100</v>
      </c>
      <c r="I1665" s="9">
        <v>10</v>
      </c>
      <c r="J1665" s="9">
        <f t="shared" si="50"/>
        <v>1480700</v>
      </c>
      <c r="K1665" s="9">
        <f t="shared" si="51"/>
        <v>1332630</v>
      </c>
      <c r="L1665" s="11" t="s">
        <v>107</v>
      </c>
      <c r="M1665" s="11" t="s">
        <v>91</v>
      </c>
    </row>
    <row r="1666" spans="1:13" x14ac:dyDescent="0.25">
      <c r="A1666" s="6">
        <v>1631</v>
      </c>
      <c r="B1666" s="7">
        <v>45524</v>
      </c>
      <c r="C1666" s="8" t="s">
        <v>101</v>
      </c>
      <c r="D1666" s="8" t="s">
        <v>93</v>
      </c>
      <c r="E1666" s="8" t="s">
        <v>102</v>
      </c>
      <c r="F1666" s="8" t="s">
        <v>151</v>
      </c>
      <c r="G1666" s="6">
        <v>4</v>
      </c>
      <c r="H1666" s="6">
        <v>7100</v>
      </c>
      <c r="I1666" s="6">
        <v>10</v>
      </c>
      <c r="J1666" s="6">
        <f t="shared" ref="J1666:J1729" si="52">G1666*H1666</f>
        <v>28400</v>
      </c>
      <c r="K1666" s="6">
        <f t="shared" ref="K1666:K1729" si="53">J1666*(1-I1666/100)</f>
        <v>25560</v>
      </c>
      <c r="L1666" s="8" t="s">
        <v>125</v>
      </c>
      <c r="M1666" s="8" t="s">
        <v>91</v>
      </c>
    </row>
    <row r="1667" spans="1:13" x14ac:dyDescent="0.25">
      <c r="A1667" s="9">
        <v>1632</v>
      </c>
      <c r="B1667" s="10">
        <v>45037</v>
      </c>
      <c r="C1667" s="11" t="s">
        <v>338</v>
      </c>
      <c r="D1667" s="11" t="s">
        <v>83</v>
      </c>
      <c r="E1667" s="11" t="s">
        <v>111</v>
      </c>
      <c r="F1667" s="11" t="s">
        <v>132</v>
      </c>
      <c r="G1667" s="9">
        <v>12</v>
      </c>
      <c r="H1667" s="9">
        <v>7000</v>
      </c>
      <c r="I1667" s="9">
        <v>0</v>
      </c>
      <c r="J1667" s="9">
        <f t="shared" si="52"/>
        <v>84000</v>
      </c>
      <c r="K1667" s="9">
        <f t="shared" si="53"/>
        <v>84000</v>
      </c>
      <c r="L1667" s="11" t="s">
        <v>76</v>
      </c>
      <c r="M1667" s="11" t="s">
        <v>77</v>
      </c>
    </row>
    <row r="1668" spans="1:13" x14ac:dyDescent="0.25">
      <c r="A1668" s="6">
        <v>1633</v>
      </c>
      <c r="B1668" s="7">
        <v>44998</v>
      </c>
      <c r="C1668" s="8" t="s">
        <v>101</v>
      </c>
      <c r="D1668" s="8" t="s">
        <v>73</v>
      </c>
      <c r="E1668" s="8" t="s">
        <v>102</v>
      </c>
      <c r="F1668" s="8" t="s">
        <v>110</v>
      </c>
      <c r="G1668" s="6">
        <v>7</v>
      </c>
      <c r="H1668" s="6" t="s">
        <v>590</v>
      </c>
      <c r="I1668" s="6">
        <v>0</v>
      </c>
      <c r="J1668" s="6" t="e">
        <f t="shared" si="52"/>
        <v>#VALUE!</v>
      </c>
      <c r="K1668" s="6" t="e">
        <f t="shared" si="53"/>
        <v>#VALUE!</v>
      </c>
      <c r="L1668" s="8" t="s">
        <v>189</v>
      </c>
      <c r="M1668" s="8" t="s">
        <v>91</v>
      </c>
    </row>
    <row r="1669" spans="1:13" x14ac:dyDescent="0.25">
      <c r="A1669" s="9">
        <v>1634</v>
      </c>
      <c r="B1669" s="11" t="s">
        <v>591</v>
      </c>
      <c r="C1669" s="11" t="s">
        <v>124</v>
      </c>
      <c r="D1669" s="11" t="s">
        <v>73</v>
      </c>
      <c r="E1669" s="11" t="s">
        <v>79</v>
      </c>
      <c r="F1669" s="11" t="s">
        <v>131</v>
      </c>
      <c r="G1669" s="9">
        <v>40</v>
      </c>
      <c r="H1669" s="9">
        <v>118100</v>
      </c>
      <c r="I1669" s="9"/>
      <c r="J1669" s="9">
        <f t="shared" si="52"/>
        <v>4724000</v>
      </c>
      <c r="K1669" s="9">
        <f t="shared" si="53"/>
        <v>4724000</v>
      </c>
      <c r="L1669" s="11" t="s">
        <v>86</v>
      </c>
      <c r="M1669" s="11" t="s">
        <v>96</v>
      </c>
    </row>
    <row r="1670" spans="1:13" x14ac:dyDescent="0.25">
      <c r="A1670" s="6">
        <v>1635</v>
      </c>
      <c r="B1670" s="7">
        <v>45173</v>
      </c>
      <c r="C1670" s="8" t="s">
        <v>106</v>
      </c>
      <c r="D1670" s="8" t="s">
        <v>109</v>
      </c>
      <c r="E1670" s="8" t="s">
        <v>180</v>
      </c>
      <c r="F1670" s="8" t="s">
        <v>110</v>
      </c>
      <c r="G1670" s="6">
        <v>23</v>
      </c>
      <c r="H1670" s="6">
        <v>24900</v>
      </c>
      <c r="I1670" s="6">
        <v>0</v>
      </c>
      <c r="J1670" s="6">
        <f t="shared" si="52"/>
        <v>572700</v>
      </c>
      <c r="K1670" s="6">
        <f t="shared" si="53"/>
        <v>572700</v>
      </c>
      <c r="L1670" s="8" t="s">
        <v>86</v>
      </c>
      <c r="M1670" s="8" t="s">
        <v>81</v>
      </c>
    </row>
    <row r="1671" spans="1:13" x14ac:dyDescent="0.25">
      <c r="A1671" s="9">
        <v>1636</v>
      </c>
      <c r="B1671" s="10">
        <v>45493</v>
      </c>
      <c r="C1671" s="11" t="s">
        <v>124</v>
      </c>
      <c r="D1671" s="11" t="s">
        <v>117</v>
      </c>
      <c r="E1671" s="11" t="s">
        <v>84</v>
      </c>
      <c r="F1671" s="11" t="s">
        <v>128</v>
      </c>
      <c r="G1671" s="9">
        <v>25</v>
      </c>
      <c r="H1671" s="9">
        <v>4600</v>
      </c>
      <c r="I1671" s="9">
        <v>0</v>
      </c>
      <c r="J1671" s="9">
        <f t="shared" si="52"/>
        <v>115000</v>
      </c>
      <c r="K1671" s="9">
        <f t="shared" si="53"/>
        <v>115000</v>
      </c>
      <c r="L1671" s="11" t="s">
        <v>76</v>
      </c>
      <c r="M1671" s="11" t="s">
        <v>77</v>
      </c>
    </row>
    <row r="1672" spans="1:13" x14ac:dyDescent="0.25">
      <c r="A1672" s="6">
        <v>1637</v>
      </c>
      <c r="B1672" s="7">
        <v>45020</v>
      </c>
      <c r="C1672" s="8" t="s">
        <v>124</v>
      </c>
      <c r="D1672" s="8" t="s">
        <v>93</v>
      </c>
      <c r="E1672" s="8" t="s">
        <v>74</v>
      </c>
      <c r="F1672" s="8" t="s">
        <v>99</v>
      </c>
      <c r="G1672" s="6">
        <v>16</v>
      </c>
      <c r="H1672" s="6">
        <v>3300</v>
      </c>
      <c r="I1672" s="6">
        <v>0</v>
      </c>
      <c r="J1672" s="6">
        <f t="shared" si="52"/>
        <v>52800</v>
      </c>
      <c r="K1672" s="6">
        <f t="shared" si="53"/>
        <v>52800</v>
      </c>
      <c r="L1672" s="8" t="s">
        <v>86</v>
      </c>
      <c r="M1672" s="8" t="s">
        <v>81</v>
      </c>
    </row>
    <row r="1673" spans="1:13" x14ac:dyDescent="0.25">
      <c r="A1673" s="9">
        <v>1638</v>
      </c>
      <c r="B1673" s="10">
        <v>45397</v>
      </c>
      <c r="C1673" s="11" t="s">
        <v>124</v>
      </c>
      <c r="D1673" s="11" t="s">
        <v>109</v>
      </c>
      <c r="E1673" s="11" t="s">
        <v>84</v>
      </c>
      <c r="F1673" s="11" t="s">
        <v>90</v>
      </c>
      <c r="G1673" s="9">
        <v>1</v>
      </c>
      <c r="H1673" s="9">
        <v>1700</v>
      </c>
      <c r="I1673" s="9">
        <v>5</v>
      </c>
      <c r="J1673" s="9">
        <f t="shared" si="52"/>
        <v>1700</v>
      </c>
      <c r="K1673" s="9">
        <f t="shared" si="53"/>
        <v>1615</v>
      </c>
      <c r="L1673" s="11" t="s">
        <v>76</v>
      </c>
      <c r="M1673" s="11" t="s">
        <v>96</v>
      </c>
    </row>
    <row r="1674" spans="1:13" x14ac:dyDescent="0.25">
      <c r="A1674" s="6">
        <v>1639</v>
      </c>
      <c r="B1674" s="8" t="s">
        <v>592</v>
      </c>
      <c r="C1674" s="8" t="s">
        <v>124</v>
      </c>
      <c r="D1674" s="8" t="s">
        <v>83</v>
      </c>
      <c r="E1674" s="8" t="s">
        <v>111</v>
      </c>
      <c r="F1674" s="8" t="s">
        <v>156</v>
      </c>
      <c r="G1674" s="6">
        <v>6</v>
      </c>
      <c r="H1674" s="6">
        <v>40200</v>
      </c>
      <c r="I1674" s="6">
        <v>5</v>
      </c>
      <c r="J1674" s="6">
        <f t="shared" si="52"/>
        <v>241200</v>
      </c>
      <c r="K1674" s="6">
        <f t="shared" si="53"/>
        <v>229140</v>
      </c>
      <c r="L1674" s="8" t="s">
        <v>76</v>
      </c>
      <c r="M1674" s="8" t="s">
        <v>91</v>
      </c>
    </row>
    <row r="1675" spans="1:13" x14ac:dyDescent="0.25">
      <c r="A1675" s="9">
        <v>1640</v>
      </c>
      <c r="B1675" s="11" t="s">
        <v>593</v>
      </c>
      <c r="C1675" s="11" t="s">
        <v>114</v>
      </c>
      <c r="D1675" s="11" t="s">
        <v>93</v>
      </c>
      <c r="E1675" s="11" t="s">
        <v>111</v>
      </c>
      <c r="F1675" s="11" t="s">
        <v>192</v>
      </c>
      <c r="G1675" s="9">
        <v>18</v>
      </c>
      <c r="H1675" s="9">
        <v>98400</v>
      </c>
      <c r="I1675" s="9">
        <v>5</v>
      </c>
      <c r="J1675" s="9">
        <f t="shared" si="52"/>
        <v>1771200</v>
      </c>
      <c r="K1675" s="9">
        <f t="shared" si="53"/>
        <v>1682640</v>
      </c>
      <c r="L1675" s="11" t="s">
        <v>76</v>
      </c>
      <c r="M1675" s="11" t="s">
        <v>91</v>
      </c>
    </row>
    <row r="1676" spans="1:13" x14ac:dyDescent="0.25">
      <c r="A1676" s="6">
        <v>1641</v>
      </c>
      <c r="B1676" s="7">
        <v>45463</v>
      </c>
      <c r="C1676" s="8" t="s">
        <v>88</v>
      </c>
      <c r="D1676" s="8" t="s">
        <v>117</v>
      </c>
      <c r="E1676" s="8" t="s">
        <v>79</v>
      </c>
      <c r="F1676" s="8" t="s">
        <v>172</v>
      </c>
      <c r="G1676" s="6">
        <v>25</v>
      </c>
      <c r="H1676" s="6">
        <v>25700</v>
      </c>
      <c r="I1676" s="6">
        <v>0</v>
      </c>
      <c r="J1676" s="6">
        <f t="shared" si="52"/>
        <v>642500</v>
      </c>
      <c r="K1676" s="6">
        <f t="shared" si="53"/>
        <v>642500</v>
      </c>
      <c r="L1676" s="8" t="s">
        <v>86</v>
      </c>
      <c r="M1676" s="8" t="s">
        <v>81</v>
      </c>
    </row>
    <row r="1677" spans="1:13" x14ac:dyDescent="0.25">
      <c r="A1677" s="9">
        <v>1642</v>
      </c>
      <c r="B1677" s="11" t="s">
        <v>594</v>
      </c>
      <c r="C1677" s="11" t="s">
        <v>97</v>
      </c>
      <c r="D1677" s="11" t="s">
        <v>93</v>
      </c>
      <c r="E1677" s="11" t="s">
        <v>111</v>
      </c>
      <c r="F1677" s="11" t="s">
        <v>166</v>
      </c>
      <c r="G1677" s="9">
        <v>14</v>
      </c>
      <c r="H1677" s="9">
        <v>30700</v>
      </c>
      <c r="I1677" s="9">
        <v>5</v>
      </c>
      <c r="J1677" s="9">
        <f t="shared" si="52"/>
        <v>429800</v>
      </c>
      <c r="K1677" s="9">
        <f t="shared" si="53"/>
        <v>408310</v>
      </c>
      <c r="L1677" s="11" t="s">
        <v>76</v>
      </c>
      <c r="M1677" s="11" t="s">
        <v>96</v>
      </c>
    </row>
    <row r="1678" spans="1:13" x14ac:dyDescent="0.25">
      <c r="A1678" s="6">
        <v>1643</v>
      </c>
      <c r="B1678" s="7">
        <v>45207</v>
      </c>
      <c r="C1678" s="8" t="s">
        <v>106</v>
      </c>
      <c r="D1678" s="8" t="s">
        <v>117</v>
      </c>
      <c r="E1678" s="8" t="s">
        <v>133</v>
      </c>
      <c r="F1678" s="8" t="s">
        <v>148</v>
      </c>
      <c r="G1678" s="6">
        <v>31</v>
      </c>
      <c r="H1678" s="6" t="s">
        <v>177</v>
      </c>
      <c r="I1678" s="6">
        <v>15</v>
      </c>
      <c r="J1678" s="6">
        <f t="shared" si="52"/>
        <v>155000</v>
      </c>
      <c r="K1678" s="6">
        <f t="shared" si="53"/>
        <v>131750</v>
      </c>
      <c r="L1678" s="8" t="s">
        <v>125</v>
      </c>
      <c r="M1678" s="8" t="s">
        <v>81</v>
      </c>
    </row>
    <row r="1679" spans="1:13" x14ac:dyDescent="0.25">
      <c r="A1679" s="9">
        <v>1644</v>
      </c>
      <c r="B1679" s="10">
        <v>45641</v>
      </c>
      <c r="C1679" s="11" t="s">
        <v>97</v>
      </c>
      <c r="D1679" s="11" t="s">
        <v>83</v>
      </c>
      <c r="E1679" s="11" t="s">
        <v>79</v>
      </c>
      <c r="F1679" s="11" t="s">
        <v>115</v>
      </c>
      <c r="G1679" s="9">
        <v>24</v>
      </c>
      <c r="H1679" s="9">
        <v>9400</v>
      </c>
      <c r="I1679" s="9">
        <v>5</v>
      </c>
      <c r="J1679" s="9">
        <f t="shared" si="52"/>
        <v>225600</v>
      </c>
      <c r="K1679" s="9">
        <f t="shared" si="53"/>
        <v>214320</v>
      </c>
      <c r="L1679" s="11" t="s">
        <v>229</v>
      </c>
      <c r="M1679" s="11" t="s">
        <v>91</v>
      </c>
    </row>
    <row r="1680" spans="1:13" x14ac:dyDescent="0.25">
      <c r="A1680" s="6">
        <v>1645</v>
      </c>
      <c r="B1680" s="7">
        <v>45383</v>
      </c>
      <c r="C1680" s="8" t="s">
        <v>414</v>
      </c>
      <c r="D1680" s="8" t="s">
        <v>73</v>
      </c>
      <c r="E1680" s="8" t="s">
        <v>111</v>
      </c>
      <c r="F1680" s="8" t="s">
        <v>135</v>
      </c>
      <c r="G1680" s="6">
        <v>18</v>
      </c>
      <c r="H1680" s="6">
        <v>113500</v>
      </c>
      <c r="I1680" s="6">
        <v>5</v>
      </c>
      <c r="J1680" s="6">
        <f t="shared" si="52"/>
        <v>2043000</v>
      </c>
      <c r="K1680" s="6">
        <f t="shared" si="53"/>
        <v>1940850</v>
      </c>
      <c r="L1680" s="8" t="s">
        <v>76</v>
      </c>
      <c r="M1680" s="8" t="s">
        <v>96</v>
      </c>
    </row>
    <row r="1681" spans="1:13" x14ac:dyDescent="0.25">
      <c r="A1681" s="9">
        <v>1646</v>
      </c>
      <c r="B1681" s="10">
        <v>45088</v>
      </c>
      <c r="C1681" s="11" t="s">
        <v>108</v>
      </c>
      <c r="D1681" s="11" t="s">
        <v>109</v>
      </c>
      <c r="E1681" s="11" t="s">
        <v>102</v>
      </c>
      <c r="F1681" s="11" t="s">
        <v>181</v>
      </c>
      <c r="G1681" s="9">
        <v>25</v>
      </c>
      <c r="H1681" s="9">
        <v>5000</v>
      </c>
      <c r="I1681" s="9">
        <v>0</v>
      </c>
      <c r="J1681" s="9">
        <f t="shared" si="52"/>
        <v>125000</v>
      </c>
      <c r="K1681" s="9">
        <f t="shared" si="53"/>
        <v>125000</v>
      </c>
      <c r="L1681" s="11" t="s">
        <v>76</v>
      </c>
      <c r="M1681" s="11" t="s">
        <v>81</v>
      </c>
    </row>
    <row r="1682" spans="1:13" x14ac:dyDescent="0.25">
      <c r="A1682" s="6">
        <v>1647</v>
      </c>
      <c r="B1682" s="7">
        <v>45651</v>
      </c>
      <c r="C1682" s="8" t="s">
        <v>108</v>
      </c>
      <c r="D1682" s="8" t="s">
        <v>73</v>
      </c>
      <c r="E1682" s="8" t="s">
        <v>102</v>
      </c>
      <c r="F1682" s="8" t="s">
        <v>138</v>
      </c>
      <c r="G1682" s="6">
        <v>34</v>
      </c>
      <c r="H1682" s="6">
        <v>6300</v>
      </c>
      <c r="I1682" s="6">
        <v>0</v>
      </c>
      <c r="J1682" s="6">
        <f t="shared" si="52"/>
        <v>214200</v>
      </c>
      <c r="K1682" s="6">
        <f t="shared" si="53"/>
        <v>214200</v>
      </c>
      <c r="L1682" s="8" t="s">
        <v>220</v>
      </c>
      <c r="M1682" s="8" t="s">
        <v>91</v>
      </c>
    </row>
    <row r="1683" spans="1:13" x14ac:dyDescent="0.25">
      <c r="A1683" s="9">
        <v>1648</v>
      </c>
      <c r="B1683" s="10">
        <v>45227</v>
      </c>
      <c r="C1683" s="11" t="s">
        <v>108</v>
      </c>
      <c r="D1683" s="11" t="s">
        <v>83</v>
      </c>
      <c r="E1683" s="11" t="s">
        <v>74</v>
      </c>
      <c r="F1683" s="11" t="s">
        <v>142</v>
      </c>
      <c r="G1683" s="9">
        <v>20</v>
      </c>
      <c r="H1683" s="9">
        <v>11500</v>
      </c>
      <c r="I1683" s="9">
        <v>0</v>
      </c>
      <c r="J1683" s="9">
        <f t="shared" si="52"/>
        <v>230000</v>
      </c>
      <c r="K1683" s="9">
        <f t="shared" si="53"/>
        <v>230000</v>
      </c>
      <c r="L1683" s="11" t="s">
        <v>76</v>
      </c>
      <c r="M1683" s="11" t="s">
        <v>77</v>
      </c>
    </row>
    <row r="1684" spans="1:13" x14ac:dyDescent="0.25">
      <c r="A1684" s="6">
        <v>1649</v>
      </c>
      <c r="B1684" s="7">
        <v>45021</v>
      </c>
      <c r="C1684" s="8" t="s">
        <v>124</v>
      </c>
      <c r="D1684" s="8" t="s">
        <v>73</v>
      </c>
      <c r="E1684" s="8" t="s">
        <v>102</v>
      </c>
      <c r="F1684" s="8" t="s">
        <v>103</v>
      </c>
      <c r="G1684" s="6">
        <v>31</v>
      </c>
      <c r="H1684" s="6">
        <v>9500</v>
      </c>
      <c r="I1684" s="6">
        <v>0</v>
      </c>
      <c r="J1684" s="6">
        <f t="shared" si="52"/>
        <v>294500</v>
      </c>
      <c r="K1684" s="6">
        <f t="shared" si="53"/>
        <v>294500</v>
      </c>
      <c r="L1684" s="8" t="s">
        <v>125</v>
      </c>
      <c r="M1684" s="8" t="s">
        <v>81</v>
      </c>
    </row>
    <row r="1685" spans="1:13" x14ac:dyDescent="0.25">
      <c r="A1685" s="9">
        <v>1650</v>
      </c>
      <c r="B1685" s="10">
        <v>44944</v>
      </c>
      <c r="C1685" s="11" t="s">
        <v>106</v>
      </c>
      <c r="D1685" s="11" t="s">
        <v>93</v>
      </c>
      <c r="E1685" s="11" t="s">
        <v>79</v>
      </c>
      <c r="F1685" s="11" t="s">
        <v>131</v>
      </c>
      <c r="G1685" s="9">
        <v>18</v>
      </c>
      <c r="H1685" s="9" t="s">
        <v>595</v>
      </c>
      <c r="I1685" s="9">
        <v>10</v>
      </c>
      <c r="J1685" s="9" t="e">
        <f t="shared" si="52"/>
        <v>#VALUE!</v>
      </c>
      <c r="K1685" s="9" t="e">
        <f t="shared" si="53"/>
        <v>#VALUE!</v>
      </c>
      <c r="L1685" s="11" t="s">
        <v>86</v>
      </c>
      <c r="M1685" s="11" t="s">
        <v>81</v>
      </c>
    </row>
    <row r="1686" spans="1:13" x14ac:dyDescent="0.25">
      <c r="A1686" s="6">
        <v>1651</v>
      </c>
      <c r="B1686" s="7">
        <v>45054</v>
      </c>
      <c r="C1686" s="8" t="s">
        <v>119</v>
      </c>
      <c r="D1686" s="8" t="s">
        <v>93</v>
      </c>
      <c r="E1686" s="8" t="s">
        <v>74</v>
      </c>
      <c r="F1686" s="8" t="s">
        <v>142</v>
      </c>
      <c r="G1686" s="6">
        <v>12</v>
      </c>
      <c r="H1686" s="6">
        <v>11300</v>
      </c>
      <c r="I1686" s="6">
        <v>0</v>
      </c>
      <c r="J1686" s="6">
        <f t="shared" si="52"/>
        <v>135600</v>
      </c>
      <c r="K1686" s="6">
        <f t="shared" si="53"/>
        <v>135600</v>
      </c>
      <c r="L1686" s="8" t="s">
        <v>229</v>
      </c>
      <c r="M1686" s="8" t="s">
        <v>77</v>
      </c>
    </row>
    <row r="1687" spans="1:13" x14ac:dyDescent="0.25">
      <c r="A1687" s="9">
        <v>1652</v>
      </c>
      <c r="B1687" s="10">
        <v>45102</v>
      </c>
      <c r="C1687" s="11" t="s">
        <v>101</v>
      </c>
      <c r="D1687" s="11" t="s">
        <v>93</v>
      </c>
      <c r="E1687" s="11" t="s">
        <v>79</v>
      </c>
      <c r="F1687" s="11" t="s">
        <v>136</v>
      </c>
      <c r="G1687" s="9">
        <v>11</v>
      </c>
      <c r="H1687" s="9">
        <v>84900</v>
      </c>
      <c r="I1687" s="9">
        <v>20</v>
      </c>
      <c r="J1687" s="9">
        <f t="shared" si="52"/>
        <v>933900</v>
      </c>
      <c r="K1687" s="9">
        <f t="shared" si="53"/>
        <v>747120</v>
      </c>
      <c r="L1687" s="11" t="s">
        <v>76</v>
      </c>
      <c r="M1687" s="11" t="s">
        <v>81</v>
      </c>
    </row>
    <row r="1688" spans="1:13" x14ac:dyDescent="0.25">
      <c r="A1688" s="6">
        <v>1653</v>
      </c>
      <c r="B1688" s="7">
        <v>45062</v>
      </c>
      <c r="C1688" s="8" t="s">
        <v>106</v>
      </c>
      <c r="D1688" s="8" t="s">
        <v>93</v>
      </c>
      <c r="E1688" s="8" t="s">
        <v>270</v>
      </c>
      <c r="F1688" s="8" t="s">
        <v>190</v>
      </c>
      <c r="G1688" s="6">
        <v>30</v>
      </c>
      <c r="H1688" s="6">
        <v>32500</v>
      </c>
      <c r="I1688" s="6">
        <v>15</v>
      </c>
      <c r="J1688" s="6">
        <f t="shared" si="52"/>
        <v>975000</v>
      </c>
      <c r="K1688" s="6">
        <f t="shared" si="53"/>
        <v>828750</v>
      </c>
      <c r="L1688" s="8" t="s">
        <v>76</v>
      </c>
      <c r="M1688" s="8" t="s">
        <v>77</v>
      </c>
    </row>
    <row r="1689" spans="1:13" x14ac:dyDescent="0.25">
      <c r="A1689" s="9">
        <v>1654</v>
      </c>
      <c r="B1689" s="10">
        <v>45181</v>
      </c>
      <c r="C1689" s="11" t="s">
        <v>108</v>
      </c>
      <c r="D1689" s="11" t="s">
        <v>93</v>
      </c>
      <c r="E1689" s="11" t="s">
        <v>79</v>
      </c>
      <c r="F1689" s="11" t="s">
        <v>131</v>
      </c>
      <c r="G1689" s="9">
        <v>9</v>
      </c>
      <c r="H1689" s="9" t="s">
        <v>596</v>
      </c>
      <c r="I1689" s="9">
        <v>10</v>
      </c>
      <c r="J1689" s="9" t="e">
        <f t="shared" si="52"/>
        <v>#VALUE!</v>
      </c>
      <c r="K1689" s="9" t="e">
        <f t="shared" si="53"/>
        <v>#VALUE!</v>
      </c>
      <c r="L1689" s="11" t="s">
        <v>76</v>
      </c>
      <c r="M1689" s="11" t="s">
        <v>91</v>
      </c>
    </row>
    <row r="1690" spans="1:13" x14ac:dyDescent="0.25">
      <c r="A1690" s="6">
        <v>337</v>
      </c>
      <c r="B1690" s="7">
        <v>45459</v>
      </c>
      <c r="C1690" s="8" t="s">
        <v>114</v>
      </c>
      <c r="D1690" s="8" t="s">
        <v>117</v>
      </c>
      <c r="E1690" s="8" t="s">
        <v>111</v>
      </c>
      <c r="F1690" s="8" t="s">
        <v>112</v>
      </c>
      <c r="G1690" s="6">
        <v>33</v>
      </c>
      <c r="H1690" s="6">
        <v>67900</v>
      </c>
      <c r="I1690" s="6">
        <v>0</v>
      </c>
      <c r="J1690" s="6">
        <f t="shared" si="52"/>
        <v>2240700</v>
      </c>
      <c r="K1690" s="6">
        <f t="shared" si="53"/>
        <v>2240700</v>
      </c>
      <c r="L1690" s="8" t="s">
        <v>76</v>
      </c>
      <c r="M1690" s="8" t="s">
        <v>91</v>
      </c>
    </row>
    <row r="1691" spans="1:13" x14ac:dyDescent="0.25">
      <c r="A1691" s="9">
        <v>1655</v>
      </c>
      <c r="B1691" s="10">
        <v>45428</v>
      </c>
      <c r="C1691" s="11" t="s">
        <v>114</v>
      </c>
      <c r="D1691" s="11" t="s">
        <v>93</v>
      </c>
      <c r="E1691" s="11" t="s">
        <v>102</v>
      </c>
      <c r="F1691" s="11" t="s">
        <v>151</v>
      </c>
      <c r="G1691" s="9">
        <v>30</v>
      </c>
      <c r="H1691" s="9">
        <v>8400</v>
      </c>
      <c r="I1691" s="9">
        <v>20</v>
      </c>
      <c r="J1691" s="9">
        <f t="shared" si="52"/>
        <v>252000</v>
      </c>
      <c r="K1691" s="9">
        <f t="shared" si="53"/>
        <v>201600</v>
      </c>
      <c r="L1691" s="11" t="s">
        <v>125</v>
      </c>
      <c r="M1691" s="11" t="s">
        <v>96</v>
      </c>
    </row>
    <row r="1692" spans="1:13" x14ac:dyDescent="0.25">
      <c r="A1692" s="6">
        <v>1656</v>
      </c>
      <c r="B1692" s="7">
        <v>45547</v>
      </c>
      <c r="C1692" s="8" t="s">
        <v>124</v>
      </c>
      <c r="D1692" s="8" t="s">
        <v>266</v>
      </c>
      <c r="E1692" s="8" t="s">
        <v>74</v>
      </c>
      <c r="F1692" s="8" t="s">
        <v>140</v>
      </c>
      <c r="G1692" s="6">
        <v>32</v>
      </c>
      <c r="H1692" s="6">
        <v>4200</v>
      </c>
      <c r="I1692" s="6">
        <v>0</v>
      </c>
      <c r="J1692" s="6">
        <f t="shared" si="52"/>
        <v>134400</v>
      </c>
      <c r="K1692" s="6">
        <f t="shared" si="53"/>
        <v>134400</v>
      </c>
      <c r="L1692" s="8" t="s">
        <v>76</v>
      </c>
      <c r="M1692" s="8" t="s">
        <v>77</v>
      </c>
    </row>
    <row r="1693" spans="1:13" x14ac:dyDescent="0.25">
      <c r="A1693" s="9">
        <v>1657</v>
      </c>
      <c r="B1693" s="11" t="s">
        <v>597</v>
      </c>
      <c r="C1693" s="11" t="s">
        <v>124</v>
      </c>
      <c r="D1693" s="11" t="s">
        <v>117</v>
      </c>
      <c r="E1693" s="11" t="s">
        <v>74</v>
      </c>
      <c r="F1693" s="11" t="s">
        <v>118</v>
      </c>
      <c r="G1693" s="9">
        <v>27</v>
      </c>
      <c r="H1693" s="9">
        <v>29400</v>
      </c>
      <c r="I1693" s="9">
        <v>0</v>
      </c>
      <c r="J1693" s="9">
        <f t="shared" si="52"/>
        <v>793800</v>
      </c>
      <c r="K1693" s="9">
        <f t="shared" si="53"/>
        <v>793800</v>
      </c>
      <c r="L1693" s="11" t="s">
        <v>76</v>
      </c>
      <c r="M1693" s="11" t="s">
        <v>96</v>
      </c>
    </row>
    <row r="1694" spans="1:13" x14ac:dyDescent="0.25">
      <c r="A1694" s="6">
        <v>1658</v>
      </c>
      <c r="B1694" s="7">
        <v>44951</v>
      </c>
      <c r="C1694" s="8" t="s">
        <v>88</v>
      </c>
      <c r="D1694" s="8" t="s">
        <v>83</v>
      </c>
      <c r="E1694" s="8" t="s">
        <v>84</v>
      </c>
      <c r="F1694" s="8" t="s">
        <v>206</v>
      </c>
      <c r="G1694" s="6">
        <v>50</v>
      </c>
      <c r="H1694" s="6">
        <v>13400</v>
      </c>
      <c r="I1694" s="6">
        <v>5</v>
      </c>
      <c r="J1694" s="6">
        <f t="shared" si="52"/>
        <v>670000</v>
      </c>
      <c r="K1694" s="6">
        <f t="shared" si="53"/>
        <v>636500</v>
      </c>
      <c r="L1694" s="8" t="s">
        <v>76</v>
      </c>
      <c r="M1694" s="8" t="s">
        <v>81</v>
      </c>
    </row>
    <row r="1695" spans="1:13" x14ac:dyDescent="0.25">
      <c r="A1695" s="9">
        <v>1659</v>
      </c>
      <c r="B1695" s="10">
        <v>45531</v>
      </c>
      <c r="C1695" s="11" t="s">
        <v>108</v>
      </c>
      <c r="D1695" s="11" t="s">
        <v>117</v>
      </c>
      <c r="E1695" s="11" t="s">
        <v>111</v>
      </c>
      <c r="F1695" s="11" t="s">
        <v>156</v>
      </c>
      <c r="G1695" s="9">
        <v>15</v>
      </c>
      <c r="H1695" s="9">
        <v>39300</v>
      </c>
      <c r="I1695" s="9">
        <v>5</v>
      </c>
      <c r="J1695" s="9">
        <f t="shared" si="52"/>
        <v>589500</v>
      </c>
      <c r="K1695" s="9">
        <f t="shared" si="53"/>
        <v>560025</v>
      </c>
      <c r="L1695" s="11" t="s">
        <v>107</v>
      </c>
      <c r="M1695" s="11" t="s">
        <v>96</v>
      </c>
    </row>
    <row r="1696" spans="1:13" x14ac:dyDescent="0.25">
      <c r="A1696" s="6">
        <v>1660</v>
      </c>
      <c r="B1696" s="7">
        <v>45335</v>
      </c>
      <c r="C1696" s="8" t="s">
        <v>119</v>
      </c>
      <c r="D1696" s="8" t="s">
        <v>83</v>
      </c>
      <c r="E1696" s="8" t="s">
        <v>74</v>
      </c>
      <c r="F1696" s="8" t="s">
        <v>75</v>
      </c>
      <c r="G1696" s="6">
        <v>27</v>
      </c>
      <c r="H1696" s="6">
        <v>22300</v>
      </c>
      <c r="I1696" s="6">
        <v>0</v>
      </c>
      <c r="J1696" s="6">
        <f t="shared" si="52"/>
        <v>602100</v>
      </c>
      <c r="K1696" s="6">
        <f t="shared" si="53"/>
        <v>602100</v>
      </c>
      <c r="L1696" s="8" t="s">
        <v>125</v>
      </c>
      <c r="M1696" s="8" t="s">
        <v>81</v>
      </c>
    </row>
    <row r="1697" spans="1:13" x14ac:dyDescent="0.25">
      <c r="A1697" s="9">
        <v>1661</v>
      </c>
      <c r="B1697" s="10">
        <v>45582</v>
      </c>
      <c r="C1697" s="11" t="s">
        <v>97</v>
      </c>
      <c r="D1697" s="11" t="s">
        <v>117</v>
      </c>
      <c r="E1697" s="11" t="s">
        <v>74</v>
      </c>
      <c r="F1697" s="11" t="s">
        <v>94</v>
      </c>
      <c r="G1697" s="9">
        <v>25</v>
      </c>
      <c r="H1697" s="9" t="s">
        <v>598</v>
      </c>
      <c r="I1697" s="9">
        <v>0</v>
      </c>
      <c r="J1697" s="9">
        <f t="shared" si="52"/>
        <v>865000</v>
      </c>
      <c r="K1697" s="9">
        <f t="shared" si="53"/>
        <v>865000</v>
      </c>
      <c r="L1697" s="11" t="s">
        <v>107</v>
      </c>
      <c r="M1697" s="11" t="s">
        <v>91</v>
      </c>
    </row>
    <row r="1698" spans="1:13" x14ac:dyDescent="0.25">
      <c r="A1698" s="6">
        <v>1662</v>
      </c>
      <c r="B1698" s="7">
        <v>45539</v>
      </c>
      <c r="C1698" s="8" t="s">
        <v>101</v>
      </c>
      <c r="D1698" s="8" t="s">
        <v>117</v>
      </c>
      <c r="E1698" s="8" t="s">
        <v>102</v>
      </c>
      <c r="F1698" s="8" t="s">
        <v>197</v>
      </c>
      <c r="G1698" s="12">
        <v>-31</v>
      </c>
      <c r="H1698" s="6">
        <v>3500</v>
      </c>
      <c r="I1698" s="6">
        <v>0</v>
      </c>
      <c r="J1698" s="6">
        <f t="shared" si="52"/>
        <v>-108500</v>
      </c>
      <c r="K1698" s="6">
        <f t="shared" si="53"/>
        <v>-108500</v>
      </c>
      <c r="L1698" s="8" t="s">
        <v>76</v>
      </c>
      <c r="M1698" s="8" t="s">
        <v>96</v>
      </c>
    </row>
    <row r="1699" spans="1:13" x14ac:dyDescent="0.25">
      <c r="A1699" s="9">
        <v>1663</v>
      </c>
      <c r="B1699" s="10">
        <v>45244</v>
      </c>
      <c r="C1699" s="11" t="s">
        <v>82</v>
      </c>
      <c r="D1699" s="11" t="s">
        <v>249</v>
      </c>
      <c r="E1699" s="11" t="s">
        <v>79</v>
      </c>
      <c r="F1699" s="11" t="s">
        <v>131</v>
      </c>
      <c r="G1699" s="9">
        <v>46</v>
      </c>
      <c r="H1699" s="9">
        <v>112400</v>
      </c>
      <c r="I1699" s="9">
        <v>0</v>
      </c>
      <c r="J1699" s="9">
        <f t="shared" si="52"/>
        <v>5170400</v>
      </c>
      <c r="K1699" s="9">
        <f t="shared" si="53"/>
        <v>5170400</v>
      </c>
      <c r="L1699" s="11" t="s">
        <v>76</v>
      </c>
      <c r="M1699" s="11" t="s">
        <v>77</v>
      </c>
    </row>
    <row r="1700" spans="1:13" x14ac:dyDescent="0.25">
      <c r="A1700" s="6">
        <v>1664</v>
      </c>
      <c r="B1700" s="8" t="s">
        <v>599</v>
      </c>
      <c r="C1700" s="8" t="s">
        <v>106</v>
      </c>
      <c r="D1700" s="8" t="s">
        <v>93</v>
      </c>
      <c r="E1700" s="8" t="s">
        <v>255</v>
      </c>
      <c r="F1700" s="8" t="s">
        <v>94</v>
      </c>
      <c r="G1700" s="6">
        <v>22</v>
      </c>
      <c r="H1700" s="6">
        <v>35400</v>
      </c>
      <c r="I1700" s="6">
        <v>0</v>
      </c>
      <c r="J1700" s="6">
        <f t="shared" si="52"/>
        <v>778800</v>
      </c>
      <c r="K1700" s="6">
        <f t="shared" si="53"/>
        <v>778800</v>
      </c>
      <c r="L1700" s="8" t="s">
        <v>86</v>
      </c>
      <c r="M1700" s="8" t="s">
        <v>91</v>
      </c>
    </row>
    <row r="1701" spans="1:13" x14ac:dyDescent="0.25">
      <c r="A1701" s="9">
        <v>1665</v>
      </c>
      <c r="B1701" s="10">
        <v>45563</v>
      </c>
      <c r="C1701" s="11" t="s">
        <v>88</v>
      </c>
      <c r="D1701" s="11" t="s">
        <v>313</v>
      </c>
      <c r="E1701" s="11" t="s">
        <v>74</v>
      </c>
      <c r="F1701" s="11" t="s">
        <v>94</v>
      </c>
      <c r="G1701" s="9">
        <v>38</v>
      </c>
      <c r="H1701" s="9">
        <v>38500</v>
      </c>
      <c r="I1701" s="9">
        <v>20</v>
      </c>
      <c r="J1701" s="9">
        <f t="shared" si="52"/>
        <v>1463000</v>
      </c>
      <c r="K1701" s="9">
        <f t="shared" si="53"/>
        <v>1170400</v>
      </c>
      <c r="L1701" s="11" t="s">
        <v>164</v>
      </c>
      <c r="M1701" s="11" t="s">
        <v>91</v>
      </c>
    </row>
    <row r="1702" spans="1:13" x14ac:dyDescent="0.25">
      <c r="A1702" s="6">
        <v>1666</v>
      </c>
      <c r="B1702" s="7">
        <v>45426</v>
      </c>
      <c r="C1702" s="8" t="s">
        <v>458</v>
      </c>
      <c r="D1702" s="8" t="s">
        <v>93</v>
      </c>
      <c r="E1702" s="8" t="s">
        <v>79</v>
      </c>
      <c r="F1702" s="8" t="s">
        <v>131</v>
      </c>
      <c r="G1702" s="6">
        <v>10</v>
      </c>
      <c r="H1702" s="6">
        <v>138000</v>
      </c>
      <c r="I1702" s="6">
        <v>0</v>
      </c>
      <c r="J1702" s="6">
        <f t="shared" si="52"/>
        <v>1380000</v>
      </c>
      <c r="K1702" s="6">
        <f t="shared" si="53"/>
        <v>1380000</v>
      </c>
      <c r="L1702" s="8" t="s">
        <v>125</v>
      </c>
      <c r="M1702" s="8" t="s">
        <v>91</v>
      </c>
    </row>
    <row r="1703" spans="1:13" x14ac:dyDescent="0.25">
      <c r="A1703" s="9">
        <v>323</v>
      </c>
      <c r="B1703" s="10">
        <v>45645</v>
      </c>
      <c r="C1703" s="11" t="s">
        <v>114</v>
      </c>
      <c r="D1703" s="11" t="s">
        <v>73</v>
      </c>
      <c r="E1703" s="11" t="s">
        <v>102</v>
      </c>
      <c r="F1703" s="11" t="s">
        <v>103</v>
      </c>
      <c r="G1703" s="9">
        <v>20</v>
      </c>
      <c r="H1703" s="9">
        <v>9500</v>
      </c>
      <c r="I1703" s="9">
        <v>20</v>
      </c>
      <c r="J1703" s="9">
        <f t="shared" si="52"/>
        <v>190000</v>
      </c>
      <c r="K1703" s="9">
        <f t="shared" si="53"/>
        <v>152000</v>
      </c>
      <c r="L1703" s="11" t="s">
        <v>76</v>
      </c>
      <c r="M1703" s="11" t="s">
        <v>81</v>
      </c>
    </row>
    <row r="1704" spans="1:13" x14ac:dyDescent="0.25">
      <c r="A1704" s="6">
        <v>1667</v>
      </c>
      <c r="B1704" s="7">
        <v>45603</v>
      </c>
      <c r="C1704" s="8" t="s">
        <v>224</v>
      </c>
      <c r="D1704" s="8" t="s">
        <v>117</v>
      </c>
      <c r="E1704" s="8" t="s">
        <v>84</v>
      </c>
      <c r="F1704" s="8" t="s">
        <v>128</v>
      </c>
      <c r="G1704" s="6">
        <v>13</v>
      </c>
      <c r="H1704" s="6">
        <v>4600</v>
      </c>
      <c r="I1704" s="6">
        <v>0</v>
      </c>
      <c r="J1704" s="6">
        <f t="shared" si="52"/>
        <v>59800</v>
      </c>
      <c r="K1704" s="6">
        <f t="shared" si="53"/>
        <v>59800</v>
      </c>
      <c r="L1704" s="8" t="s">
        <v>76</v>
      </c>
      <c r="M1704" s="8" t="s">
        <v>91</v>
      </c>
    </row>
    <row r="1705" spans="1:13" x14ac:dyDescent="0.25">
      <c r="A1705" s="9">
        <v>1668</v>
      </c>
      <c r="B1705" s="10">
        <v>45330</v>
      </c>
      <c r="C1705" s="11" t="s">
        <v>106</v>
      </c>
      <c r="D1705" s="11" t="s">
        <v>73</v>
      </c>
      <c r="E1705" s="11" t="s">
        <v>324</v>
      </c>
      <c r="F1705" s="11" t="s">
        <v>179</v>
      </c>
      <c r="G1705" s="9">
        <v>9</v>
      </c>
      <c r="H1705" s="9">
        <v>2300</v>
      </c>
      <c r="I1705" s="9">
        <v>5</v>
      </c>
      <c r="J1705" s="9">
        <f t="shared" si="52"/>
        <v>20700</v>
      </c>
      <c r="K1705" s="9">
        <f t="shared" si="53"/>
        <v>19665</v>
      </c>
      <c r="L1705" s="11" t="s">
        <v>76</v>
      </c>
      <c r="M1705" s="11" t="s">
        <v>81</v>
      </c>
    </row>
    <row r="1706" spans="1:13" x14ac:dyDescent="0.25">
      <c r="A1706" s="6">
        <v>1669</v>
      </c>
      <c r="B1706" s="7">
        <v>45082</v>
      </c>
      <c r="C1706" s="8" t="s">
        <v>114</v>
      </c>
      <c r="D1706" s="8" t="s">
        <v>93</v>
      </c>
      <c r="E1706" s="8" t="s">
        <v>102</v>
      </c>
      <c r="F1706" s="8" t="s">
        <v>110</v>
      </c>
      <c r="G1706" s="6">
        <v>14</v>
      </c>
      <c r="H1706" s="6">
        <v>25200</v>
      </c>
      <c r="I1706" s="6">
        <v>0</v>
      </c>
      <c r="J1706" s="6">
        <f t="shared" si="52"/>
        <v>352800</v>
      </c>
      <c r="K1706" s="6">
        <f t="shared" si="53"/>
        <v>352800</v>
      </c>
      <c r="L1706" s="8" t="s">
        <v>76</v>
      </c>
      <c r="M1706" s="8" t="s">
        <v>77</v>
      </c>
    </row>
    <row r="1707" spans="1:13" x14ac:dyDescent="0.25">
      <c r="A1707" s="9">
        <v>1670</v>
      </c>
      <c r="B1707" s="10">
        <v>44965</v>
      </c>
      <c r="C1707" s="11" t="s">
        <v>101</v>
      </c>
      <c r="D1707" s="11" t="s">
        <v>83</v>
      </c>
      <c r="E1707" s="11" t="s">
        <v>79</v>
      </c>
      <c r="F1707" s="11" t="s">
        <v>80</v>
      </c>
      <c r="G1707" s="9">
        <v>11</v>
      </c>
      <c r="H1707" s="9">
        <v>8600</v>
      </c>
      <c r="I1707" s="9">
        <v>0</v>
      </c>
      <c r="J1707" s="9">
        <f t="shared" si="52"/>
        <v>94600</v>
      </c>
      <c r="K1707" s="9">
        <f t="shared" si="53"/>
        <v>94600</v>
      </c>
      <c r="L1707" s="11" t="s">
        <v>107</v>
      </c>
      <c r="M1707" s="11" t="s">
        <v>91</v>
      </c>
    </row>
    <row r="1708" spans="1:13" x14ac:dyDescent="0.25">
      <c r="A1708" s="6">
        <v>1671</v>
      </c>
      <c r="B1708" s="7">
        <v>45008</v>
      </c>
      <c r="C1708" s="8" t="s">
        <v>119</v>
      </c>
      <c r="D1708" s="8" t="s">
        <v>117</v>
      </c>
      <c r="E1708" s="8" t="s">
        <v>102</v>
      </c>
      <c r="F1708" s="8" t="s">
        <v>157</v>
      </c>
      <c r="G1708" s="6">
        <v>17</v>
      </c>
      <c r="H1708" s="6">
        <v>13400</v>
      </c>
      <c r="I1708" s="6">
        <v>15</v>
      </c>
      <c r="J1708" s="6">
        <f t="shared" si="52"/>
        <v>227800</v>
      </c>
      <c r="K1708" s="6">
        <f t="shared" si="53"/>
        <v>193630</v>
      </c>
      <c r="L1708" s="8" t="s">
        <v>76</v>
      </c>
      <c r="M1708" s="8"/>
    </row>
    <row r="1709" spans="1:13" x14ac:dyDescent="0.25">
      <c r="A1709" s="9">
        <v>1672</v>
      </c>
      <c r="B1709" s="10">
        <v>45607</v>
      </c>
      <c r="C1709" s="11" t="s">
        <v>88</v>
      </c>
      <c r="D1709" s="11" t="s">
        <v>93</v>
      </c>
      <c r="E1709" s="11" t="s">
        <v>133</v>
      </c>
      <c r="F1709" s="11" t="s">
        <v>134</v>
      </c>
      <c r="G1709" s="9">
        <v>50</v>
      </c>
      <c r="H1709" s="9">
        <v>10600</v>
      </c>
      <c r="I1709" s="9">
        <v>20</v>
      </c>
      <c r="J1709" s="9">
        <f t="shared" si="52"/>
        <v>530000</v>
      </c>
      <c r="K1709" s="9">
        <f t="shared" si="53"/>
        <v>424000</v>
      </c>
      <c r="L1709" s="11" t="s">
        <v>107</v>
      </c>
      <c r="M1709" s="11" t="s">
        <v>81</v>
      </c>
    </row>
    <row r="1710" spans="1:13" x14ac:dyDescent="0.25">
      <c r="A1710" s="6">
        <v>1673</v>
      </c>
      <c r="B1710" s="7">
        <v>44949</v>
      </c>
      <c r="C1710" s="8" t="s">
        <v>114</v>
      </c>
      <c r="D1710" s="8" t="s">
        <v>83</v>
      </c>
      <c r="E1710" s="8" t="s">
        <v>255</v>
      </c>
      <c r="F1710" s="8" t="s">
        <v>212</v>
      </c>
      <c r="G1710" s="6">
        <v>20</v>
      </c>
      <c r="H1710" s="6" t="s">
        <v>303</v>
      </c>
      <c r="I1710" s="6"/>
      <c r="J1710" s="6" t="e">
        <f t="shared" si="52"/>
        <v>#VALUE!</v>
      </c>
      <c r="K1710" s="6" t="e">
        <f t="shared" si="53"/>
        <v>#VALUE!</v>
      </c>
      <c r="L1710" s="8" t="s">
        <v>76</v>
      </c>
      <c r="M1710" s="8" t="s">
        <v>91</v>
      </c>
    </row>
    <row r="1711" spans="1:13" x14ac:dyDescent="0.25">
      <c r="A1711" s="9">
        <v>1674</v>
      </c>
      <c r="B1711" s="10">
        <v>45532</v>
      </c>
      <c r="C1711" s="11" t="s">
        <v>101</v>
      </c>
      <c r="D1711" s="11" t="s">
        <v>117</v>
      </c>
      <c r="E1711" s="11" t="s">
        <v>79</v>
      </c>
      <c r="F1711" s="11" t="s">
        <v>122</v>
      </c>
      <c r="G1711" s="9">
        <v>15</v>
      </c>
      <c r="H1711" s="9">
        <v>18700</v>
      </c>
      <c r="I1711" s="9">
        <v>5</v>
      </c>
      <c r="J1711" s="9">
        <f t="shared" si="52"/>
        <v>280500</v>
      </c>
      <c r="K1711" s="9">
        <f t="shared" si="53"/>
        <v>266475</v>
      </c>
      <c r="L1711" s="11" t="s">
        <v>305</v>
      </c>
      <c r="M1711" s="11" t="s">
        <v>81</v>
      </c>
    </row>
    <row r="1712" spans="1:13" x14ac:dyDescent="0.25">
      <c r="A1712" s="6">
        <v>1675</v>
      </c>
      <c r="B1712" s="7">
        <v>45083</v>
      </c>
      <c r="C1712" s="8" t="s">
        <v>97</v>
      </c>
      <c r="D1712" s="8" t="s">
        <v>93</v>
      </c>
      <c r="E1712" s="8" t="s">
        <v>102</v>
      </c>
      <c r="F1712" s="8" t="s">
        <v>157</v>
      </c>
      <c r="G1712" s="6">
        <v>26</v>
      </c>
      <c r="H1712" s="6">
        <v>12000</v>
      </c>
      <c r="I1712" s="6">
        <v>0</v>
      </c>
      <c r="J1712" s="6">
        <f t="shared" si="52"/>
        <v>312000</v>
      </c>
      <c r="K1712" s="6">
        <f t="shared" si="53"/>
        <v>312000</v>
      </c>
      <c r="L1712" s="8" t="s">
        <v>76</v>
      </c>
      <c r="M1712" s="8" t="s">
        <v>96</v>
      </c>
    </row>
    <row r="1713" spans="1:13" x14ac:dyDescent="0.25">
      <c r="A1713" s="9">
        <v>1676</v>
      </c>
      <c r="B1713" s="10">
        <v>45010</v>
      </c>
      <c r="C1713" s="11" t="s">
        <v>106</v>
      </c>
      <c r="D1713" s="11" t="s">
        <v>109</v>
      </c>
      <c r="E1713" s="11" t="s">
        <v>102</v>
      </c>
      <c r="F1713" s="11" t="s">
        <v>197</v>
      </c>
      <c r="G1713" s="9">
        <v>43</v>
      </c>
      <c r="H1713" s="9">
        <v>4300</v>
      </c>
      <c r="I1713" s="9"/>
      <c r="J1713" s="9">
        <f t="shared" si="52"/>
        <v>184900</v>
      </c>
      <c r="K1713" s="9">
        <f t="shared" si="53"/>
        <v>184900</v>
      </c>
      <c r="L1713" s="11" t="s">
        <v>174</v>
      </c>
      <c r="M1713" s="11" t="s">
        <v>96</v>
      </c>
    </row>
    <row r="1714" spans="1:13" x14ac:dyDescent="0.25">
      <c r="A1714" s="6">
        <v>1677</v>
      </c>
      <c r="B1714" s="8" t="s">
        <v>600</v>
      </c>
      <c r="C1714" s="8" t="s">
        <v>114</v>
      </c>
      <c r="D1714" s="8" t="s">
        <v>83</v>
      </c>
      <c r="E1714" s="8" t="s">
        <v>84</v>
      </c>
      <c r="F1714" s="8" t="s">
        <v>148</v>
      </c>
      <c r="G1714" s="6">
        <v>2</v>
      </c>
      <c r="H1714" s="6">
        <v>4900</v>
      </c>
      <c r="I1714" s="6">
        <v>0</v>
      </c>
      <c r="J1714" s="6">
        <f t="shared" si="52"/>
        <v>9800</v>
      </c>
      <c r="K1714" s="6">
        <f t="shared" si="53"/>
        <v>9800</v>
      </c>
      <c r="L1714" s="8" t="s">
        <v>76</v>
      </c>
      <c r="M1714" s="8" t="s">
        <v>96</v>
      </c>
    </row>
    <row r="1715" spans="1:13" x14ac:dyDescent="0.25">
      <c r="A1715" s="9">
        <v>1678</v>
      </c>
      <c r="B1715" s="11" t="s">
        <v>601</v>
      </c>
      <c r="C1715" s="11" t="s">
        <v>106</v>
      </c>
      <c r="D1715" s="11" t="s">
        <v>83</v>
      </c>
      <c r="E1715" s="11" t="s">
        <v>111</v>
      </c>
      <c r="F1715" s="11" t="s">
        <v>165</v>
      </c>
      <c r="G1715" s="9">
        <v>26</v>
      </c>
      <c r="H1715" s="9">
        <v>18800</v>
      </c>
      <c r="I1715" s="9">
        <v>0</v>
      </c>
      <c r="J1715" s="9">
        <f t="shared" si="52"/>
        <v>488800</v>
      </c>
      <c r="K1715" s="9">
        <f t="shared" si="53"/>
        <v>488800</v>
      </c>
      <c r="L1715" s="11" t="s">
        <v>76</v>
      </c>
      <c r="M1715" s="11" t="s">
        <v>81</v>
      </c>
    </row>
    <row r="1716" spans="1:13" x14ac:dyDescent="0.25">
      <c r="A1716" s="6">
        <v>1679</v>
      </c>
      <c r="B1716" s="7">
        <v>45176</v>
      </c>
      <c r="C1716" s="8" t="s">
        <v>124</v>
      </c>
      <c r="D1716" s="8" t="s">
        <v>109</v>
      </c>
      <c r="E1716" s="8" t="s">
        <v>74</v>
      </c>
      <c r="F1716" s="8" t="s">
        <v>142</v>
      </c>
      <c r="G1716" s="6">
        <v>38</v>
      </c>
      <c r="H1716" s="6">
        <v>12600</v>
      </c>
      <c r="I1716" s="6">
        <v>0</v>
      </c>
      <c r="J1716" s="6">
        <f t="shared" si="52"/>
        <v>478800</v>
      </c>
      <c r="K1716" s="6">
        <f t="shared" si="53"/>
        <v>478800</v>
      </c>
      <c r="L1716" s="8" t="s">
        <v>76</v>
      </c>
      <c r="M1716" s="8" t="s">
        <v>77</v>
      </c>
    </row>
    <row r="1717" spans="1:13" x14ac:dyDescent="0.25">
      <c r="A1717" s="9">
        <v>1680</v>
      </c>
      <c r="B1717" s="11" t="s">
        <v>602</v>
      </c>
      <c r="C1717" s="11" t="s">
        <v>97</v>
      </c>
      <c r="D1717" s="11" t="s">
        <v>73</v>
      </c>
      <c r="E1717" s="11" t="s">
        <v>133</v>
      </c>
      <c r="F1717" s="11" t="s">
        <v>148</v>
      </c>
      <c r="G1717" s="9">
        <v>6</v>
      </c>
      <c r="H1717" s="9">
        <v>4900</v>
      </c>
      <c r="I1717" s="9">
        <v>0</v>
      </c>
      <c r="J1717" s="9">
        <f t="shared" si="52"/>
        <v>29400</v>
      </c>
      <c r="K1717" s="9">
        <f t="shared" si="53"/>
        <v>29400</v>
      </c>
      <c r="L1717" s="11" t="s">
        <v>125</v>
      </c>
      <c r="M1717" s="11" t="s">
        <v>81</v>
      </c>
    </row>
    <row r="1718" spans="1:13" x14ac:dyDescent="0.25">
      <c r="A1718" s="6">
        <v>1681</v>
      </c>
      <c r="B1718" s="7">
        <v>44929</v>
      </c>
      <c r="C1718" s="8" t="s">
        <v>119</v>
      </c>
      <c r="D1718" s="8" t="s">
        <v>178</v>
      </c>
      <c r="E1718" s="8" t="s">
        <v>79</v>
      </c>
      <c r="F1718" s="8" t="s">
        <v>122</v>
      </c>
      <c r="G1718" s="6">
        <v>24</v>
      </c>
      <c r="H1718" s="6">
        <v>17500</v>
      </c>
      <c r="I1718" s="6">
        <v>15</v>
      </c>
      <c r="J1718" s="6">
        <f t="shared" si="52"/>
        <v>420000</v>
      </c>
      <c r="K1718" s="6">
        <f t="shared" si="53"/>
        <v>357000</v>
      </c>
      <c r="L1718" s="8" t="s">
        <v>86</v>
      </c>
      <c r="M1718" s="8" t="s">
        <v>96</v>
      </c>
    </row>
    <row r="1719" spans="1:13" x14ac:dyDescent="0.25">
      <c r="A1719" s="9">
        <v>1682</v>
      </c>
      <c r="B1719" s="10">
        <v>45512</v>
      </c>
      <c r="C1719" s="11" t="s">
        <v>97</v>
      </c>
      <c r="D1719" s="11" t="s">
        <v>73</v>
      </c>
      <c r="E1719" s="11" t="s">
        <v>84</v>
      </c>
      <c r="F1719" s="11" t="s">
        <v>134</v>
      </c>
      <c r="G1719" s="9">
        <v>3</v>
      </c>
      <c r="H1719" s="9">
        <v>9400</v>
      </c>
      <c r="I1719" s="9">
        <v>0</v>
      </c>
      <c r="J1719" s="9">
        <f t="shared" si="52"/>
        <v>28200</v>
      </c>
      <c r="K1719" s="9">
        <f t="shared" si="53"/>
        <v>28200</v>
      </c>
      <c r="L1719" s="11" t="s">
        <v>125</v>
      </c>
      <c r="M1719" s="11" t="s">
        <v>77</v>
      </c>
    </row>
    <row r="1720" spans="1:13" x14ac:dyDescent="0.25">
      <c r="A1720" s="6">
        <v>1683</v>
      </c>
      <c r="B1720" s="7">
        <v>45556</v>
      </c>
      <c r="C1720" s="8" t="s">
        <v>78</v>
      </c>
      <c r="D1720" s="8" t="s">
        <v>109</v>
      </c>
      <c r="E1720" s="8" t="s">
        <v>84</v>
      </c>
      <c r="F1720" s="8" t="s">
        <v>148</v>
      </c>
      <c r="G1720" s="6">
        <v>32</v>
      </c>
      <c r="H1720" s="6">
        <v>5300</v>
      </c>
      <c r="I1720" s="6">
        <v>10</v>
      </c>
      <c r="J1720" s="6">
        <f t="shared" si="52"/>
        <v>169600</v>
      </c>
      <c r="K1720" s="6">
        <f t="shared" si="53"/>
        <v>152640</v>
      </c>
      <c r="L1720" s="8" t="s">
        <v>76</v>
      </c>
      <c r="M1720" s="8" t="s">
        <v>96</v>
      </c>
    </row>
    <row r="1721" spans="1:13" x14ac:dyDescent="0.25">
      <c r="A1721" s="9">
        <v>1684</v>
      </c>
      <c r="B1721" s="10">
        <v>45465</v>
      </c>
      <c r="C1721" s="11" t="s">
        <v>97</v>
      </c>
      <c r="D1721" s="11" t="s">
        <v>93</v>
      </c>
      <c r="E1721" s="11" t="s">
        <v>74</v>
      </c>
      <c r="F1721" s="11" t="s">
        <v>142</v>
      </c>
      <c r="G1721" s="9">
        <v>39</v>
      </c>
      <c r="H1721" s="9">
        <v>11000</v>
      </c>
      <c r="I1721" s="9">
        <v>15</v>
      </c>
      <c r="J1721" s="9">
        <f t="shared" si="52"/>
        <v>429000</v>
      </c>
      <c r="K1721" s="9">
        <f t="shared" si="53"/>
        <v>364650</v>
      </c>
      <c r="L1721" s="11" t="s">
        <v>305</v>
      </c>
      <c r="M1721" s="11" t="s">
        <v>81</v>
      </c>
    </row>
    <row r="1722" spans="1:13" x14ac:dyDescent="0.25">
      <c r="A1722" s="6">
        <v>1685</v>
      </c>
      <c r="B1722" s="7">
        <v>45643</v>
      </c>
      <c r="C1722" s="8" t="s">
        <v>82</v>
      </c>
      <c r="D1722" s="8" t="s">
        <v>73</v>
      </c>
      <c r="E1722" s="8" t="s">
        <v>111</v>
      </c>
      <c r="F1722" s="8" t="s">
        <v>156</v>
      </c>
      <c r="G1722" s="6">
        <v>3</v>
      </c>
      <c r="H1722" s="6">
        <v>45000</v>
      </c>
      <c r="I1722" s="6">
        <v>15</v>
      </c>
      <c r="J1722" s="6">
        <f t="shared" si="52"/>
        <v>135000</v>
      </c>
      <c r="K1722" s="6">
        <f t="shared" si="53"/>
        <v>114750</v>
      </c>
      <c r="L1722" s="8" t="s">
        <v>76</v>
      </c>
      <c r="M1722" s="8" t="s">
        <v>96</v>
      </c>
    </row>
    <row r="1723" spans="1:13" x14ac:dyDescent="0.25">
      <c r="A1723" s="9">
        <v>1686</v>
      </c>
      <c r="B1723" s="10">
        <v>45093</v>
      </c>
      <c r="C1723" s="11" t="s">
        <v>119</v>
      </c>
      <c r="D1723" s="11" t="s">
        <v>83</v>
      </c>
      <c r="E1723" s="11" t="s">
        <v>74</v>
      </c>
      <c r="F1723" s="11" t="s">
        <v>190</v>
      </c>
      <c r="G1723" s="9">
        <v>46</v>
      </c>
      <c r="H1723" s="9">
        <v>31100</v>
      </c>
      <c r="I1723" s="9">
        <v>20</v>
      </c>
      <c r="J1723" s="9">
        <f t="shared" si="52"/>
        <v>1430600</v>
      </c>
      <c r="K1723" s="9">
        <f t="shared" si="53"/>
        <v>1144480</v>
      </c>
      <c r="L1723" s="11" t="s">
        <v>86</v>
      </c>
      <c r="M1723" s="11" t="s">
        <v>91</v>
      </c>
    </row>
    <row r="1724" spans="1:13" x14ac:dyDescent="0.25">
      <c r="A1724" s="6">
        <v>1687</v>
      </c>
      <c r="B1724" s="7">
        <v>45167</v>
      </c>
      <c r="C1724" s="8" t="s">
        <v>101</v>
      </c>
      <c r="D1724" s="8" t="s">
        <v>117</v>
      </c>
      <c r="E1724" s="8" t="s">
        <v>84</v>
      </c>
      <c r="F1724" s="8" t="s">
        <v>90</v>
      </c>
      <c r="G1724" s="6">
        <v>46</v>
      </c>
      <c r="H1724" s="6">
        <v>1800</v>
      </c>
      <c r="I1724" s="6">
        <v>0</v>
      </c>
      <c r="J1724" s="6">
        <f t="shared" si="52"/>
        <v>82800</v>
      </c>
      <c r="K1724" s="6">
        <f t="shared" si="53"/>
        <v>82800</v>
      </c>
      <c r="L1724" s="8" t="s">
        <v>76</v>
      </c>
      <c r="M1724" s="8" t="s">
        <v>77</v>
      </c>
    </row>
    <row r="1725" spans="1:13" x14ac:dyDescent="0.25">
      <c r="A1725" s="9">
        <v>1688</v>
      </c>
      <c r="B1725" s="10">
        <v>45528</v>
      </c>
      <c r="C1725" s="11" t="s">
        <v>216</v>
      </c>
      <c r="D1725" s="11" t="s">
        <v>109</v>
      </c>
      <c r="E1725" s="11" t="s">
        <v>79</v>
      </c>
      <c r="F1725" s="11" t="s">
        <v>172</v>
      </c>
      <c r="G1725" s="9">
        <v>47</v>
      </c>
      <c r="H1725" s="9">
        <v>23300</v>
      </c>
      <c r="I1725" s="9">
        <v>15</v>
      </c>
      <c r="J1725" s="9">
        <f t="shared" si="52"/>
        <v>1095100</v>
      </c>
      <c r="K1725" s="9">
        <f t="shared" si="53"/>
        <v>930835</v>
      </c>
      <c r="L1725" s="11" t="s">
        <v>76</v>
      </c>
      <c r="M1725" s="11" t="s">
        <v>96</v>
      </c>
    </row>
    <row r="1726" spans="1:13" x14ac:dyDescent="0.25">
      <c r="A1726" s="6">
        <v>1689</v>
      </c>
      <c r="B1726" s="7">
        <v>45254</v>
      </c>
      <c r="C1726" s="8" t="s">
        <v>124</v>
      </c>
      <c r="D1726" s="8" t="s">
        <v>109</v>
      </c>
      <c r="E1726" s="8" t="s">
        <v>111</v>
      </c>
      <c r="F1726" s="8" t="s">
        <v>165</v>
      </c>
      <c r="G1726" s="6">
        <v>42</v>
      </c>
      <c r="H1726" s="6">
        <v>18000</v>
      </c>
      <c r="I1726" s="6">
        <v>15</v>
      </c>
      <c r="J1726" s="6">
        <f t="shared" si="52"/>
        <v>756000</v>
      </c>
      <c r="K1726" s="6">
        <f t="shared" si="53"/>
        <v>642600</v>
      </c>
      <c r="L1726" s="8" t="s">
        <v>250</v>
      </c>
      <c r="M1726" s="8" t="s">
        <v>96</v>
      </c>
    </row>
    <row r="1727" spans="1:13" x14ac:dyDescent="0.25">
      <c r="A1727" s="9">
        <v>1690</v>
      </c>
      <c r="B1727" s="10">
        <v>45141</v>
      </c>
      <c r="C1727" s="11" t="s">
        <v>119</v>
      </c>
      <c r="D1727" s="11" t="s">
        <v>73</v>
      </c>
      <c r="E1727" s="11" t="s">
        <v>74</v>
      </c>
      <c r="F1727" s="11" t="s">
        <v>142</v>
      </c>
      <c r="G1727" s="9">
        <v>23</v>
      </c>
      <c r="H1727" s="9">
        <v>12000</v>
      </c>
      <c r="I1727" s="9">
        <v>20</v>
      </c>
      <c r="J1727" s="9">
        <f t="shared" si="52"/>
        <v>276000</v>
      </c>
      <c r="K1727" s="9">
        <f t="shared" si="53"/>
        <v>220800</v>
      </c>
      <c r="L1727" s="11" t="s">
        <v>76</v>
      </c>
      <c r="M1727" s="11" t="s">
        <v>77</v>
      </c>
    </row>
    <row r="1728" spans="1:13" x14ac:dyDescent="0.25">
      <c r="A1728" s="6">
        <v>1691</v>
      </c>
      <c r="B1728" s="7">
        <v>45185</v>
      </c>
      <c r="C1728" s="8" t="s">
        <v>114</v>
      </c>
      <c r="D1728" s="8" t="s">
        <v>109</v>
      </c>
      <c r="E1728" s="8" t="s">
        <v>111</v>
      </c>
      <c r="F1728" s="8" t="s">
        <v>159</v>
      </c>
      <c r="G1728" s="6">
        <v>26</v>
      </c>
      <c r="H1728" s="6">
        <v>12800</v>
      </c>
      <c r="I1728" s="6">
        <v>5</v>
      </c>
      <c r="J1728" s="6">
        <f t="shared" si="52"/>
        <v>332800</v>
      </c>
      <c r="K1728" s="6">
        <f t="shared" si="53"/>
        <v>316160</v>
      </c>
      <c r="L1728" s="8" t="s">
        <v>86</v>
      </c>
      <c r="M1728" s="8" t="s">
        <v>96</v>
      </c>
    </row>
    <row r="1729" spans="1:13" x14ac:dyDescent="0.25">
      <c r="A1729" s="9">
        <v>1692</v>
      </c>
      <c r="B1729" s="10">
        <v>45063</v>
      </c>
      <c r="C1729" s="11" t="s">
        <v>88</v>
      </c>
      <c r="D1729" s="11" t="s">
        <v>83</v>
      </c>
      <c r="E1729" s="11" t="s">
        <v>270</v>
      </c>
      <c r="F1729" s="11" t="s">
        <v>142</v>
      </c>
      <c r="G1729" s="9">
        <v>11</v>
      </c>
      <c r="H1729" s="9">
        <v>10800</v>
      </c>
      <c r="I1729" s="9">
        <v>0</v>
      </c>
      <c r="J1729" s="9">
        <f t="shared" si="52"/>
        <v>118800</v>
      </c>
      <c r="K1729" s="9">
        <f t="shared" si="53"/>
        <v>118800</v>
      </c>
      <c r="L1729" s="11" t="s">
        <v>125</v>
      </c>
      <c r="M1729" s="11" t="s">
        <v>91</v>
      </c>
    </row>
    <row r="1730" spans="1:13" x14ac:dyDescent="0.25">
      <c r="A1730" s="6">
        <v>1693</v>
      </c>
      <c r="B1730" s="7">
        <v>45425</v>
      </c>
      <c r="C1730" s="8" t="s">
        <v>286</v>
      </c>
      <c r="D1730" s="8" t="s">
        <v>109</v>
      </c>
      <c r="E1730" s="8" t="s">
        <v>79</v>
      </c>
      <c r="F1730" s="8" t="s">
        <v>122</v>
      </c>
      <c r="G1730" s="6">
        <v>39</v>
      </c>
      <c r="H1730" s="6" t="s">
        <v>603</v>
      </c>
      <c r="I1730" s="6">
        <v>0</v>
      </c>
      <c r="J1730" s="6" t="e">
        <f t="shared" ref="J1730:J1793" si="54">G1730*H1730</f>
        <v>#VALUE!</v>
      </c>
      <c r="K1730" s="6" t="e">
        <f t="shared" ref="K1730:K1793" si="55">J1730*(1-I1730/100)</f>
        <v>#VALUE!</v>
      </c>
      <c r="L1730" s="8" t="s">
        <v>76</v>
      </c>
      <c r="M1730" s="8" t="s">
        <v>96</v>
      </c>
    </row>
    <row r="1731" spans="1:13" x14ac:dyDescent="0.25">
      <c r="A1731" s="9">
        <v>1694</v>
      </c>
      <c r="B1731" s="10">
        <v>45111</v>
      </c>
      <c r="C1731" s="11" t="s">
        <v>114</v>
      </c>
      <c r="D1731" s="11" t="s">
        <v>73</v>
      </c>
      <c r="E1731" s="11" t="s">
        <v>79</v>
      </c>
      <c r="F1731" s="11" t="s">
        <v>120</v>
      </c>
      <c r="G1731" s="9">
        <v>40</v>
      </c>
      <c r="H1731" s="9">
        <v>6500</v>
      </c>
      <c r="I1731" s="9">
        <v>0</v>
      </c>
      <c r="J1731" s="9">
        <f t="shared" si="54"/>
        <v>260000</v>
      </c>
      <c r="K1731" s="9">
        <f t="shared" si="55"/>
        <v>260000</v>
      </c>
      <c r="L1731" s="11" t="s">
        <v>76</v>
      </c>
      <c r="M1731" s="11" t="s">
        <v>77</v>
      </c>
    </row>
    <row r="1732" spans="1:13" x14ac:dyDescent="0.25">
      <c r="A1732" s="6">
        <v>1695</v>
      </c>
      <c r="B1732" s="7">
        <v>45421</v>
      </c>
      <c r="C1732" s="8" t="s">
        <v>82</v>
      </c>
      <c r="D1732" s="8" t="s">
        <v>109</v>
      </c>
      <c r="E1732" s="8" t="s">
        <v>84</v>
      </c>
      <c r="F1732" s="8" t="s">
        <v>128</v>
      </c>
      <c r="G1732" s="6">
        <v>43</v>
      </c>
      <c r="H1732" s="6">
        <v>4100</v>
      </c>
      <c r="I1732" s="6">
        <v>10</v>
      </c>
      <c r="J1732" s="6">
        <f t="shared" si="54"/>
        <v>176300</v>
      </c>
      <c r="K1732" s="6">
        <f t="shared" si="55"/>
        <v>158670</v>
      </c>
      <c r="L1732" s="8" t="s">
        <v>107</v>
      </c>
      <c r="M1732" s="8" t="s">
        <v>96</v>
      </c>
    </row>
    <row r="1733" spans="1:13" x14ac:dyDescent="0.25">
      <c r="A1733" s="9">
        <v>1696</v>
      </c>
      <c r="B1733" s="10">
        <v>45327</v>
      </c>
      <c r="C1733" s="11" t="s">
        <v>82</v>
      </c>
      <c r="D1733" s="11" t="s">
        <v>93</v>
      </c>
      <c r="E1733" s="11" t="s">
        <v>102</v>
      </c>
      <c r="F1733" s="11" t="s">
        <v>181</v>
      </c>
      <c r="G1733" s="9">
        <v>47</v>
      </c>
      <c r="H1733" s="9">
        <v>4500</v>
      </c>
      <c r="I1733" s="9"/>
      <c r="J1733" s="9">
        <f t="shared" si="54"/>
        <v>211500</v>
      </c>
      <c r="K1733" s="9">
        <f t="shared" si="55"/>
        <v>211500</v>
      </c>
      <c r="L1733" s="11" t="s">
        <v>86</v>
      </c>
      <c r="M1733" s="11" t="s">
        <v>91</v>
      </c>
    </row>
    <row r="1734" spans="1:13" x14ac:dyDescent="0.25">
      <c r="A1734" s="6">
        <v>1697</v>
      </c>
      <c r="B1734" s="7">
        <v>45532</v>
      </c>
      <c r="C1734" s="8" t="s">
        <v>82</v>
      </c>
      <c r="D1734" s="8" t="s">
        <v>117</v>
      </c>
      <c r="E1734" s="8" t="s">
        <v>102</v>
      </c>
      <c r="F1734" s="8" t="s">
        <v>197</v>
      </c>
      <c r="G1734" s="6">
        <v>22</v>
      </c>
      <c r="H1734" s="6">
        <v>3500</v>
      </c>
      <c r="I1734" s="6">
        <v>5</v>
      </c>
      <c r="J1734" s="6">
        <f t="shared" si="54"/>
        <v>77000</v>
      </c>
      <c r="K1734" s="6">
        <f t="shared" si="55"/>
        <v>73150</v>
      </c>
      <c r="L1734" s="8" t="s">
        <v>76</v>
      </c>
      <c r="M1734" s="8" t="s">
        <v>77</v>
      </c>
    </row>
    <row r="1735" spans="1:13" x14ac:dyDescent="0.25">
      <c r="A1735" s="9">
        <v>1698</v>
      </c>
      <c r="B1735" s="10">
        <v>45354</v>
      </c>
      <c r="C1735" s="11" t="s">
        <v>119</v>
      </c>
      <c r="D1735" s="11" t="s">
        <v>93</v>
      </c>
      <c r="E1735" s="11" t="s">
        <v>102</v>
      </c>
      <c r="F1735" s="11" t="s">
        <v>181</v>
      </c>
      <c r="G1735" s="9">
        <v>38</v>
      </c>
      <c r="H1735" s="9">
        <v>5100</v>
      </c>
      <c r="I1735" s="9">
        <v>0</v>
      </c>
      <c r="J1735" s="9">
        <f t="shared" si="54"/>
        <v>193800</v>
      </c>
      <c r="K1735" s="9">
        <f t="shared" si="55"/>
        <v>193800</v>
      </c>
      <c r="L1735" s="11" t="s">
        <v>76</v>
      </c>
      <c r="M1735" s="11" t="s">
        <v>96</v>
      </c>
    </row>
    <row r="1736" spans="1:13" x14ac:dyDescent="0.25">
      <c r="A1736" s="6">
        <v>1699</v>
      </c>
      <c r="B1736" s="7">
        <v>45594</v>
      </c>
      <c r="C1736" s="8" t="s">
        <v>78</v>
      </c>
      <c r="D1736" s="8" t="s">
        <v>109</v>
      </c>
      <c r="E1736" s="8" t="s">
        <v>102</v>
      </c>
      <c r="F1736" s="8" t="s">
        <v>110</v>
      </c>
      <c r="G1736" s="6">
        <v>1</v>
      </c>
      <c r="H1736" s="6">
        <v>22000</v>
      </c>
      <c r="I1736" s="6">
        <v>0</v>
      </c>
      <c r="J1736" s="6">
        <f t="shared" si="54"/>
        <v>22000</v>
      </c>
      <c r="K1736" s="6">
        <f t="shared" si="55"/>
        <v>22000</v>
      </c>
      <c r="L1736" s="8" t="s">
        <v>76</v>
      </c>
      <c r="M1736" s="8" t="s">
        <v>77</v>
      </c>
    </row>
    <row r="1737" spans="1:13" x14ac:dyDescent="0.25">
      <c r="A1737" s="9">
        <v>1700</v>
      </c>
      <c r="B1737" s="11" t="s">
        <v>604</v>
      </c>
      <c r="C1737" s="11" t="s">
        <v>381</v>
      </c>
      <c r="D1737" s="11" t="s">
        <v>83</v>
      </c>
      <c r="E1737" s="11" t="s">
        <v>79</v>
      </c>
      <c r="F1737" s="11" t="s">
        <v>115</v>
      </c>
      <c r="G1737" s="9">
        <v>5</v>
      </c>
      <c r="H1737" s="9">
        <v>8200</v>
      </c>
      <c r="I1737" s="9">
        <v>10</v>
      </c>
      <c r="J1737" s="9">
        <f t="shared" si="54"/>
        <v>41000</v>
      </c>
      <c r="K1737" s="9">
        <f t="shared" si="55"/>
        <v>36900</v>
      </c>
      <c r="L1737" s="11" t="s">
        <v>86</v>
      </c>
      <c r="M1737" s="11" t="s">
        <v>96</v>
      </c>
    </row>
    <row r="1738" spans="1:13" x14ac:dyDescent="0.25">
      <c r="A1738" s="6">
        <v>1701</v>
      </c>
      <c r="B1738" s="7">
        <v>45486</v>
      </c>
      <c r="C1738" s="8" t="s">
        <v>114</v>
      </c>
      <c r="D1738" s="8" t="s">
        <v>73</v>
      </c>
      <c r="E1738" s="8" t="s">
        <v>102</v>
      </c>
      <c r="F1738" s="8" t="s">
        <v>110</v>
      </c>
      <c r="G1738" s="6">
        <v>43</v>
      </c>
      <c r="H1738" s="6">
        <v>24000</v>
      </c>
      <c r="I1738" s="6">
        <v>10</v>
      </c>
      <c r="J1738" s="6">
        <f t="shared" si="54"/>
        <v>1032000</v>
      </c>
      <c r="K1738" s="6">
        <f t="shared" si="55"/>
        <v>928800</v>
      </c>
      <c r="L1738" s="8" t="s">
        <v>76</v>
      </c>
      <c r="M1738" s="8" t="s">
        <v>81</v>
      </c>
    </row>
    <row r="1739" spans="1:13" x14ac:dyDescent="0.25">
      <c r="A1739" s="9">
        <v>1702</v>
      </c>
      <c r="B1739" s="10">
        <v>45604</v>
      </c>
      <c r="C1739" s="11" t="s">
        <v>82</v>
      </c>
      <c r="D1739" s="11" t="s">
        <v>117</v>
      </c>
      <c r="E1739" s="11" t="s">
        <v>79</v>
      </c>
      <c r="F1739" s="11" t="s">
        <v>80</v>
      </c>
      <c r="G1739" s="9">
        <v>25</v>
      </c>
      <c r="H1739" s="9">
        <v>9600</v>
      </c>
      <c r="I1739" s="9">
        <v>0</v>
      </c>
      <c r="J1739" s="9">
        <f t="shared" si="54"/>
        <v>240000</v>
      </c>
      <c r="K1739" s="9">
        <f t="shared" si="55"/>
        <v>240000</v>
      </c>
      <c r="L1739" s="11" t="s">
        <v>76</v>
      </c>
      <c r="M1739" s="11" t="s">
        <v>96</v>
      </c>
    </row>
    <row r="1740" spans="1:13" x14ac:dyDescent="0.25">
      <c r="A1740" s="6">
        <v>1703</v>
      </c>
      <c r="B1740" s="8" t="s">
        <v>605</v>
      </c>
      <c r="C1740" s="8" t="s">
        <v>106</v>
      </c>
      <c r="D1740" s="8" t="s">
        <v>73</v>
      </c>
      <c r="E1740" s="8" t="s">
        <v>111</v>
      </c>
      <c r="F1740" s="8" t="s">
        <v>112</v>
      </c>
      <c r="G1740" s="6">
        <v>16</v>
      </c>
      <c r="H1740" s="6">
        <v>63800</v>
      </c>
      <c r="I1740" s="6">
        <v>0</v>
      </c>
      <c r="J1740" s="6">
        <f t="shared" si="54"/>
        <v>1020800</v>
      </c>
      <c r="K1740" s="6">
        <f t="shared" si="55"/>
        <v>1020800</v>
      </c>
      <c r="L1740" s="8" t="s">
        <v>125</v>
      </c>
      <c r="M1740" s="8" t="s">
        <v>77</v>
      </c>
    </row>
    <row r="1741" spans="1:13" x14ac:dyDescent="0.25">
      <c r="A1741" s="9">
        <v>1704</v>
      </c>
      <c r="B1741" s="10">
        <v>45059</v>
      </c>
      <c r="C1741" s="11" t="s">
        <v>101</v>
      </c>
      <c r="D1741" s="11" t="s">
        <v>109</v>
      </c>
      <c r="E1741" s="11" t="s">
        <v>74</v>
      </c>
      <c r="F1741" s="11" t="s">
        <v>190</v>
      </c>
      <c r="G1741" s="9">
        <v>28</v>
      </c>
      <c r="H1741" s="9">
        <v>32100</v>
      </c>
      <c r="I1741" s="9">
        <v>0</v>
      </c>
      <c r="J1741" s="9">
        <f t="shared" si="54"/>
        <v>898800</v>
      </c>
      <c r="K1741" s="9">
        <f t="shared" si="55"/>
        <v>898800</v>
      </c>
      <c r="L1741" s="11" t="s">
        <v>76</v>
      </c>
      <c r="M1741" s="11" t="s">
        <v>81</v>
      </c>
    </row>
    <row r="1742" spans="1:13" x14ac:dyDescent="0.25">
      <c r="A1742" s="6">
        <v>1705</v>
      </c>
      <c r="B1742" s="7">
        <v>45026</v>
      </c>
      <c r="C1742" s="8" t="s">
        <v>101</v>
      </c>
      <c r="D1742" s="8" t="s">
        <v>117</v>
      </c>
      <c r="E1742" s="8" t="s">
        <v>102</v>
      </c>
      <c r="F1742" s="8" t="s">
        <v>137</v>
      </c>
      <c r="G1742" s="6">
        <v>10</v>
      </c>
      <c r="H1742" s="6">
        <v>2000</v>
      </c>
      <c r="I1742" s="6">
        <v>0</v>
      </c>
      <c r="J1742" s="6">
        <f t="shared" si="54"/>
        <v>20000</v>
      </c>
      <c r="K1742" s="6">
        <f t="shared" si="55"/>
        <v>20000</v>
      </c>
      <c r="L1742" s="8" t="s">
        <v>107</v>
      </c>
      <c r="M1742" s="8" t="s">
        <v>77</v>
      </c>
    </row>
    <row r="1743" spans="1:13" x14ac:dyDescent="0.25">
      <c r="A1743" s="9">
        <v>1706</v>
      </c>
      <c r="B1743" s="10">
        <v>44994</v>
      </c>
      <c r="C1743" s="11" t="s">
        <v>101</v>
      </c>
      <c r="D1743" s="11" t="s">
        <v>109</v>
      </c>
      <c r="E1743" s="11" t="s">
        <v>368</v>
      </c>
      <c r="F1743" s="11" t="s">
        <v>172</v>
      </c>
      <c r="G1743" s="9">
        <v>33</v>
      </c>
      <c r="H1743" s="9">
        <v>24600</v>
      </c>
      <c r="I1743" s="9">
        <v>10</v>
      </c>
      <c r="J1743" s="9">
        <f t="shared" si="54"/>
        <v>811800</v>
      </c>
      <c r="K1743" s="9">
        <f t="shared" si="55"/>
        <v>730620</v>
      </c>
      <c r="L1743" s="11" t="s">
        <v>86</v>
      </c>
      <c r="M1743" s="11" t="s">
        <v>91</v>
      </c>
    </row>
    <row r="1744" spans="1:13" x14ac:dyDescent="0.25">
      <c r="A1744" s="6">
        <v>1707</v>
      </c>
      <c r="B1744" s="7">
        <v>45052</v>
      </c>
      <c r="C1744" s="8" t="s">
        <v>119</v>
      </c>
      <c r="D1744" s="8" t="s">
        <v>93</v>
      </c>
      <c r="E1744" s="8" t="s">
        <v>74</v>
      </c>
      <c r="F1744" s="8" t="s">
        <v>118</v>
      </c>
      <c r="G1744" s="6">
        <v>6</v>
      </c>
      <c r="H1744" s="6" t="s">
        <v>606</v>
      </c>
      <c r="I1744" s="6">
        <v>20</v>
      </c>
      <c r="J1744" s="6">
        <f t="shared" si="54"/>
        <v>166200</v>
      </c>
      <c r="K1744" s="6">
        <f t="shared" si="55"/>
        <v>132960</v>
      </c>
      <c r="L1744" s="8" t="s">
        <v>229</v>
      </c>
      <c r="M1744" s="8" t="s">
        <v>91</v>
      </c>
    </row>
    <row r="1745" spans="1:13" x14ac:dyDescent="0.25">
      <c r="A1745" s="9">
        <v>1708</v>
      </c>
      <c r="B1745" s="10">
        <v>45120</v>
      </c>
      <c r="C1745" s="11" t="s">
        <v>82</v>
      </c>
      <c r="D1745" s="11" t="s">
        <v>117</v>
      </c>
      <c r="E1745" s="11" t="s">
        <v>368</v>
      </c>
      <c r="F1745" s="11" t="s">
        <v>131</v>
      </c>
      <c r="G1745" s="9">
        <v>11</v>
      </c>
      <c r="H1745" s="9">
        <v>137800</v>
      </c>
      <c r="I1745" s="9"/>
      <c r="J1745" s="9">
        <f t="shared" si="54"/>
        <v>1515800</v>
      </c>
      <c r="K1745" s="9">
        <f t="shared" si="55"/>
        <v>1515800</v>
      </c>
      <c r="L1745" s="11" t="s">
        <v>76</v>
      </c>
      <c r="M1745" s="11" t="s">
        <v>81</v>
      </c>
    </row>
    <row r="1746" spans="1:13" x14ac:dyDescent="0.25">
      <c r="A1746" s="6">
        <v>1709</v>
      </c>
      <c r="B1746" s="8" t="s">
        <v>430</v>
      </c>
      <c r="C1746" s="8" t="s">
        <v>82</v>
      </c>
      <c r="D1746" s="8" t="s">
        <v>109</v>
      </c>
      <c r="E1746" s="8" t="s">
        <v>111</v>
      </c>
      <c r="F1746" s="8" t="s">
        <v>132</v>
      </c>
      <c r="G1746" s="6">
        <v>25</v>
      </c>
      <c r="H1746" s="6">
        <v>6800</v>
      </c>
      <c r="I1746" s="6">
        <v>0</v>
      </c>
      <c r="J1746" s="6">
        <f t="shared" si="54"/>
        <v>170000</v>
      </c>
      <c r="K1746" s="6">
        <f t="shared" si="55"/>
        <v>170000</v>
      </c>
      <c r="L1746" s="8" t="s">
        <v>86</v>
      </c>
      <c r="M1746" s="8" t="s">
        <v>91</v>
      </c>
    </row>
    <row r="1747" spans="1:13" x14ac:dyDescent="0.25">
      <c r="A1747" s="9">
        <v>1710</v>
      </c>
      <c r="B1747" s="10">
        <v>45451</v>
      </c>
      <c r="C1747" s="11" t="s">
        <v>114</v>
      </c>
      <c r="D1747" s="11" t="s">
        <v>109</v>
      </c>
      <c r="E1747" s="11" t="s">
        <v>84</v>
      </c>
      <c r="F1747" s="11" t="s">
        <v>90</v>
      </c>
      <c r="G1747" s="9">
        <v>31</v>
      </c>
      <c r="H1747" s="9">
        <v>1900</v>
      </c>
      <c r="I1747" s="9">
        <v>15</v>
      </c>
      <c r="J1747" s="9">
        <f t="shared" si="54"/>
        <v>58900</v>
      </c>
      <c r="K1747" s="9">
        <f t="shared" si="55"/>
        <v>50065</v>
      </c>
      <c r="L1747" s="11" t="s">
        <v>86</v>
      </c>
      <c r="M1747" s="11" t="s">
        <v>77</v>
      </c>
    </row>
    <row r="1748" spans="1:13" x14ac:dyDescent="0.25">
      <c r="A1748" s="6">
        <v>1711</v>
      </c>
      <c r="B1748" s="7">
        <v>45159</v>
      </c>
      <c r="C1748" s="8" t="s">
        <v>119</v>
      </c>
      <c r="D1748" s="8"/>
      <c r="E1748" s="8" t="s">
        <v>191</v>
      </c>
      <c r="F1748" s="8" t="s">
        <v>165</v>
      </c>
      <c r="G1748" s="6">
        <v>24</v>
      </c>
      <c r="H1748" s="6">
        <v>17600</v>
      </c>
      <c r="I1748" s="6">
        <v>0</v>
      </c>
      <c r="J1748" s="6">
        <f t="shared" si="54"/>
        <v>422400</v>
      </c>
      <c r="K1748" s="6">
        <f t="shared" si="55"/>
        <v>422400</v>
      </c>
      <c r="L1748" s="8" t="s">
        <v>76</v>
      </c>
      <c r="M1748" s="8" t="s">
        <v>77</v>
      </c>
    </row>
    <row r="1749" spans="1:13" x14ac:dyDescent="0.25">
      <c r="A1749" s="9">
        <v>1712</v>
      </c>
      <c r="B1749" s="10">
        <v>45390</v>
      </c>
      <c r="C1749" s="11" t="s">
        <v>106</v>
      </c>
      <c r="D1749" s="11" t="s">
        <v>73</v>
      </c>
      <c r="E1749" s="11" t="s">
        <v>213</v>
      </c>
      <c r="F1749" s="11" t="s">
        <v>157</v>
      </c>
      <c r="G1749" s="9">
        <v>43</v>
      </c>
      <c r="H1749" s="9">
        <v>10900</v>
      </c>
      <c r="I1749" s="9">
        <v>5</v>
      </c>
      <c r="J1749" s="9">
        <f t="shared" si="54"/>
        <v>468700</v>
      </c>
      <c r="K1749" s="9">
        <f t="shared" si="55"/>
        <v>445265</v>
      </c>
      <c r="L1749" s="11" t="s">
        <v>125</v>
      </c>
      <c r="M1749" s="11" t="s">
        <v>96</v>
      </c>
    </row>
    <row r="1750" spans="1:13" x14ac:dyDescent="0.25">
      <c r="A1750" s="6">
        <v>1713</v>
      </c>
      <c r="B1750" s="8" t="s">
        <v>607</v>
      </c>
      <c r="C1750" s="8" t="s">
        <v>88</v>
      </c>
      <c r="D1750" s="8" t="s">
        <v>83</v>
      </c>
      <c r="E1750" s="8" t="s">
        <v>79</v>
      </c>
      <c r="F1750" s="8" t="s">
        <v>122</v>
      </c>
      <c r="G1750" s="6">
        <v>39</v>
      </c>
      <c r="H1750" s="6">
        <v>20000</v>
      </c>
      <c r="I1750" s="6">
        <v>10</v>
      </c>
      <c r="J1750" s="6">
        <f t="shared" si="54"/>
        <v>780000</v>
      </c>
      <c r="K1750" s="6">
        <f t="shared" si="55"/>
        <v>702000</v>
      </c>
      <c r="L1750" s="8" t="s">
        <v>76</v>
      </c>
      <c r="M1750" s="8" t="s">
        <v>77</v>
      </c>
    </row>
    <row r="1751" spans="1:13" x14ac:dyDescent="0.25">
      <c r="A1751" s="9">
        <v>1714</v>
      </c>
      <c r="B1751" s="10">
        <v>45066</v>
      </c>
      <c r="C1751" s="11" t="s">
        <v>119</v>
      </c>
      <c r="D1751" s="11" t="s">
        <v>83</v>
      </c>
      <c r="E1751" s="11" t="s">
        <v>102</v>
      </c>
      <c r="F1751" s="11" t="s">
        <v>157</v>
      </c>
      <c r="G1751" s="9">
        <v>3</v>
      </c>
      <c r="H1751" s="9">
        <v>11200</v>
      </c>
      <c r="I1751" s="9">
        <v>0</v>
      </c>
      <c r="J1751" s="9">
        <f t="shared" si="54"/>
        <v>33600</v>
      </c>
      <c r="K1751" s="9">
        <f t="shared" si="55"/>
        <v>33600</v>
      </c>
      <c r="L1751" s="11" t="s">
        <v>86</v>
      </c>
      <c r="M1751" s="11" t="s">
        <v>96</v>
      </c>
    </row>
    <row r="1752" spans="1:13" x14ac:dyDescent="0.25">
      <c r="A1752" s="6">
        <v>1715</v>
      </c>
      <c r="B1752" s="7">
        <v>45246</v>
      </c>
      <c r="C1752" s="8" t="s">
        <v>82</v>
      </c>
      <c r="D1752" s="8" t="s">
        <v>83</v>
      </c>
      <c r="E1752" s="8" t="s">
        <v>74</v>
      </c>
      <c r="F1752" s="8" t="s">
        <v>94</v>
      </c>
      <c r="G1752" s="6">
        <v>4</v>
      </c>
      <c r="H1752" s="6">
        <v>39000</v>
      </c>
      <c r="I1752" s="6">
        <v>15</v>
      </c>
      <c r="J1752" s="6">
        <f t="shared" si="54"/>
        <v>156000</v>
      </c>
      <c r="K1752" s="6">
        <f t="shared" si="55"/>
        <v>132600</v>
      </c>
      <c r="L1752" s="8" t="s">
        <v>125</v>
      </c>
      <c r="M1752" s="8" t="s">
        <v>81</v>
      </c>
    </row>
    <row r="1753" spans="1:13" x14ac:dyDescent="0.25">
      <c r="A1753" s="9">
        <v>1716</v>
      </c>
      <c r="B1753" s="10">
        <v>45191</v>
      </c>
      <c r="C1753" s="11" t="s">
        <v>114</v>
      </c>
      <c r="D1753" s="11" t="s">
        <v>109</v>
      </c>
      <c r="E1753" s="11" t="s">
        <v>74</v>
      </c>
      <c r="F1753" s="11" t="s">
        <v>212</v>
      </c>
      <c r="G1753" s="9">
        <v>5</v>
      </c>
      <c r="H1753" s="9">
        <v>8900</v>
      </c>
      <c r="I1753" s="9">
        <v>0</v>
      </c>
      <c r="J1753" s="9">
        <f t="shared" si="54"/>
        <v>44500</v>
      </c>
      <c r="K1753" s="9">
        <f t="shared" si="55"/>
        <v>44500</v>
      </c>
      <c r="L1753" s="11" t="s">
        <v>125</v>
      </c>
      <c r="M1753" s="11" t="s">
        <v>96</v>
      </c>
    </row>
    <row r="1754" spans="1:13" x14ac:dyDescent="0.25">
      <c r="A1754" s="6">
        <v>1717</v>
      </c>
      <c r="B1754" s="7">
        <v>45437</v>
      </c>
      <c r="C1754" s="8" t="s">
        <v>101</v>
      </c>
      <c r="D1754" s="8" t="s">
        <v>117</v>
      </c>
      <c r="E1754" s="8" t="s">
        <v>111</v>
      </c>
      <c r="F1754" s="8" t="s">
        <v>192</v>
      </c>
      <c r="G1754" s="6">
        <v>19</v>
      </c>
      <c r="H1754" s="6">
        <v>86100</v>
      </c>
      <c r="I1754" s="6"/>
      <c r="J1754" s="6">
        <f t="shared" si="54"/>
        <v>1635900</v>
      </c>
      <c r="K1754" s="6">
        <f t="shared" si="55"/>
        <v>1635900</v>
      </c>
      <c r="L1754" s="8" t="s">
        <v>76</v>
      </c>
      <c r="M1754" s="8" t="s">
        <v>77</v>
      </c>
    </row>
    <row r="1755" spans="1:13" x14ac:dyDescent="0.25">
      <c r="A1755" s="9">
        <v>1718</v>
      </c>
      <c r="B1755" s="10">
        <v>45067</v>
      </c>
      <c r="C1755" s="11" t="s">
        <v>82</v>
      </c>
      <c r="D1755" s="11" t="s">
        <v>93</v>
      </c>
      <c r="E1755" s="11" t="s">
        <v>102</v>
      </c>
      <c r="F1755" s="11" t="s">
        <v>137</v>
      </c>
      <c r="G1755" s="9">
        <v>7</v>
      </c>
      <c r="H1755" s="9">
        <v>2200</v>
      </c>
      <c r="I1755" s="9">
        <v>0</v>
      </c>
      <c r="J1755" s="9">
        <f t="shared" si="54"/>
        <v>15400</v>
      </c>
      <c r="K1755" s="9">
        <f t="shared" si="55"/>
        <v>15400</v>
      </c>
      <c r="L1755" s="11" t="s">
        <v>125</v>
      </c>
      <c r="M1755" s="11" t="s">
        <v>96</v>
      </c>
    </row>
    <row r="1756" spans="1:13" x14ac:dyDescent="0.25">
      <c r="A1756" s="6">
        <v>1719</v>
      </c>
      <c r="B1756" s="7">
        <v>45053</v>
      </c>
      <c r="C1756" s="8" t="s">
        <v>108</v>
      </c>
      <c r="D1756" s="8" t="s">
        <v>93</v>
      </c>
      <c r="E1756" s="8" t="s">
        <v>84</v>
      </c>
      <c r="F1756" s="8" t="s">
        <v>150</v>
      </c>
      <c r="G1756" s="6">
        <v>18</v>
      </c>
      <c r="H1756" s="6">
        <v>5300</v>
      </c>
      <c r="I1756" s="6">
        <v>20</v>
      </c>
      <c r="J1756" s="6">
        <f t="shared" si="54"/>
        <v>95400</v>
      </c>
      <c r="K1756" s="6">
        <f t="shared" si="55"/>
        <v>76320</v>
      </c>
      <c r="L1756" s="8" t="s">
        <v>76</v>
      </c>
      <c r="M1756" s="8" t="s">
        <v>77</v>
      </c>
    </row>
    <row r="1757" spans="1:13" x14ac:dyDescent="0.25">
      <c r="A1757" s="9">
        <v>1720</v>
      </c>
      <c r="B1757" s="10">
        <v>45656</v>
      </c>
      <c r="C1757" s="11" t="s">
        <v>82</v>
      </c>
      <c r="D1757" s="11" t="s">
        <v>93</v>
      </c>
      <c r="E1757" s="11" t="s">
        <v>102</v>
      </c>
      <c r="F1757" s="11" t="s">
        <v>110</v>
      </c>
      <c r="G1757" s="9">
        <v>43</v>
      </c>
      <c r="H1757" s="9">
        <v>24800</v>
      </c>
      <c r="I1757" s="9">
        <v>20</v>
      </c>
      <c r="J1757" s="9">
        <f t="shared" si="54"/>
        <v>1066400</v>
      </c>
      <c r="K1757" s="9">
        <f t="shared" si="55"/>
        <v>853120</v>
      </c>
      <c r="L1757" s="11" t="s">
        <v>76</v>
      </c>
      <c r="M1757" s="11" t="s">
        <v>91</v>
      </c>
    </row>
    <row r="1758" spans="1:13" x14ac:dyDescent="0.25">
      <c r="A1758" s="6">
        <v>1721</v>
      </c>
      <c r="B1758" s="8" t="s">
        <v>608</v>
      </c>
      <c r="C1758" s="8" t="s">
        <v>101</v>
      </c>
      <c r="D1758" s="8" t="s">
        <v>83</v>
      </c>
      <c r="E1758" s="8" t="s">
        <v>79</v>
      </c>
      <c r="F1758" s="8" t="s">
        <v>120</v>
      </c>
      <c r="G1758" s="6">
        <v>4</v>
      </c>
      <c r="H1758" s="6">
        <v>5800</v>
      </c>
      <c r="I1758" s="6">
        <v>10</v>
      </c>
      <c r="J1758" s="6">
        <f t="shared" si="54"/>
        <v>23200</v>
      </c>
      <c r="K1758" s="6">
        <f t="shared" si="55"/>
        <v>20880</v>
      </c>
      <c r="L1758" s="8" t="s">
        <v>76</v>
      </c>
      <c r="M1758" s="8" t="s">
        <v>77</v>
      </c>
    </row>
    <row r="1759" spans="1:13" x14ac:dyDescent="0.25">
      <c r="A1759" s="9">
        <v>1722</v>
      </c>
      <c r="B1759" s="10">
        <v>44931</v>
      </c>
      <c r="C1759" s="11" t="s">
        <v>97</v>
      </c>
      <c r="D1759" s="11" t="s">
        <v>83</v>
      </c>
      <c r="E1759" s="11" t="s">
        <v>79</v>
      </c>
      <c r="F1759" s="11" t="s">
        <v>172</v>
      </c>
      <c r="G1759" s="9">
        <v>26</v>
      </c>
      <c r="H1759" s="9">
        <v>27600</v>
      </c>
      <c r="I1759" s="9">
        <v>0</v>
      </c>
      <c r="J1759" s="9">
        <f t="shared" si="54"/>
        <v>717600</v>
      </c>
      <c r="K1759" s="9">
        <f t="shared" si="55"/>
        <v>717600</v>
      </c>
      <c r="L1759" s="11" t="s">
        <v>76</v>
      </c>
      <c r="M1759" s="11" t="s">
        <v>96</v>
      </c>
    </row>
    <row r="1760" spans="1:13" x14ac:dyDescent="0.25">
      <c r="A1760" s="6">
        <v>1723</v>
      </c>
      <c r="B1760" s="8" t="s">
        <v>609</v>
      </c>
      <c r="C1760" s="8" t="s">
        <v>82</v>
      </c>
      <c r="D1760" s="8" t="s">
        <v>109</v>
      </c>
      <c r="E1760" s="8" t="s">
        <v>79</v>
      </c>
      <c r="F1760" s="8" t="s">
        <v>120</v>
      </c>
      <c r="G1760" s="6">
        <v>42</v>
      </c>
      <c r="H1760" s="6">
        <v>5700</v>
      </c>
      <c r="I1760" s="6"/>
      <c r="J1760" s="6">
        <f t="shared" si="54"/>
        <v>239400</v>
      </c>
      <c r="K1760" s="6">
        <f t="shared" si="55"/>
        <v>239400</v>
      </c>
      <c r="L1760" s="8" t="s">
        <v>331</v>
      </c>
      <c r="M1760" s="8" t="s">
        <v>77</v>
      </c>
    </row>
    <row r="1761" spans="1:13" x14ac:dyDescent="0.25">
      <c r="A1761" s="9">
        <v>1724</v>
      </c>
      <c r="B1761" s="10">
        <v>44944</v>
      </c>
      <c r="C1761" s="11" t="s">
        <v>119</v>
      </c>
      <c r="D1761" s="11" t="s">
        <v>109</v>
      </c>
      <c r="E1761" s="11" t="s">
        <v>84</v>
      </c>
      <c r="F1761" s="11" t="s">
        <v>128</v>
      </c>
      <c r="G1761" s="9">
        <v>44</v>
      </c>
      <c r="H1761" s="9">
        <v>4600</v>
      </c>
      <c r="I1761" s="9">
        <v>0</v>
      </c>
      <c r="J1761" s="9">
        <f t="shared" si="54"/>
        <v>202400</v>
      </c>
      <c r="K1761" s="9">
        <f t="shared" si="55"/>
        <v>202400</v>
      </c>
      <c r="L1761" s="11" t="s">
        <v>76</v>
      </c>
      <c r="M1761" s="11" t="s">
        <v>91</v>
      </c>
    </row>
    <row r="1762" spans="1:13" x14ac:dyDescent="0.25">
      <c r="A1762" s="6">
        <v>1725</v>
      </c>
      <c r="B1762" s="7">
        <v>45624</v>
      </c>
      <c r="C1762" s="8" t="s">
        <v>82</v>
      </c>
      <c r="D1762" s="8" t="s">
        <v>117</v>
      </c>
      <c r="E1762" s="8" t="s">
        <v>102</v>
      </c>
      <c r="F1762" s="8" t="s">
        <v>181</v>
      </c>
      <c r="G1762" s="6">
        <v>16</v>
      </c>
      <c r="H1762" s="6">
        <v>4600</v>
      </c>
      <c r="I1762" s="6">
        <v>10</v>
      </c>
      <c r="J1762" s="6">
        <f t="shared" si="54"/>
        <v>73600</v>
      </c>
      <c r="K1762" s="6">
        <f t="shared" si="55"/>
        <v>66240</v>
      </c>
      <c r="L1762" s="8" t="s">
        <v>76</v>
      </c>
      <c r="M1762" s="8" t="s">
        <v>81</v>
      </c>
    </row>
    <row r="1763" spans="1:13" x14ac:dyDescent="0.25">
      <c r="A1763" s="9">
        <v>1726</v>
      </c>
      <c r="B1763" s="10">
        <v>45609</v>
      </c>
      <c r="C1763" s="11" t="s">
        <v>114</v>
      </c>
      <c r="D1763" s="11" t="s">
        <v>109</v>
      </c>
      <c r="E1763" s="11" t="s">
        <v>102</v>
      </c>
      <c r="F1763" s="11" t="s">
        <v>110</v>
      </c>
      <c r="G1763" s="9">
        <v>26</v>
      </c>
      <c r="H1763" s="9">
        <v>21700</v>
      </c>
      <c r="I1763" s="9">
        <v>10</v>
      </c>
      <c r="J1763" s="9">
        <f t="shared" si="54"/>
        <v>564200</v>
      </c>
      <c r="K1763" s="9">
        <f t="shared" si="55"/>
        <v>507780</v>
      </c>
      <c r="L1763" s="11" t="s">
        <v>218</v>
      </c>
      <c r="M1763" s="11" t="s">
        <v>91</v>
      </c>
    </row>
    <row r="1764" spans="1:13" x14ac:dyDescent="0.25">
      <c r="A1764" s="6">
        <v>1727</v>
      </c>
      <c r="B1764" s="7">
        <v>45221</v>
      </c>
      <c r="C1764" s="8" t="s">
        <v>101</v>
      </c>
      <c r="D1764" s="8" t="s">
        <v>109</v>
      </c>
      <c r="E1764" s="8" t="s">
        <v>102</v>
      </c>
      <c r="F1764" s="8" t="s">
        <v>137</v>
      </c>
      <c r="G1764" s="6">
        <v>17</v>
      </c>
      <c r="H1764" s="6">
        <v>2400</v>
      </c>
      <c r="I1764" s="6">
        <v>0</v>
      </c>
      <c r="J1764" s="6">
        <f t="shared" si="54"/>
        <v>40800</v>
      </c>
      <c r="K1764" s="6">
        <f t="shared" si="55"/>
        <v>40800</v>
      </c>
      <c r="L1764" s="8" t="s">
        <v>229</v>
      </c>
      <c r="M1764" s="8" t="s">
        <v>91</v>
      </c>
    </row>
    <row r="1765" spans="1:13" x14ac:dyDescent="0.25">
      <c r="A1765" s="9">
        <v>1728</v>
      </c>
      <c r="B1765" s="11" t="s">
        <v>610</v>
      </c>
      <c r="C1765" s="11" t="s">
        <v>114</v>
      </c>
      <c r="D1765" s="11" t="s">
        <v>93</v>
      </c>
      <c r="E1765" s="11" t="s">
        <v>84</v>
      </c>
      <c r="F1765" s="11" t="s">
        <v>134</v>
      </c>
      <c r="G1765" s="9">
        <v>37</v>
      </c>
      <c r="H1765" s="9">
        <v>10300</v>
      </c>
      <c r="I1765" s="9">
        <v>15</v>
      </c>
      <c r="J1765" s="9">
        <f t="shared" si="54"/>
        <v>381100</v>
      </c>
      <c r="K1765" s="9">
        <f t="shared" si="55"/>
        <v>323935</v>
      </c>
      <c r="L1765" s="11" t="s">
        <v>76</v>
      </c>
      <c r="M1765" s="11" t="s">
        <v>77</v>
      </c>
    </row>
    <row r="1766" spans="1:13" x14ac:dyDescent="0.25">
      <c r="A1766" s="6">
        <v>1729</v>
      </c>
      <c r="B1766" s="8" t="s">
        <v>611</v>
      </c>
      <c r="C1766" s="8" t="s">
        <v>108</v>
      </c>
      <c r="D1766" s="8"/>
      <c r="E1766" s="8" t="s">
        <v>84</v>
      </c>
      <c r="F1766" s="8" t="s">
        <v>90</v>
      </c>
      <c r="G1766" s="6">
        <v>47</v>
      </c>
      <c r="H1766" s="6">
        <v>2000</v>
      </c>
      <c r="I1766" s="6">
        <v>0</v>
      </c>
      <c r="J1766" s="6">
        <f t="shared" si="54"/>
        <v>94000</v>
      </c>
      <c r="K1766" s="6">
        <f t="shared" si="55"/>
        <v>94000</v>
      </c>
      <c r="L1766" s="8" t="s">
        <v>76</v>
      </c>
      <c r="M1766" s="8" t="s">
        <v>91</v>
      </c>
    </row>
    <row r="1767" spans="1:13" x14ac:dyDescent="0.25">
      <c r="A1767" s="9">
        <v>1730</v>
      </c>
      <c r="B1767" s="10">
        <v>45150</v>
      </c>
      <c r="C1767" s="11" t="s">
        <v>101</v>
      </c>
      <c r="D1767" s="11" t="s">
        <v>127</v>
      </c>
      <c r="E1767" s="11" t="s">
        <v>102</v>
      </c>
      <c r="F1767" s="11" t="s">
        <v>138</v>
      </c>
      <c r="G1767" s="9">
        <v>46</v>
      </c>
      <c r="H1767" s="9">
        <v>6900</v>
      </c>
      <c r="I1767" s="9">
        <v>5</v>
      </c>
      <c r="J1767" s="9">
        <f t="shared" si="54"/>
        <v>317400</v>
      </c>
      <c r="K1767" s="9">
        <f t="shared" si="55"/>
        <v>301530</v>
      </c>
      <c r="L1767" s="11" t="s">
        <v>76</v>
      </c>
      <c r="M1767" s="11"/>
    </row>
    <row r="1768" spans="1:13" x14ac:dyDescent="0.25">
      <c r="A1768" s="6">
        <v>1731</v>
      </c>
      <c r="B1768" s="7">
        <v>45036</v>
      </c>
      <c r="C1768" s="8" t="s">
        <v>286</v>
      </c>
      <c r="D1768" s="8"/>
      <c r="E1768" s="8" t="s">
        <v>111</v>
      </c>
      <c r="F1768" s="8" t="s">
        <v>166</v>
      </c>
      <c r="G1768" s="6">
        <v>42</v>
      </c>
      <c r="H1768" s="6">
        <v>26200</v>
      </c>
      <c r="I1768" s="6">
        <v>0</v>
      </c>
      <c r="J1768" s="6">
        <f t="shared" si="54"/>
        <v>1100400</v>
      </c>
      <c r="K1768" s="6">
        <f t="shared" si="55"/>
        <v>1100400</v>
      </c>
      <c r="L1768" s="8" t="s">
        <v>86</v>
      </c>
      <c r="M1768" s="8" t="s">
        <v>96</v>
      </c>
    </row>
    <row r="1769" spans="1:13" x14ac:dyDescent="0.25">
      <c r="A1769" s="9">
        <v>1732</v>
      </c>
      <c r="B1769" s="10">
        <v>45347</v>
      </c>
      <c r="C1769" s="11" t="s">
        <v>114</v>
      </c>
      <c r="D1769" s="11" t="s">
        <v>93</v>
      </c>
      <c r="E1769" s="11" t="s">
        <v>74</v>
      </c>
      <c r="F1769" s="11" t="s">
        <v>99</v>
      </c>
      <c r="G1769" s="9">
        <v>41</v>
      </c>
      <c r="H1769" s="9">
        <v>3700</v>
      </c>
      <c r="I1769" s="9">
        <v>0</v>
      </c>
      <c r="J1769" s="9">
        <f t="shared" si="54"/>
        <v>151700</v>
      </c>
      <c r="K1769" s="9">
        <f t="shared" si="55"/>
        <v>151700</v>
      </c>
      <c r="L1769" s="11" t="s">
        <v>76</v>
      </c>
      <c r="M1769" s="11" t="s">
        <v>91</v>
      </c>
    </row>
    <row r="1770" spans="1:13" x14ac:dyDescent="0.25">
      <c r="A1770" s="6">
        <v>1733</v>
      </c>
      <c r="B1770" s="7">
        <v>45119</v>
      </c>
      <c r="C1770" s="8" t="s">
        <v>106</v>
      </c>
      <c r="D1770" s="8" t="s">
        <v>83</v>
      </c>
      <c r="E1770" s="8" t="s">
        <v>111</v>
      </c>
      <c r="F1770" s="8" t="s">
        <v>135</v>
      </c>
      <c r="G1770" s="6">
        <v>17</v>
      </c>
      <c r="H1770" s="6">
        <v>116100</v>
      </c>
      <c r="I1770" s="6">
        <v>0</v>
      </c>
      <c r="J1770" s="6">
        <f t="shared" si="54"/>
        <v>1973700</v>
      </c>
      <c r="K1770" s="6">
        <f t="shared" si="55"/>
        <v>1973700</v>
      </c>
      <c r="L1770" s="8" t="s">
        <v>76</v>
      </c>
      <c r="M1770" s="8"/>
    </row>
    <row r="1771" spans="1:13" x14ac:dyDescent="0.25">
      <c r="A1771" s="9">
        <v>1734</v>
      </c>
      <c r="B1771" s="10">
        <v>44989</v>
      </c>
      <c r="C1771" s="11" t="s">
        <v>78</v>
      </c>
      <c r="D1771" s="11" t="s">
        <v>83</v>
      </c>
      <c r="E1771" s="11" t="s">
        <v>102</v>
      </c>
      <c r="F1771" s="11" t="s">
        <v>110</v>
      </c>
      <c r="G1771" s="9">
        <v>8</v>
      </c>
      <c r="H1771" s="9">
        <v>20900</v>
      </c>
      <c r="I1771" s="9">
        <v>0</v>
      </c>
      <c r="J1771" s="9">
        <f t="shared" si="54"/>
        <v>167200</v>
      </c>
      <c r="K1771" s="9">
        <f t="shared" si="55"/>
        <v>167200</v>
      </c>
      <c r="L1771" s="11" t="s">
        <v>107</v>
      </c>
      <c r="M1771" s="11" t="s">
        <v>81</v>
      </c>
    </row>
    <row r="1772" spans="1:13" x14ac:dyDescent="0.25">
      <c r="A1772" s="6">
        <v>1735</v>
      </c>
      <c r="B1772" s="7">
        <v>45213</v>
      </c>
      <c r="C1772" s="8" t="s">
        <v>108</v>
      </c>
      <c r="D1772" s="8" t="s">
        <v>83</v>
      </c>
      <c r="E1772" s="8" t="s">
        <v>79</v>
      </c>
      <c r="F1772" s="8" t="s">
        <v>172</v>
      </c>
      <c r="G1772" s="6">
        <v>34</v>
      </c>
      <c r="H1772" s="6">
        <v>27400</v>
      </c>
      <c r="I1772" s="6">
        <v>0</v>
      </c>
      <c r="J1772" s="6">
        <f t="shared" si="54"/>
        <v>931600</v>
      </c>
      <c r="K1772" s="6">
        <f t="shared" si="55"/>
        <v>931600</v>
      </c>
      <c r="L1772" s="8" t="s">
        <v>76</v>
      </c>
      <c r="M1772" s="8" t="s">
        <v>91</v>
      </c>
    </row>
    <row r="1773" spans="1:13" x14ac:dyDescent="0.25">
      <c r="A1773" s="9">
        <v>1736</v>
      </c>
      <c r="B1773" s="10">
        <v>45237</v>
      </c>
      <c r="C1773" s="11" t="s">
        <v>106</v>
      </c>
      <c r="D1773" s="11" t="s">
        <v>83</v>
      </c>
      <c r="E1773" s="11" t="s">
        <v>84</v>
      </c>
      <c r="F1773" s="11" t="s">
        <v>134</v>
      </c>
      <c r="G1773" s="9">
        <v>25</v>
      </c>
      <c r="H1773" s="9">
        <v>10700</v>
      </c>
      <c r="I1773" s="9">
        <v>0</v>
      </c>
      <c r="J1773" s="9">
        <f t="shared" si="54"/>
        <v>267500</v>
      </c>
      <c r="K1773" s="9">
        <f t="shared" si="55"/>
        <v>267500</v>
      </c>
      <c r="L1773" s="11" t="s">
        <v>76</v>
      </c>
      <c r="M1773" s="11" t="s">
        <v>91</v>
      </c>
    </row>
    <row r="1774" spans="1:13" x14ac:dyDescent="0.25">
      <c r="A1774" s="6">
        <v>1737</v>
      </c>
      <c r="B1774" s="7">
        <v>45375</v>
      </c>
      <c r="C1774" s="8" t="s">
        <v>108</v>
      </c>
      <c r="D1774" s="8" t="s">
        <v>73</v>
      </c>
      <c r="E1774" s="8" t="s">
        <v>84</v>
      </c>
      <c r="F1774" s="8" t="s">
        <v>85</v>
      </c>
      <c r="G1774" s="6">
        <v>36</v>
      </c>
      <c r="H1774" s="6">
        <v>5400</v>
      </c>
      <c r="I1774" s="6">
        <v>0</v>
      </c>
      <c r="J1774" s="6">
        <f t="shared" si="54"/>
        <v>194400</v>
      </c>
      <c r="K1774" s="6">
        <f t="shared" si="55"/>
        <v>194400</v>
      </c>
      <c r="L1774" s="8" t="s">
        <v>76</v>
      </c>
      <c r="M1774" s="8" t="s">
        <v>81</v>
      </c>
    </row>
    <row r="1775" spans="1:13" x14ac:dyDescent="0.25">
      <c r="A1775" s="9">
        <v>1738</v>
      </c>
      <c r="B1775" s="10">
        <v>45201</v>
      </c>
      <c r="C1775" s="11" t="s">
        <v>88</v>
      </c>
      <c r="D1775" s="11" t="s">
        <v>93</v>
      </c>
      <c r="E1775" s="11" t="s">
        <v>74</v>
      </c>
      <c r="F1775" s="11" t="s">
        <v>118</v>
      </c>
      <c r="G1775" s="9">
        <v>43</v>
      </c>
      <c r="H1775" s="9">
        <v>27100</v>
      </c>
      <c r="I1775" s="9">
        <v>15</v>
      </c>
      <c r="J1775" s="9">
        <f t="shared" si="54"/>
        <v>1165300</v>
      </c>
      <c r="K1775" s="9">
        <f t="shared" si="55"/>
        <v>990505</v>
      </c>
      <c r="L1775" s="11" t="s">
        <v>76</v>
      </c>
      <c r="M1775" s="11" t="s">
        <v>96</v>
      </c>
    </row>
    <row r="1776" spans="1:13" x14ac:dyDescent="0.25">
      <c r="A1776" s="6">
        <v>1739</v>
      </c>
      <c r="B1776" s="7">
        <v>45340</v>
      </c>
      <c r="C1776" s="8" t="s">
        <v>78</v>
      </c>
      <c r="D1776" s="8" t="s">
        <v>73</v>
      </c>
      <c r="E1776" s="8" t="s">
        <v>102</v>
      </c>
      <c r="F1776" s="8" t="s">
        <v>137</v>
      </c>
      <c r="G1776" s="6">
        <v>19</v>
      </c>
      <c r="H1776" s="6">
        <v>2100</v>
      </c>
      <c r="I1776" s="6">
        <v>20</v>
      </c>
      <c r="J1776" s="6">
        <f t="shared" si="54"/>
        <v>39900</v>
      </c>
      <c r="K1776" s="6">
        <f t="shared" si="55"/>
        <v>31920</v>
      </c>
      <c r="L1776" s="8" t="s">
        <v>76</v>
      </c>
      <c r="M1776" s="8" t="s">
        <v>81</v>
      </c>
    </row>
    <row r="1777" spans="1:13" x14ac:dyDescent="0.25">
      <c r="A1777" s="9">
        <v>1740</v>
      </c>
      <c r="B1777" s="10">
        <v>45611</v>
      </c>
      <c r="C1777" s="11" t="s">
        <v>82</v>
      </c>
      <c r="D1777" s="11" t="s">
        <v>93</v>
      </c>
      <c r="E1777" s="11" t="s">
        <v>102</v>
      </c>
      <c r="F1777" s="11" t="s">
        <v>103</v>
      </c>
      <c r="G1777" s="9">
        <v>34</v>
      </c>
      <c r="H1777" s="9">
        <v>10400</v>
      </c>
      <c r="I1777" s="9">
        <v>0</v>
      </c>
      <c r="J1777" s="9">
        <f t="shared" si="54"/>
        <v>353600</v>
      </c>
      <c r="K1777" s="9">
        <f t="shared" si="55"/>
        <v>353600</v>
      </c>
      <c r="L1777" s="11" t="s">
        <v>164</v>
      </c>
      <c r="M1777" s="11" t="s">
        <v>77</v>
      </c>
    </row>
    <row r="1778" spans="1:13" x14ac:dyDescent="0.25">
      <c r="A1778" s="6">
        <v>1741</v>
      </c>
      <c r="B1778" s="7">
        <v>45633</v>
      </c>
      <c r="C1778" s="8" t="s">
        <v>116</v>
      </c>
      <c r="D1778" s="8" t="s">
        <v>83</v>
      </c>
      <c r="E1778" s="8" t="s">
        <v>102</v>
      </c>
      <c r="F1778" s="8" t="s">
        <v>157</v>
      </c>
      <c r="G1778" s="6">
        <v>13</v>
      </c>
      <c r="H1778" s="6">
        <v>10800</v>
      </c>
      <c r="I1778" s="6">
        <v>15</v>
      </c>
      <c r="J1778" s="6">
        <f t="shared" si="54"/>
        <v>140400</v>
      </c>
      <c r="K1778" s="6">
        <f t="shared" si="55"/>
        <v>119340</v>
      </c>
      <c r="L1778" s="8" t="s">
        <v>76</v>
      </c>
      <c r="M1778" s="8" t="s">
        <v>96</v>
      </c>
    </row>
    <row r="1779" spans="1:13" x14ac:dyDescent="0.25">
      <c r="A1779" s="9">
        <v>1742</v>
      </c>
      <c r="B1779" s="10">
        <v>45362</v>
      </c>
      <c r="C1779" s="11" t="s">
        <v>101</v>
      </c>
      <c r="D1779" s="11" t="s">
        <v>117</v>
      </c>
      <c r="E1779" s="11" t="s">
        <v>102</v>
      </c>
      <c r="F1779" s="11" t="s">
        <v>181</v>
      </c>
      <c r="G1779" s="9">
        <v>43</v>
      </c>
      <c r="H1779" s="9">
        <v>4800</v>
      </c>
      <c r="I1779" s="9">
        <v>0</v>
      </c>
      <c r="J1779" s="9">
        <f t="shared" si="54"/>
        <v>206400</v>
      </c>
      <c r="K1779" s="9">
        <f t="shared" si="55"/>
        <v>206400</v>
      </c>
      <c r="L1779" s="11" t="s">
        <v>86</v>
      </c>
      <c r="M1779" s="11" t="s">
        <v>96</v>
      </c>
    </row>
    <row r="1780" spans="1:13" x14ac:dyDescent="0.25">
      <c r="A1780" s="6">
        <v>1743</v>
      </c>
      <c r="B1780" s="7">
        <v>45316</v>
      </c>
      <c r="C1780" s="8" t="s">
        <v>119</v>
      </c>
      <c r="D1780" s="8" t="s">
        <v>93</v>
      </c>
      <c r="E1780" s="8" t="s">
        <v>84</v>
      </c>
      <c r="F1780" s="8" t="s">
        <v>90</v>
      </c>
      <c r="G1780" s="6">
        <v>22</v>
      </c>
      <c r="H1780" s="6">
        <v>1800</v>
      </c>
      <c r="I1780" s="6">
        <v>10</v>
      </c>
      <c r="J1780" s="6">
        <f t="shared" si="54"/>
        <v>39600</v>
      </c>
      <c r="K1780" s="6">
        <f t="shared" si="55"/>
        <v>35640</v>
      </c>
      <c r="L1780" s="8" t="s">
        <v>76</v>
      </c>
      <c r="M1780" s="8" t="s">
        <v>81</v>
      </c>
    </row>
    <row r="1781" spans="1:13" x14ac:dyDescent="0.25">
      <c r="A1781" s="9">
        <v>1744</v>
      </c>
      <c r="B1781" s="10">
        <v>45268</v>
      </c>
      <c r="C1781" s="11" t="s">
        <v>119</v>
      </c>
      <c r="D1781" s="11" t="s">
        <v>109</v>
      </c>
      <c r="E1781" s="11" t="s">
        <v>111</v>
      </c>
      <c r="F1781" s="11" t="s">
        <v>192</v>
      </c>
      <c r="G1781" s="9">
        <v>7</v>
      </c>
      <c r="H1781" s="9">
        <v>101900</v>
      </c>
      <c r="I1781" s="9">
        <v>0</v>
      </c>
      <c r="J1781" s="9">
        <f t="shared" si="54"/>
        <v>713300</v>
      </c>
      <c r="K1781" s="9">
        <f t="shared" si="55"/>
        <v>713300</v>
      </c>
      <c r="L1781" s="11" t="s">
        <v>174</v>
      </c>
      <c r="M1781" s="11" t="s">
        <v>81</v>
      </c>
    </row>
    <row r="1782" spans="1:13" x14ac:dyDescent="0.25">
      <c r="A1782" s="6">
        <v>1745</v>
      </c>
      <c r="B1782" s="7">
        <v>45347</v>
      </c>
      <c r="C1782" s="8" t="s">
        <v>78</v>
      </c>
      <c r="D1782" s="8" t="s">
        <v>109</v>
      </c>
      <c r="E1782" s="8" t="s">
        <v>111</v>
      </c>
      <c r="F1782" s="8" t="s">
        <v>165</v>
      </c>
      <c r="G1782" s="6">
        <v>48</v>
      </c>
      <c r="H1782" s="6">
        <v>18600</v>
      </c>
      <c r="I1782" s="6">
        <v>15</v>
      </c>
      <c r="J1782" s="6">
        <f t="shared" si="54"/>
        <v>892800</v>
      </c>
      <c r="K1782" s="6">
        <f t="shared" si="55"/>
        <v>758880</v>
      </c>
      <c r="L1782" s="8" t="s">
        <v>76</v>
      </c>
      <c r="M1782" s="8" t="s">
        <v>91</v>
      </c>
    </row>
    <row r="1783" spans="1:13" x14ac:dyDescent="0.25">
      <c r="A1783" s="9">
        <v>1746</v>
      </c>
      <c r="B1783" s="10">
        <v>45065</v>
      </c>
      <c r="C1783" s="11" t="s">
        <v>328</v>
      </c>
      <c r="D1783" s="11" t="s">
        <v>109</v>
      </c>
      <c r="E1783" s="11" t="s">
        <v>84</v>
      </c>
      <c r="F1783" s="11" t="s">
        <v>200</v>
      </c>
      <c r="G1783" s="9">
        <v>17</v>
      </c>
      <c r="H1783" s="9">
        <v>3000</v>
      </c>
      <c r="I1783" s="9">
        <v>0</v>
      </c>
      <c r="J1783" s="9">
        <f t="shared" si="54"/>
        <v>51000</v>
      </c>
      <c r="K1783" s="9">
        <f t="shared" si="55"/>
        <v>51000</v>
      </c>
      <c r="L1783" s="11" t="s">
        <v>76</v>
      </c>
      <c r="M1783" s="11" t="s">
        <v>91</v>
      </c>
    </row>
    <row r="1784" spans="1:13" x14ac:dyDescent="0.25">
      <c r="A1784" s="6">
        <v>1747</v>
      </c>
      <c r="B1784" s="7">
        <v>45214</v>
      </c>
      <c r="C1784" s="8" t="s">
        <v>124</v>
      </c>
      <c r="D1784" s="8" t="s">
        <v>83</v>
      </c>
      <c r="E1784" s="8" t="s">
        <v>84</v>
      </c>
      <c r="F1784" s="8" t="s">
        <v>150</v>
      </c>
      <c r="G1784" s="6">
        <v>16</v>
      </c>
      <c r="H1784" s="6">
        <v>5400</v>
      </c>
      <c r="I1784" s="6">
        <v>20</v>
      </c>
      <c r="J1784" s="6">
        <f t="shared" si="54"/>
        <v>86400</v>
      </c>
      <c r="K1784" s="6">
        <f t="shared" si="55"/>
        <v>69120</v>
      </c>
      <c r="L1784" s="8" t="s">
        <v>76</v>
      </c>
      <c r="M1784" s="8" t="s">
        <v>77</v>
      </c>
    </row>
    <row r="1785" spans="1:13" x14ac:dyDescent="0.25">
      <c r="A1785" s="9">
        <v>1748</v>
      </c>
      <c r="B1785" s="10">
        <v>45183</v>
      </c>
      <c r="C1785" s="11" t="s">
        <v>124</v>
      </c>
      <c r="D1785" s="11" t="s">
        <v>284</v>
      </c>
      <c r="E1785" s="11" t="s">
        <v>84</v>
      </c>
      <c r="F1785" s="11" t="s">
        <v>206</v>
      </c>
      <c r="G1785" s="9">
        <v>18</v>
      </c>
      <c r="H1785" s="9" t="s">
        <v>612</v>
      </c>
      <c r="I1785" s="9">
        <v>20</v>
      </c>
      <c r="J1785" s="9">
        <f t="shared" si="54"/>
        <v>257400</v>
      </c>
      <c r="K1785" s="9">
        <f t="shared" si="55"/>
        <v>205920</v>
      </c>
      <c r="L1785" s="11" t="s">
        <v>76</v>
      </c>
      <c r="M1785" s="11"/>
    </row>
    <row r="1786" spans="1:13" x14ac:dyDescent="0.25">
      <c r="A1786" s="6">
        <v>1749</v>
      </c>
      <c r="B1786" s="7">
        <v>45428</v>
      </c>
      <c r="C1786" s="8" t="s">
        <v>455</v>
      </c>
      <c r="D1786" s="8" t="s">
        <v>83</v>
      </c>
      <c r="E1786" s="8" t="s">
        <v>74</v>
      </c>
      <c r="F1786" s="8" t="s">
        <v>118</v>
      </c>
      <c r="G1786" s="6">
        <v>38</v>
      </c>
      <c r="H1786" s="6">
        <v>25800</v>
      </c>
      <c r="I1786" s="6">
        <v>0</v>
      </c>
      <c r="J1786" s="6">
        <f t="shared" si="54"/>
        <v>980400</v>
      </c>
      <c r="K1786" s="6">
        <f t="shared" si="55"/>
        <v>980400</v>
      </c>
      <c r="L1786" s="8" t="s">
        <v>76</v>
      </c>
      <c r="M1786" s="8" t="s">
        <v>96</v>
      </c>
    </row>
    <row r="1787" spans="1:13" x14ac:dyDescent="0.25">
      <c r="A1787" s="9">
        <v>1750</v>
      </c>
      <c r="B1787" s="11" t="s">
        <v>613</v>
      </c>
      <c r="C1787" s="11" t="s">
        <v>88</v>
      </c>
      <c r="D1787" s="11" t="s">
        <v>117</v>
      </c>
      <c r="E1787" s="11" t="s">
        <v>111</v>
      </c>
      <c r="F1787" s="11" t="s">
        <v>166</v>
      </c>
      <c r="G1787" s="9">
        <v>7</v>
      </c>
      <c r="H1787" s="9">
        <v>25400</v>
      </c>
      <c r="I1787" s="9">
        <v>15</v>
      </c>
      <c r="J1787" s="9">
        <f t="shared" si="54"/>
        <v>177800</v>
      </c>
      <c r="K1787" s="9">
        <f t="shared" si="55"/>
        <v>151130</v>
      </c>
      <c r="L1787" s="11" t="s">
        <v>125</v>
      </c>
      <c r="M1787" s="11" t="s">
        <v>77</v>
      </c>
    </row>
    <row r="1788" spans="1:13" x14ac:dyDescent="0.25">
      <c r="A1788" s="6">
        <v>1751</v>
      </c>
      <c r="B1788" s="7">
        <v>45208</v>
      </c>
      <c r="C1788" s="8" t="s">
        <v>106</v>
      </c>
      <c r="D1788" s="8" t="s">
        <v>109</v>
      </c>
      <c r="E1788" s="8" t="s">
        <v>84</v>
      </c>
      <c r="F1788" s="8" t="s">
        <v>90</v>
      </c>
      <c r="G1788" s="6">
        <v>47</v>
      </c>
      <c r="H1788" s="6">
        <v>2000</v>
      </c>
      <c r="I1788" s="6">
        <v>0</v>
      </c>
      <c r="J1788" s="6">
        <f t="shared" si="54"/>
        <v>94000</v>
      </c>
      <c r="K1788" s="6">
        <f t="shared" si="55"/>
        <v>94000</v>
      </c>
      <c r="L1788" s="8" t="s">
        <v>76</v>
      </c>
      <c r="M1788" s="8" t="s">
        <v>81</v>
      </c>
    </row>
    <row r="1789" spans="1:13" x14ac:dyDescent="0.25">
      <c r="A1789" s="9">
        <v>1752</v>
      </c>
      <c r="B1789" s="11" t="s">
        <v>614</v>
      </c>
      <c r="C1789" s="11" t="s">
        <v>101</v>
      </c>
      <c r="D1789" s="11" t="s">
        <v>83</v>
      </c>
      <c r="E1789" s="11" t="s">
        <v>79</v>
      </c>
      <c r="F1789" s="11" t="s">
        <v>172</v>
      </c>
      <c r="G1789" s="9">
        <v>9</v>
      </c>
      <c r="H1789" s="9">
        <v>23900</v>
      </c>
      <c r="I1789" s="9">
        <v>0</v>
      </c>
      <c r="J1789" s="9">
        <f t="shared" si="54"/>
        <v>215100</v>
      </c>
      <c r="K1789" s="9">
        <f t="shared" si="55"/>
        <v>215100</v>
      </c>
      <c r="L1789" s="11" t="s">
        <v>76</v>
      </c>
      <c r="M1789" s="11" t="s">
        <v>81</v>
      </c>
    </row>
    <row r="1790" spans="1:13" x14ac:dyDescent="0.25">
      <c r="A1790" s="6">
        <v>1753</v>
      </c>
      <c r="B1790" s="7">
        <v>45569</v>
      </c>
      <c r="C1790" s="8" t="s">
        <v>101</v>
      </c>
      <c r="D1790" s="8" t="s">
        <v>83</v>
      </c>
      <c r="E1790" s="8" t="s">
        <v>84</v>
      </c>
      <c r="F1790" s="8" t="s">
        <v>150</v>
      </c>
      <c r="G1790" s="6">
        <v>11</v>
      </c>
      <c r="H1790" s="6">
        <v>6100</v>
      </c>
      <c r="I1790" s="6">
        <v>0</v>
      </c>
      <c r="J1790" s="6">
        <f t="shared" si="54"/>
        <v>67100</v>
      </c>
      <c r="K1790" s="6">
        <f t="shared" si="55"/>
        <v>67100</v>
      </c>
      <c r="L1790" s="8" t="s">
        <v>76</v>
      </c>
      <c r="M1790" s="8" t="s">
        <v>77</v>
      </c>
    </row>
    <row r="1791" spans="1:13" x14ac:dyDescent="0.25">
      <c r="A1791" s="9">
        <v>1754</v>
      </c>
      <c r="B1791" s="11" t="s">
        <v>615</v>
      </c>
      <c r="C1791" s="11" t="s">
        <v>78</v>
      </c>
      <c r="D1791" s="11" t="s">
        <v>93</v>
      </c>
      <c r="E1791" s="11" t="s">
        <v>84</v>
      </c>
      <c r="F1791" s="11" t="s">
        <v>148</v>
      </c>
      <c r="G1791" s="9">
        <v>49</v>
      </c>
      <c r="H1791" s="9">
        <v>4500</v>
      </c>
      <c r="I1791" s="9">
        <v>0</v>
      </c>
      <c r="J1791" s="9">
        <f t="shared" si="54"/>
        <v>220500</v>
      </c>
      <c r="K1791" s="9">
        <f t="shared" si="55"/>
        <v>220500</v>
      </c>
      <c r="L1791" s="11" t="s">
        <v>76</v>
      </c>
      <c r="M1791" s="11" t="s">
        <v>77</v>
      </c>
    </row>
    <row r="1792" spans="1:13" x14ac:dyDescent="0.25">
      <c r="A1792" s="6">
        <v>295</v>
      </c>
      <c r="B1792" s="7">
        <v>45114</v>
      </c>
      <c r="C1792" s="8" t="s">
        <v>88</v>
      </c>
      <c r="D1792" s="8" t="s">
        <v>109</v>
      </c>
      <c r="E1792" s="8" t="s">
        <v>102</v>
      </c>
      <c r="F1792" s="8" t="s">
        <v>151</v>
      </c>
      <c r="G1792" s="6">
        <v>9</v>
      </c>
      <c r="H1792" s="6">
        <v>7500</v>
      </c>
      <c r="I1792" s="6">
        <v>0</v>
      </c>
      <c r="J1792" s="6">
        <f t="shared" si="54"/>
        <v>67500</v>
      </c>
      <c r="K1792" s="6">
        <f t="shared" si="55"/>
        <v>67500</v>
      </c>
      <c r="L1792" s="8" t="s">
        <v>76</v>
      </c>
      <c r="M1792" s="8" t="s">
        <v>91</v>
      </c>
    </row>
    <row r="1793" spans="1:13" x14ac:dyDescent="0.25">
      <c r="A1793" s="9">
        <v>1755</v>
      </c>
      <c r="B1793" s="10">
        <v>45352</v>
      </c>
      <c r="C1793" s="11" t="s">
        <v>97</v>
      </c>
      <c r="D1793" s="11" t="s">
        <v>83</v>
      </c>
      <c r="E1793" s="11" t="s">
        <v>84</v>
      </c>
      <c r="F1793" s="11" t="s">
        <v>128</v>
      </c>
      <c r="G1793" s="9">
        <v>34</v>
      </c>
      <c r="H1793" s="9">
        <v>4100</v>
      </c>
      <c r="I1793" s="9">
        <v>5</v>
      </c>
      <c r="J1793" s="9">
        <f t="shared" si="54"/>
        <v>139400</v>
      </c>
      <c r="K1793" s="9">
        <f t="shared" si="55"/>
        <v>132430</v>
      </c>
      <c r="L1793" s="11" t="s">
        <v>250</v>
      </c>
      <c r="M1793" s="11" t="s">
        <v>96</v>
      </c>
    </row>
    <row r="1794" spans="1:13" x14ac:dyDescent="0.25">
      <c r="A1794" s="6">
        <v>1756</v>
      </c>
      <c r="B1794" s="7">
        <v>45088</v>
      </c>
      <c r="C1794" s="8" t="s">
        <v>124</v>
      </c>
      <c r="D1794" s="8" t="s">
        <v>93</v>
      </c>
      <c r="E1794" s="8" t="s">
        <v>102</v>
      </c>
      <c r="F1794" s="8" t="s">
        <v>181</v>
      </c>
      <c r="G1794" s="6">
        <v>28</v>
      </c>
      <c r="H1794" s="6">
        <v>5100</v>
      </c>
      <c r="I1794" s="6">
        <v>0</v>
      </c>
      <c r="J1794" s="6">
        <f t="shared" ref="J1794:J1857" si="56">G1794*H1794</f>
        <v>142800</v>
      </c>
      <c r="K1794" s="6">
        <f t="shared" ref="K1794:K1857" si="57">J1794*(1-I1794/100)</f>
        <v>142800</v>
      </c>
      <c r="L1794" s="8" t="s">
        <v>76</v>
      </c>
      <c r="M1794" s="8" t="s">
        <v>91</v>
      </c>
    </row>
    <row r="1795" spans="1:13" x14ac:dyDescent="0.25">
      <c r="A1795" s="9">
        <v>1757</v>
      </c>
      <c r="B1795" s="10">
        <v>45250</v>
      </c>
      <c r="C1795" s="11" t="s">
        <v>101</v>
      </c>
      <c r="D1795" s="11" t="s">
        <v>93</v>
      </c>
      <c r="E1795" s="11" t="s">
        <v>84</v>
      </c>
      <c r="F1795" s="11" t="s">
        <v>206</v>
      </c>
      <c r="G1795" s="9">
        <v>19</v>
      </c>
      <c r="H1795" s="9">
        <v>13300</v>
      </c>
      <c r="I1795" s="9">
        <v>0</v>
      </c>
      <c r="J1795" s="9">
        <f t="shared" si="56"/>
        <v>252700</v>
      </c>
      <c r="K1795" s="9">
        <f t="shared" si="57"/>
        <v>252700</v>
      </c>
      <c r="L1795" s="11" t="s">
        <v>76</v>
      </c>
      <c r="M1795" s="11" t="s">
        <v>91</v>
      </c>
    </row>
    <row r="1796" spans="1:13" x14ac:dyDescent="0.25">
      <c r="A1796" s="6">
        <v>1758</v>
      </c>
      <c r="B1796" s="7">
        <v>45522</v>
      </c>
      <c r="C1796" s="8" t="s">
        <v>97</v>
      </c>
      <c r="D1796" s="8" t="s">
        <v>109</v>
      </c>
      <c r="E1796" s="8" t="s">
        <v>79</v>
      </c>
      <c r="F1796" s="8" t="s">
        <v>80</v>
      </c>
      <c r="G1796" s="6">
        <v>35</v>
      </c>
      <c r="H1796" s="6">
        <v>9200</v>
      </c>
      <c r="I1796" s="6">
        <v>10</v>
      </c>
      <c r="J1796" s="6">
        <f t="shared" si="56"/>
        <v>322000</v>
      </c>
      <c r="K1796" s="6">
        <f t="shared" si="57"/>
        <v>289800</v>
      </c>
      <c r="L1796" s="8" t="s">
        <v>125</v>
      </c>
      <c r="M1796" s="8" t="s">
        <v>77</v>
      </c>
    </row>
    <row r="1797" spans="1:13" x14ac:dyDescent="0.25">
      <c r="A1797" s="9">
        <v>1759</v>
      </c>
      <c r="B1797" s="10">
        <v>45417</v>
      </c>
      <c r="C1797" s="11" t="s">
        <v>223</v>
      </c>
      <c r="D1797" s="11" t="s">
        <v>93</v>
      </c>
      <c r="E1797" s="11" t="s">
        <v>84</v>
      </c>
      <c r="F1797" s="11" t="s">
        <v>206</v>
      </c>
      <c r="G1797" s="9">
        <v>35</v>
      </c>
      <c r="H1797" s="9">
        <v>14400</v>
      </c>
      <c r="I1797" s="9">
        <v>0</v>
      </c>
      <c r="J1797" s="9">
        <f t="shared" si="56"/>
        <v>504000</v>
      </c>
      <c r="K1797" s="9">
        <f t="shared" si="57"/>
        <v>504000</v>
      </c>
      <c r="L1797" s="11" t="s">
        <v>107</v>
      </c>
      <c r="M1797" s="11" t="s">
        <v>81</v>
      </c>
    </row>
    <row r="1798" spans="1:13" x14ac:dyDescent="0.25">
      <c r="A1798" s="6">
        <v>1760</v>
      </c>
      <c r="B1798" s="7">
        <v>44978</v>
      </c>
      <c r="C1798" s="8" t="s">
        <v>82</v>
      </c>
      <c r="D1798" s="8" t="s">
        <v>93</v>
      </c>
      <c r="E1798" s="8" t="s">
        <v>102</v>
      </c>
      <c r="F1798" s="8" t="s">
        <v>137</v>
      </c>
      <c r="G1798" s="6">
        <v>36</v>
      </c>
      <c r="H1798" s="6">
        <v>2100</v>
      </c>
      <c r="I1798" s="6">
        <v>0</v>
      </c>
      <c r="J1798" s="6">
        <f t="shared" si="56"/>
        <v>75600</v>
      </c>
      <c r="K1798" s="6">
        <f t="shared" si="57"/>
        <v>75600</v>
      </c>
      <c r="L1798" s="8" t="s">
        <v>76</v>
      </c>
      <c r="M1798" s="8" t="s">
        <v>77</v>
      </c>
    </row>
    <row r="1799" spans="1:13" x14ac:dyDescent="0.25">
      <c r="A1799" s="9">
        <v>1761</v>
      </c>
      <c r="B1799" s="10">
        <v>45194</v>
      </c>
      <c r="C1799" s="11" t="s">
        <v>88</v>
      </c>
      <c r="D1799" s="11" t="s">
        <v>93</v>
      </c>
      <c r="E1799" s="11" t="s">
        <v>84</v>
      </c>
      <c r="F1799" s="11" t="s">
        <v>128</v>
      </c>
      <c r="G1799" s="9">
        <v>32</v>
      </c>
      <c r="H1799" s="9">
        <v>3800</v>
      </c>
      <c r="I1799" s="9">
        <v>0</v>
      </c>
      <c r="J1799" s="9">
        <f t="shared" si="56"/>
        <v>121600</v>
      </c>
      <c r="K1799" s="9">
        <f t="shared" si="57"/>
        <v>121600</v>
      </c>
      <c r="L1799" s="11" t="s">
        <v>107</v>
      </c>
      <c r="M1799" s="11" t="s">
        <v>81</v>
      </c>
    </row>
    <row r="1800" spans="1:13" x14ac:dyDescent="0.25">
      <c r="A1800" s="6">
        <v>1762</v>
      </c>
      <c r="B1800" s="7">
        <v>45152</v>
      </c>
      <c r="C1800" s="8" t="s">
        <v>97</v>
      </c>
      <c r="D1800" s="8" t="s">
        <v>93</v>
      </c>
      <c r="E1800" s="8" t="s">
        <v>84</v>
      </c>
      <c r="F1800" s="8" t="s">
        <v>85</v>
      </c>
      <c r="G1800" s="6">
        <v>47</v>
      </c>
      <c r="H1800" s="6">
        <v>5000</v>
      </c>
      <c r="I1800" s="6">
        <v>15</v>
      </c>
      <c r="J1800" s="6">
        <f t="shared" si="56"/>
        <v>235000</v>
      </c>
      <c r="K1800" s="6">
        <f t="shared" si="57"/>
        <v>199750</v>
      </c>
      <c r="L1800" s="8" t="s">
        <v>76</v>
      </c>
      <c r="M1800" s="8" t="s">
        <v>77</v>
      </c>
    </row>
    <row r="1801" spans="1:13" x14ac:dyDescent="0.25">
      <c r="A1801" s="9">
        <v>1763</v>
      </c>
      <c r="B1801" s="10">
        <v>45256</v>
      </c>
      <c r="C1801" s="11" t="s">
        <v>119</v>
      </c>
      <c r="D1801" s="11" t="s">
        <v>178</v>
      </c>
      <c r="E1801" s="11" t="s">
        <v>74</v>
      </c>
      <c r="F1801" s="11" t="s">
        <v>212</v>
      </c>
      <c r="G1801" s="9">
        <v>49</v>
      </c>
      <c r="H1801" s="9">
        <v>7300</v>
      </c>
      <c r="I1801" s="9">
        <v>20</v>
      </c>
      <c r="J1801" s="9">
        <f t="shared" si="56"/>
        <v>357700</v>
      </c>
      <c r="K1801" s="9">
        <f t="shared" si="57"/>
        <v>286160</v>
      </c>
      <c r="L1801" s="11" t="s">
        <v>76</v>
      </c>
      <c r="M1801" s="11" t="s">
        <v>77</v>
      </c>
    </row>
    <row r="1802" spans="1:13" x14ac:dyDescent="0.25">
      <c r="A1802" s="6">
        <v>1764</v>
      </c>
      <c r="B1802" s="7">
        <v>45607</v>
      </c>
      <c r="C1802" s="8" t="s">
        <v>78</v>
      </c>
      <c r="D1802" s="8" t="s">
        <v>73</v>
      </c>
      <c r="E1802" s="8" t="s">
        <v>79</v>
      </c>
      <c r="F1802" s="8" t="s">
        <v>120</v>
      </c>
      <c r="G1802" s="6">
        <v>48</v>
      </c>
      <c r="H1802" s="6">
        <v>5600</v>
      </c>
      <c r="I1802" s="6">
        <v>0</v>
      </c>
      <c r="J1802" s="6">
        <f t="shared" si="56"/>
        <v>268800</v>
      </c>
      <c r="K1802" s="6">
        <f t="shared" si="57"/>
        <v>268800</v>
      </c>
      <c r="L1802" s="8" t="s">
        <v>264</v>
      </c>
      <c r="M1802" s="8" t="s">
        <v>77</v>
      </c>
    </row>
    <row r="1803" spans="1:13" x14ac:dyDescent="0.25">
      <c r="A1803" s="9">
        <v>1765</v>
      </c>
      <c r="B1803" s="10">
        <v>45631</v>
      </c>
      <c r="C1803" s="11" t="s">
        <v>106</v>
      </c>
      <c r="D1803" s="11" t="s">
        <v>266</v>
      </c>
      <c r="E1803" s="11" t="s">
        <v>79</v>
      </c>
      <c r="F1803" s="11" t="s">
        <v>172</v>
      </c>
      <c r="G1803" s="9">
        <v>35</v>
      </c>
      <c r="H1803" s="9">
        <v>27400</v>
      </c>
      <c r="I1803" s="9">
        <v>20</v>
      </c>
      <c r="J1803" s="9">
        <f t="shared" si="56"/>
        <v>959000</v>
      </c>
      <c r="K1803" s="9">
        <f t="shared" si="57"/>
        <v>767200</v>
      </c>
      <c r="L1803" s="11" t="s">
        <v>76</v>
      </c>
      <c r="M1803" s="11" t="s">
        <v>77</v>
      </c>
    </row>
    <row r="1804" spans="1:13" x14ac:dyDescent="0.25">
      <c r="A1804" s="6">
        <v>1766</v>
      </c>
      <c r="B1804" s="7">
        <v>45572</v>
      </c>
      <c r="C1804" s="8" t="s">
        <v>124</v>
      </c>
      <c r="D1804" s="8" t="s">
        <v>73</v>
      </c>
      <c r="E1804" s="8" t="s">
        <v>84</v>
      </c>
      <c r="F1804" s="8" t="s">
        <v>200</v>
      </c>
      <c r="G1804" s="6">
        <v>44</v>
      </c>
      <c r="H1804" s="6">
        <v>3100</v>
      </c>
      <c r="I1804" s="6">
        <v>20</v>
      </c>
      <c r="J1804" s="6">
        <f t="shared" si="56"/>
        <v>136400</v>
      </c>
      <c r="K1804" s="6">
        <f t="shared" si="57"/>
        <v>109120</v>
      </c>
      <c r="L1804" s="8" t="s">
        <v>76</v>
      </c>
      <c r="M1804" s="8" t="s">
        <v>96</v>
      </c>
    </row>
    <row r="1805" spans="1:13" x14ac:dyDescent="0.25">
      <c r="A1805" s="9">
        <v>1767</v>
      </c>
      <c r="B1805" s="10">
        <v>45226</v>
      </c>
      <c r="C1805" s="11" t="s">
        <v>101</v>
      </c>
      <c r="D1805" s="11" t="s">
        <v>109</v>
      </c>
      <c r="E1805" s="11" t="s">
        <v>79</v>
      </c>
      <c r="F1805" s="11" t="s">
        <v>122</v>
      </c>
      <c r="G1805" s="9">
        <v>37</v>
      </c>
      <c r="H1805" s="9">
        <v>18900</v>
      </c>
      <c r="I1805" s="9">
        <v>5</v>
      </c>
      <c r="J1805" s="9">
        <f t="shared" si="56"/>
        <v>699300</v>
      </c>
      <c r="K1805" s="9">
        <f t="shared" si="57"/>
        <v>664335</v>
      </c>
      <c r="L1805" s="11" t="s">
        <v>76</v>
      </c>
      <c r="M1805" s="11" t="s">
        <v>96</v>
      </c>
    </row>
    <row r="1806" spans="1:13" x14ac:dyDescent="0.25">
      <c r="A1806" s="6">
        <v>1768</v>
      </c>
      <c r="B1806" s="7">
        <v>45461</v>
      </c>
      <c r="C1806" s="8" t="s">
        <v>97</v>
      </c>
      <c r="D1806" s="8" t="s">
        <v>109</v>
      </c>
      <c r="E1806" s="8" t="s">
        <v>84</v>
      </c>
      <c r="F1806" s="8" t="s">
        <v>134</v>
      </c>
      <c r="G1806" s="6">
        <v>3</v>
      </c>
      <c r="H1806" s="6">
        <v>9800</v>
      </c>
      <c r="I1806" s="6">
        <v>0</v>
      </c>
      <c r="J1806" s="6">
        <f t="shared" si="56"/>
        <v>29400</v>
      </c>
      <c r="K1806" s="6">
        <f t="shared" si="57"/>
        <v>29400</v>
      </c>
      <c r="L1806" s="8" t="s">
        <v>76</v>
      </c>
      <c r="M1806" s="8" t="s">
        <v>91</v>
      </c>
    </row>
    <row r="1807" spans="1:13" x14ac:dyDescent="0.25">
      <c r="A1807" s="9">
        <v>1769</v>
      </c>
      <c r="B1807" s="10">
        <v>45446</v>
      </c>
      <c r="C1807" s="11" t="s">
        <v>114</v>
      </c>
      <c r="D1807" s="11" t="s">
        <v>83</v>
      </c>
      <c r="E1807" s="11" t="s">
        <v>79</v>
      </c>
      <c r="F1807" s="11" t="s">
        <v>136</v>
      </c>
      <c r="G1807" s="9">
        <v>1</v>
      </c>
      <c r="H1807" s="9">
        <v>89200</v>
      </c>
      <c r="I1807" s="9">
        <v>5</v>
      </c>
      <c r="J1807" s="9">
        <f t="shared" si="56"/>
        <v>89200</v>
      </c>
      <c r="K1807" s="9">
        <f t="shared" si="57"/>
        <v>84740</v>
      </c>
      <c r="L1807" s="11" t="s">
        <v>86</v>
      </c>
      <c r="M1807" s="11" t="s">
        <v>81</v>
      </c>
    </row>
    <row r="1808" spans="1:13" x14ac:dyDescent="0.25">
      <c r="A1808" s="6">
        <v>1770</v>
      </c>
      <c r="B1808" s="7">
        <v>45280</v>
      </c>
      <c r="C1808" s="8" t="s">
        <v>88</v>
      </c>
      <c r="D1808" s="8" t="s">
        <v>73</v>
      </c>
      <c r="E1808" s="8" t="s">
        <v>74</v>
      </c>
      <c r="F1808" s="8" t="s">
        <v>190</v>
      </c>
      <c r="G1808" s="6">
        <v>26</v>
      </c>
      <c r="H1808" s="6">
        <v>33000</v>
      </c>
      <c r="I1808" s="6">
        <v>0</v>
      </c>
      <c r="J1808" s="6">
        <f t="shared" si="56"/>
        <v>858000</v>
      </c>
      <c r="K1808" s="6">
        <f t="shared" si="57"/>
        <v>858000</v>
      </c>
      <c r="L1808" s="8" t="s">
        <v>76</v>
      </c>
      <c r="M1808" s="8" t="s">
        <v>77</v>
      </c>
    </row>
    <row r="1809" spans="1:13" x14ac:dyDescent="0.25">
      <c r="A1809" s="9">
        <v>1771</v>
      </c>
      <c r="B1809" s="10">
        <v>45349</v>
      </c>
      <c r="C1809" s="11" t="s">
        <v>108</v>
      </c>
      <c r="D1809" s="11" t="s">
        <v>117</v>
      </c>
      <c r="E1809" s="11" t="s">
        <v>102</v>
      </c>
      <c r="F1809" s="11" t="s">
        <v>181</v>
      </c>
      <c r="G1809" s="9">
        <v>24</v>
      </c>
      <c r="H1809" s="9">
        <v>5200</v>
      </c>
      <c r="I1809" s="9">
        <v>0</v>
      </c>
      <c r="J1809" s="9">
        <f t="shared" si="56"/>
        <v>124800</v>
      </c>
      <c r="K1809" s="9">
        <f t="shared" si="57"/>
        <v>124800</v>
      </c>
      <c r="L1809" s="11" t="s">
        <v>86</v>
      </c>
      <c r="M1809" s="11" t="s">
        <v>96</v>
      </c>
    </row>
    <row r="1810" spans="1:13" x14ac:dyDescent="0.25">
      <c r="A1810" s="6">
        <v>1772</v>
      </c>
      <c r="B1810" s="7">
        <v>45101</v>
      </c>
      <c r="C1810" s="8" t="s">
        <v>124</v>
      </c>
      <c r="D1810" s="8" t="s">
        <v>83</v>
      </c>
      <c r="E1810" s="8" t="s">
        <v>79</v>
      </c>
      <c r="F1810" s="8" t="s">
        <v>136</v>
      </c>
      <c r="G1810" s="6">
        <v>4</v>
      </c>
      <c r="H1810" s="6">
        <v>89800</v>
      </c>
      <c r="I1810" s="6">
        <v>5</v>
      </c>
      <c r="J1810" s="6">
        <f t="shared" si="56"/>
        <v>359200</v>
      </c>
      <c r="K1810" s="6">
        <f t="shared" si="57"/>
        <v>341240</v>
      </c>
      <c r="L1810" s="8" t="s">
        <v>76</v>
      </c>
      <c r="M1810" s="8" t="s">
        <v>81</v>
      </c>
    </row>
    <row r="1811" spans="1:13" x14ac:dyDescent="0.25">
      <c r="A1811" s="9">
        <v>1773</v>
      </c>
      <c r="B1811" s="10">
        <v>45543</v>
      </c>
      <c r="C1811" s="11" t="s">
        <v>124</v>
      </c>
      <c r="D1811" s="11" t="s">
        <v>93</v>
      </c>
      <c r="E1811" s="11" t="s">
        <v>111</v>
      </c>
      <c r="F1811" s="11" t="s">
        <v>132</v>
      </c>
      <c r="G1811" s="9">
        <v>2</v>
      </c>
      <c r="H1811" s="9">
        <v>8200</v>
      </c>
      <c r="I1811" s="9">
        <v>0</v>
      </c>
      <c r="J1811" s="9">
        <f t="shared" si="56"/>
        <v>16400</v>
      </c>
      <c r="K1811" s="9">
        <f t="shared" si="57"/>
        <v>16400</v>
      </c>
      <c r="L1811" s="11" t="s">
        <v>86</v>
      </c>
      <c r="M1811" s="11" t="s">
        <v>81</v>
      </c>
    </row>
    <row r="1812" spans="1:13" x14ac:dyDescent="0.25">
      <c r="A1812" s="6">
        <v>1774</v>
      </c>
      <c r="B1812" s="8" t="s">
        <v>616</v>
      </c>
      <c r="C1812" s="8" t="s">
        <v>78</v>
      </c>
      <c r="D1812" s="8" t="s">
        <v>117</v>
      </c>
      <c r="E1812" s="8" t="s">
        <v>79</v>
      </c>
      <c r="F1812" s="8" t="s">
        <v>131</v>
      </c>
      <c r="G1812" s="6">
        <v>17</v>
      </c>
      <c r="H1812" s="6">
        <v>134000</v>
      </c>
      <c r="I1812" s="6">
        <v>10</v>
      </c>
      <c r="J1812" s="6">
        <f t="shared" si="56"/>
        <v>2278000</v>
      </c>
      <c r="K1812" s="6">
        <f t="shared" si="57"/>
        <v>2050200</v>
      </c>
      <c r="L1812" s="8" t="s">
        <v>86</v>
      </c>
      <c r="M1812" s="8" t="s">
        <v>77</v>
      </c>
    </row>
    <row r="1813" spans="1:13" x14ac:dyDescent="0.25">
      <c r="A1813" s="9">
        <v>1775</v>
      </c>
      <c r="B1813" s="10">
        <v>45468</v>
      </c>
      <c r="C1813" s="11" t="s">
        <v>78</v>
      </c>
      <c r="D1813" s="11" t="s">
        <v>117</v>
      </c>
      <c r="E1813" s="11" t="s">
        <v>74</v>
      </c>
      <c r="F1813" s="11" t="s">
        <v>142</v>
      </c>
      <c r="G1813" s="9">
        <v>31</v>
      </c>
      <c r="H1813" s="9">
        <v>12400</v>
      </c>
      <c r="I1813" s="9">
        <v>10</v>
      </c>
      <c r="J1813" s="9">
        <f t="shared" si="56"/>
        <v>384400</v>
      </c>
      <c r="K1813" s="9">
        <f t="shared" si="57"/>
        <v>345960</v>
      </c>
      <c r="L1813" s="11" t="s">
        <v>76</v>
      </c>
      <c r="M1813" s="11" t="s">
        <v>81</v>
      </c>
    </row>
    <row r="1814" spans="1:13" x14ac:dyDescent="0.25">
      <c r="A1814" s="6">
        <v>159</v>
      </c>
      <c r="B1814" s="7">
        <v>45613</v>
      </c>
      <c r="C1814" s="8" t="s">
        <v>114</v>
      </c>
      <c r="D1814" s="8" t="s">
        <v>93</v>
      </c>
      <c r="E1814" s="8" t="s">
        <v>74</v>
      </c>
      <c r="F1814" s="8" t="s">
        <v>94</v>
      </c>
      <c r="G1814" s="6">
        <v>12</v>
      </c>
      <c r="H1814" s="6">
        <v>34700</v>
      </c>
      <c r="I1814" s="6">
        <v>20</v>
      </c>
      <c r="J1814" s="6">
        <f t="shared" si="56"/>
        <v>416400</v>
      </c>
      <c r="K1814" s="6">
        <f t="shared" si="57"/>
        <v>333120</v>
      </c>
      <c r="L1814" s="8" t="s">
        <v>125</v>
      </c>
      <c r="M1814" s="8" t="s">
        <v>96</v>
      </c>
    </row>
    <row r="1815" spans="1:13" x14ac:dyDescent="0.25">
      <c r="A1815" s="9">
        <v>1776</v>
      </c>
      <c r="B1815" s="10">
        <v>45125</v>
      </c>
      <c r="C1815" s="11" t="s">
        <v>114</v>
      </c>
      <c r="D1815" s="11" t="s">
        <v>109</v>
      </c>
      <c r="E1815" s="11" t="s">
        <v>102</v>
      </c>
      <c r="F1815" s="11" t="s">
        <v>137</v>
      </c>
      <c r="G1815" s="9">
        <v>16</v>
      </c>
      <c r="H1815" s="9">
        <v>2200</v>
      </c>
      <c r="I1815" s="9">
        <v>0</v>
      </c>
      <c r="J1815" s="9">
        <f t="shared" si="56"/>
        <v>35200</v>
      </c>
      <c r="K1815" s="9">
        <f t="shared" si="57"/>
        <v>35200</v>
      </c>
      <c r="L1815" s="11" t="s">
        <v>76</v>
      </c>
      <c r="M1815" s="11" t="s">
        <v>77</v>
      </c>
    </row>
    <row r="1816" spans="1:13" x14ac:dyDescent="0.25">
      <c r="A1816" s="6">
        <v>1777</v>
      </c>
      <c r="B1816" s="7">
        <v>45640</v>
      </c>
      <c r="C1816" s="8" t="s">
        <v>414</v>
      </c>
      <c r="D1816" s="8" t="s">
        <v>93</v>
      </c>
      <c r="E1816" s="8" t="s">
        <v>74</v>
      </c>
      <c r="F1816" s="8" t="s">
        <v>142</v>
      </c>
      <c r="G1816" s="6">
        <v>42</v>
      </c>
      <c r="H1816" s="6">
        <v>12400</v>
      </c>
      <c r="I1816" s="6">
        <v>5</v>
      </c>
      <c r="J1816" s="6">
        <f t="shared" si="56"/>
        <v>520800</v>
      </c>
      <c r="K1816" s="6">
        <f t="shared" si="57"/>
        <v>494760</v>
      </c>
      <c r="L1816" s="8" t="s">
        <v>86</v>
      </c>
      <c r="M1816" s="8" t="s">
        <v>96</v>
      </c>
    </row>
    <row r="1817" spans="1:13" x14ac:dyDescent="0.25">
      <c r="A1817" s="9">
        <v>1778</v>
      </c>
      <c r="B1817" s="10">
        <v>45231</v>
      </c>
      <c r="C1817" s="11" t="s">
        <v>108</v>
      </c>
      <c r="D1817" s="11" t="s">
        <v>73</v>
      </c>
      <c r="E1817" s="11" t="s">
        <v>84</v>
      </c>
      <c r="F1817" s="11" t="s">
        <v>148</v>
      </c>
      <c r="G1817" s="9">
        <v>9</v>
      </c>
      <c r="H1817" s="9">
        <v>5200</v>
      </c>
      <c r="I1817" s="9">
        <v>0</v>
      </c>
      <c r="J1817" s="9">
        <f t="shared" si="56"/>
        <v>46800</v>
      </c>
      <c r="K1817" s="9">
        <f t="shared" si="57"/>
        <v>46800</v>
      </c>
      <c r="L1817" s="11" t="s">
        <v>76</v>
      </c>
      <c r="M1817" s="11" t="s">
        <v>91</v>
      </c>
    </row>
    <row r="1818" spans="1:13" x14ac:dyDescent="0.25">
      <c r="A1818" s="6">
        <v>1779</v>
      </c>
      <c r="B1818" s="7">
        <v>45033</v>
      </c>
      <c r="C1818" s="8" t="s">
        <v>101</v>
      </c>
      <c r="D1818" s="8" t="s">
        <v>117</v>
      </c>
      <c r="E1818" s="8" t="s">
        <v>79</v>
      </c>
      <c r="F1818" s="8" t="s">
        <v>172</v>
      </c>
      <c r="G1818" s="6">
        <v>25</v>
      </c>
      <c r="H1818" s="6">
        <v>28000</v>
      </c>
      <c r="I1818" s="6">
        <v>0</v>
      </c>
      <c r="J1818" s="6">
        <f t="shared" si="56"/>
        <v>700000</v>
      </c>
      <c r="K1818" s="6">
        <f t="shared" si="57"/>
        <v>700000</v>
      </c>
      <c r="L1818" s="8" t="s">
        <v>76</v>
      </c>
      <c r="M1818" s="8" t="s">
        <v>91</v>
      </c>
    </row>
    <row r="1819" spans="1:13" x14ac:dyDescent="0.25">
      <c r="A1819" s="9">
        <v>1780</v>
      </c>
      <c r="B1819" s="10">
        <v>45290</v>
      </c>
      <c r="C1819" s="11" t="s">
        <v>88</v>
      </c>
      <c r="D1819" s="11" t="s">
        <v>117</v>
      </c>
      <c r="E1819" s="11" t="s">
        <v>368</v>
      </c>
      <c r="F1819" s="11" t="s">
        <v>122</v>
      </c>
      <c r="G1819" s="9">
        <v>15</v>
      </c>
      <c r="H1819" s="9">
        <v>18000</v>
      </c>
      <c r="I1819" s="9">
        <v>0</v>
      </c>
      <c r="J1819" s="9">
        <f t="shared" si="56"/>
        <v>270000</v>
      </c>
      <c r="K1819" s="9">
        <f t="shared" si="57"/>
        <v>270000</v>
      </c>
      <c r="L1819" s="11" t="s">
        <v>250</v>
      </c>
      <c r="M1819" s="11" t="s">
        <v>96</v>
      </c>
    </row>
    <row r="1820" spans="1:13" x14ac:dyDescent="0.25">
      <c r="A1820" s="6">
        <v>1781</v>
      </c>
      <c r="B1820" s="7">
        <v>45483</v>
      </c>
      <c r="C1820" s="8" t="s">
        <v>108</v>
      </c>
      <c r="D1820" s="8" t="s">
        <v>117</v>
      </c>
      <c r="E1820" s="8" t="s">
        <v>162</v>
      </c>
      <c r="F1820" s="8" t="s">
        <v>206</v>
      </c>
      <c r="G1820" s="6">
        <v>31</v>
      </c>
      <c r="H1820" s="6">
        <v>14900</v>
      </c>
      <c r="I1820" s="6">
        <v>20</v>
      </c>
      <c r="J1820" s="6">
        <f t="shared" si="56"/>
        <v>461900</v>
      </c>
      <c r="K1820" s="6">
        <f t="shared" si="57"/>
        <v>369520</v>
      </c>
      <c r="L1820" s="8" t="s">
        <v>76</v>
      </c>
      <c r="M1820" s="8" t="s">
        <v>91</v>
      </c>
    </row>
    <row r="1821" spans="1:13" x14ac:dyDescent="0.25">
      <c r="A1821" s="9">
        <v>1782</v>
      </c>
      <c r="B1821" s="10">
        <v>45213</v>
      </c>
      <c r="C1821" s="11" t="s">
        <v>101</v>
      </c>
      <c r="D1821" s="11" t="s">
        <v>93</v>
      </c>
      <c r="E1821" s="11" t="s">
        <v>102</v>
      </c>
      <c r="F1821" s="11" t="s">
        <v>138</v>
      </c>
      <c r="G1821" s="9">
        <v>47</v>
      </c>
      <c r="H1821" s="9">
        <v>7100</v>
      </c>
      <c r="I1821" s="9">
        <v>10</v>
      </c>
      <c r="J1821" s="9">
        <f t="shared" si="56"/>
        <v>333700</v>
      </c>
      <c r="K1821" s="9">
        <f t="shared" si="57"/>
        <v>300330</v>
      </c>
      <c r="L1821" s="11" t="s">
        <v>76</v>
      </c>
      <c r="M1821" s="11" t="s">
        <v>81</v>
      </c>
    </row>
    <row r="1822" spans="1:13" x14ac:dyDescent="0.25">
      <c r="A1822" s="6">
        <v>1783</v>
      </c>
      <c r="B1822" s="7">
        <v>45641</v>
      </c>
      <c r="C1822" s="8" t="s">
        <v>82</v>
      </c>
      <c r="D1822" s="8" t="s">
        <v>93</v>
      </c>
      <c r="E1822" s="8" t="s">
        <v>84</v>
      </c>
      <c r="F1822" s="8" t="s">
        <v>134</v>
      </c>
      <c r="G1822" s="6">
        <v>9</v>
      </c>
      <c r="H1822" s="6">
        <v>9400</v>
      </c>
      <c r="I1822" s="6">
        <v>15</v>
      </c>
      <c r="J1822" s="6">
        <f t="shared" si="56"/>
        <v>84600</v>
      </c>
      <c r="K1822" s="6">
        <f t="shared" si="57"/>
        <v>71910</v>
      </c>
      <c r="L1822" s="8" t="s">
        <v>76</v>
      </c>
      <c r="M1822" s="8" t="s">
        <v>77</v>
      </c>
    </row>
    <row r="1823" spans="1:13" x14ac:dyDescent="0.25">
      <c r="A1823" s="9">
        <v>1784</v>
      </c>
      <c r="B1823" s="11" t="s">
        <v>617</v>
      </c>
      <c r="C1823" s="11" t="s">
        <v>88</v>
      </c>
      <c r="D1823" s="11" t="s">
        <v>73</v>
      </c>
      <c r="E1823" s="11" t="s">
        <v>74</v>
      </c>
      <c r="F1823" s="11" t="s">
        <v>94</v>
      </c>
      <c r="G1823" s="9">
        <v>19</v>
      </c>
      <c r="H1823" s="9">
        <v>40200</v>
      </c>
      <c r="I1823" s="9">
        <v>0</v>
      </c>
      <c r="J1823" s="9">
        <f t="shared" si="56"/>
        <v>763800</v>
      </c>
      <c r="K1823" s="9">
        <f t="shared" si="57"/>
        <v>763800</v>
      </c>
      <c r="L1823" s="11" t="s">
        <v>76</v>
      </c>
      <c r="M1823" s="11" t="s">
        <v>81</v>
      </c>
    </row>
    <row r="1824" spans="1:13" x14ac:dyDescent="0.25">
      <c r="A1824" s="6">
        <v>1785</v>
      </c>
      <c r="B1824" s="8" t="s">
        <v>618</v>
      </c>
      <c r="C1824" s="8" t="s">
        <v>106</v>
      </c>
      <c r="D1824" s="8" t="s">
        <v>93</v>
      </c>
      <c r="E1824" s="8" t="s">
        <v>149</v>
      </c>
      <c r="F1824" s="8" t="s">
        <v>212</v>
      </c>
      <c r="G1824" s="6">
        <v>8</v>
      </c>
      <c r="H1824" s="6">
        <v>9000</v>
      </c>
      <c r="I1824" s="6">
        <v>20</v>
      </c>
      <c r="J1824" s="6">
        <f t="shared" si="56"/>
        <v>72000</v>
      </c>
      <c r="K1824" s="6">
        <f t="shared" si="57"/>
        <v>57600</v>
      </c>
      <c r="L1824" s="8" t="s">
        <v>76</v>
      </c>
      <c r="M1824" s="8" t="s">
        <v>81</v>
      </c>
    </row>
    <row r="1825" spans="1:13" x14ac:dyDescent="0.25">
      <c r="A1825" s="9">
        <v>1786</v>
      </c>
      <c r="B1825" s="10">
        <v>45071</v>
      </c>
      <c r="C1825" s="11" t="s">
        <v>97</v>
      </c>
      <c r="D1825" s="11" t="s">
        <v>73</v>
      </c>
      <c r="E1825" s="11" t="s">
        <v>79</v>
      </c>
      <c r="F1825" s="11" t="s">
        <v>172</v>
      </c>
      <c r="G1825" s="9">
        <v>47</v>
      </c>
      <c r="H1825" s="9">
        <v>25800</v>
      </c>
      <c r="I1825" s="9">
        <v>10</v>
      </c>
      <c r="J1825" s="9">
        <f t="shared" si="56"/>
        <v>1212600</v>
      </c>
      <c r="K1825" s="9">
        <f t="shared" si="57"/>
        <v>1091340</v>
      </c>
      <c r="L1825" s="11" t="s">
        <v>107</v>
      </c>
      <c r="M1825" s="11" t="s">
        <v>77</v>
      </c>
    </row>
    <row r="1826" spans="1:13" x14ac:dyDescent="0.25">
      <c r="A1826" s="6">
        <v>1787</v>
      </c>
      <c r="B1826" s="7">
        <v>44976</v>
      </c>
      <c r="C1826" s="8" t="s">
        <v>124</v>
      </c>
      <c r="D1826" s="8" t="s">
        <v>109</v>
      </c>
      <c r="E1826" s="8" t="s">
        <v>84</v>
      </c>
      <c r="F1826" s="8" t="s">
        <v>150</v>
      </c>
      <c r="G1826" s="6">
        <v>13</v>
      </c>
      <c r="H1826" s="6">
        <v>5800</v>
      </c>
      <c r="I1826" s="6">
        <v>5</v>
      </c>
      <c r="J1826" s="6">
        <f t="shared" si="56"/>
        <v>75400</v>
      </c>
      <c r="K1826" s="6">
        <f t="shared" si="57"/>
        <v>71630</v>
      </c>
      <c r="L1826" s="8" t="s">
        <v>76</v>
      </c>
      <c r="M1826" s="8" t="s">
        <v>81</v>
      </c>
    </row>
    <row r="1827" spans="1:13" x14ac:dyDescent="0.25">
      <c r="A1827" s="9">
        <v>1788</v>
      </c>
      <c r="B1827" s="10">
        <v>45586</v>
      </c>
      <c r="C1827" s="11" t="s">
        <v>88</v>
      </c>
      <c r="D1827" s="11" t="s">
        <v>109</v>
      </c>
      <c r="E1827" s="11" t="s">
        <v>79</v>
      </c>
      <c r="F1827" s="11" t="s">
        <v>115</v>
      </c>
      <c r="G1827" s="9">
        <v>47</v>
      </c>
      <c r="H1827" s="9" t="s">
        <v>619</v>
      </c>
      <c r="I1827" s="9">
        <v>20</v>
      </c>
      <c r="J1827" s="9">
        <f t="shared" si="56"/>
        <v>470000</v>
      </c>
      <c r="K1827" s="9">
        <f t="shared" si="57"/>
        <v>376000</v>
      </c>
      <c r="L1827" s="11" t="s">
        <v>76</v>
      </c>
      <c r="M1827" s="11" t="s">
        <v>77</v>
      </c>
    </row>
    <row r="1828" spans="1:13" x14ac:dyDescent="0.25">
      <c r="A1828" s="6">
        <v>1789</v>
      </c>
      <c r="B1828" s="7">
        <v>45553</v>
      </c>
      <c r="C1828" s="8" t="s">
        <v>82</v>
      </c>
      <c r="D1828" s="8" t="s">
        <v>83</v>
      </c>
      <c r="E1828" s="8" t="s">
        <v>74</v>
      </c>
      <c r="F1828" s="8" t="s">
        <v>140</v>
      </c>
      <c r="G1828" s="6">
        <v>33</v>
      </c>
      <c r="H1828" s="6">
        <v>4200</v>
      </c>
      <c r="I1828" s="6">
        <v>0</v>
      </c>
      <c r="J1828" s="6">
        <f t="shared" si="56"/>
        <v>138600</v>
      </c>
      <c r="K1828" s="6">
        <f t="shared" si="57"/>
        <v>138600</v>
      </c>
      <c r="L1828" s="8" t="s">
        <v>107</v>
      </c>
      <c r="M1828" s="8" t="s">
        <v>77</v>
      </c>
    </row>
    <row r="1829" spans="1:13" x14ac:dyDescent="0.25">
      <c r="A1829" s="9">
        <v>1790</v>
      </c>
      <c r="B1829" s="10">
        <v>45116</v>
      </c>
      <c r="C1829" s="11" t="s">
        <v>106</v>
      </c>
      <c r="D1829" s="11" t="s">
        <v>73</v>
      </c>
      <c r="E1829" s="11" t="s">
        <v>79</v>
      </c>
      <c r="F1829" s="11" t="s">
        <v>131</v>
      </c>
      <c r="G1829" s="9">
        <v>27</v>
      </c>
      <c r="H1829" s="9">
        <v>118000</v>
      </c>
      <c r="I1829" s="9">
        <v>20</v>
      </c>
      <c r="J1829" s="9">
        <f t="shared" si="56"/>
        <v>3186000</v>
      </c>
      <c r="K1829" s="9">
        <f t="shared" si="57"/>
        <v>2548800</v>
      </c>
      <c r="L1829" s="11" t="s">
        <v>229</v>
      </c>
      <c r="M1829" s="11" t="s">
        <v>81</v>
      </c>
    </row>
    <row r="1830" spans="1:13" x14ac:dyDescent="0.25">
      <c r="A1830" s="6">
        <v>1791</v>
      </c>
      <c r="B1830" s="7">
        <v>45538</v>
      </c>
      <c r="C1830" s="8" t="s">
        <v>82</v>
      </c>
      <c r="D1830" s="8" t="s">
        <v>73</v>
      </c>
      <c r="E1830" s="8" t="s">
        <v>84</v>
      </c>
      <c r="F1830" s="8" t="s">
        <v>148</v>
      </c>
      <c r="G1830" s="6">
        <v>41</v>
      </c>
      <c r="H1830" s="6">
        <v>4700</v>
      </c>
      <c r="I1830" s="6">
        <v>15</v>
      </c>
      <c r="J1830" s="6">
        <f t="shared" si="56"/>
        <v>192700</v>
      </c>
      <c r="K1830" s="6">
        <f t="shared" si="57"/>
        <v>163795</v>
      </c>
      <c r="L1830" s="8" t="s">
        <v>86</v>
      </c>
      <c r="M1830" s="8" t="s">
        <v>96</v>
      </c>
    </row>
    <row r="1831" spans="1:13" x14ac:dyDescent="0.25">
      <c r="A1831" s="9">
        <v>1792</v>
      </c>
      <c r="B1831" s="10">
        <v>45217</v>
      </c>
      <c r="C1831" s="11" t="s">
        <v>124</v>
      </c>
      <c r="D1831" s="11" t="s">
        <v>73</v>
      </c>
      <c r="E1831" s="11" t="s">
        <v>111</v>
      </c>
      <c r="F1831" s="11" t="s">
        <v>192</v>
      </c>
      <c r="G1831" s="9">
        <v>44</v>
      </c>
      <c r="H1831" s="9">
        <v>106500</v>
      </c>
      <c r="I1831" s="9">
        <v>10</v>
      </c>
      <c r="J1831" s="9">
        <f t="shared" si="56"/>
        <v>4686000</v>
      </c>
      <c r="K1831" s="9">
        <f t="shared" si="57"/>
        <v>4217400</v>
      </c>
      <c r="L1831" s="11" t="s">
        <v>76</v>
      </c>
      <c r="M1831" s="11" t="s">
        <v>96</v>
      </c>
    </row>
    <row r="1832" spans="1:13" x14ac:dyDescent="0.25">
      <c r="A1832" s="6">
        <v>1793</v>
      </c>
      <c r="B1832" s="8" t="s">
        <v>620</v>
      </c>
      <c r="C1832" s="8" t="s">
        <v>108</v>
      </c>
      <c r="D1832" s="8" t="s">
        <v>73</v>
      </c>
      <c r="E1832" s="8" t="s">
        <v>79</v>
      </c>
      <c r="F1832" s="8" t="s">
        <v>179</v>
      </c>
      <c r="G1832" s="6">
        <v>8</v>
      </c>
      <c r="H1832" s="6">
        <v>2600</v>
      </c>
      <c r="I1832" s="6">
        <v>0</v>
      </c>
      <c r="J1832" s="6">
        <f t="shared" si="56"/>
        <v>20800</v>
      </c>
      <c r="K1832" s="6">
        <f t="shared" si="57"/>
        <v>20800</v>
      </c>
      <c r="L1832" s="8" t="s">
        <v>107</v>
      </c>
      <c r="M1832" s="8" t="s">
        <v>96</v>
      </c>
    </row>
    <row r="1833" spans="1:13" x14ac:dyDescent="0.25">
      <c r="A1833" s="9">
        <v>1794</v>
      </c>
      <c r="B1833" s="10">
        <v>45479</v>
      </c>
      <c r="C1833" s="11" t="s">
        <v>101</v>
      </c>
      <c r="D1833" s="11" t="s">
        <v>109</v>
      </c>
      <c r="E1833" s="11" t="s">
        <v>84</v>
      </c>
      <c r="F1833" s="11" t="s">
        <v>148</v>
      </c>
      <c r="G1833" s="9">
        <v>22</v>
      </c>
      <c r="H1833" s="9">
        <v>5000</v>
      </c>
      <c r="I1833" s="9">
        <v>20</v>
      </c>
      <c r="J1833" s="9">
        <f t="shared" si="56"/>
        <v>110000</v>
      </c>
      <c r="K1833" s="9">
        <f t="shared" si="57"/>
        <v>88000</v>
      </c>
      <c r="L1833" s="11" t="s">
        <v>86</v>
      </c>
      <c r="M1833" s="11" t="s">
        <v>81</v>
      </c>
    </row>
    <row r="1834" spans="1:13" x14ac:dyDescent="0.25">
      <c r="A1834" s="6">
        <v>1795</v>
      </c>
      <c r="B1834" s="7">
        <v>45344</v>
      </c>
      <c r="C1834" s="8" t="s">
        <v>106</v>
      </c>
      <c r="D1834" s="8" t="s">
        <v>109</v>
      </c>
      <c r="E1834" s="8" t="s">
        <v>84</v>
      </c>
      <c r="F1834" s="8" t="s">
        <v>90</v>
      </c>
      <c r="G1834" s="6">
        <v>33</v>
      </c>
      <c r="H1834" s="6">
        <v>1900</v>
      </c>
      <c r="I1834" s="6">
        <v>5</v>
      </c>
      <c r="J1834" s="6">
        <f t="shared" si="56"/>
        <v>62700</v>
      </c>
      <c r="K1834" s="6">
        <f t="shared" si="57"/>
        <v>59565</v>
      </c>
      <c r="L1834" s="8" t="s">
        <v>76</v>
      </c>
      <c r="M1834" s="8" t="s">
        <v>81</v>
      </c>
    </row>
    <row r="1835" spans="1:13" x14ac:dyDescent="0.25">
      <c r="A1835" s="9">
        <v>1796</v>
      </c>
      <c r="B1835" s="10">
        <v>45208</v>
      </c>
      <c r="C1835" s="11" t="s">
        <v>286</v>
      </c>
      <c r="D1835" s="11" t="s">
        <v>117</v>
      </c>
      <c r="E1835" s="11" t="s">
        <v>111</v>
      </c>
      <c r="F1835" s="11" t="s">
        <v>112</v>
      </c>
      <c r="G1835" s="9">
        <v>3</v>
      </c>
      <c r="H1835" s="9">
        <v>60000</v>
      </c>
      <c r="I1835" s="9">
        <v>0</v>
      </c>
      <c r="J1835" s="9">
        <f t="shared" si="56"/>
        <v>180000</v>
      </c>
      <c r="K1835" s="9">
        <f t="shared" si="57"/>
        <v>180000</v>
      </c>
      <c r="L1835" s="11" t="s">
        <v>86</v>
      </c>
      <c r="M1835" s="11" t="s">
        <v>96</v>
      </c>
    </row>
    <row r="1836" spans="1:13" x14ac:dyDescent="0.25">
      <c r="A1836" s="6">
        <v>1797</v>
      </c>
      <c r="B1836" s="7">
        <v>45459</v>
      </c>
      <c r="C1836" s="8" t="s">
        <v>82</v>
      </c>
      <c r="D1836" s="8" t="s">
        <v>83</v>
      </c>
      <c r="E1836" s="8" t="s">
        <v>79</v>
      </c>
      <c r="F1836" s="8" t="s">
        <v>120</v>
      </c>
      <c r="G1836" s="6">
        <v>50</v>
      </c>
      <c r="H1836" s="6">
        <v>6300</v>
      </c>
      <c r="I1836" s="6">
        <v>5</v>
      </c>
      <c r="J1836" s="6">
        <f t="shared" si="56"/>
        <v>315000</v>
      </c>
      <c r="K1836" s="6">
        <f t="shared" si="57"/>
        <v>299250</v>
      </c>
      <c r="L1836" s="8" t="s">
        <v>86</v>
      </c>
      <c r="M1836" s="8" t="s">
        <v>81</v>
      </c>
    </row>
    <row r="1837" spans="1:13" x14ac:dyDescent="0.25">
      <c r="A1837" s="9">
        <v>1798</v>
      </c>
      <c r="B1837" s="10">
        <v>45331</v>
      </c>
      <c r="C1837" s="11" t="s">
        <v>458</v>
      </c>
      <c r="D1837" s="11" t="s">
        <v>83</v>
      </c>
      <c r="E1837" s="11" t="s">
        <v>79</v>
      </c>
      <c r="F1837" s="11" t="s">
        <v>131</v>
      </c>
      <c r="G1837" s="9">
        <v>9</v>
      </c>
      <c r="H1837" s="9">
        <v>111500</v>
      </c>
      <c r="I1837" s="9">
        <v>0</v>
      </c>
      <c r="J1837" s="9">
        <f t="shared" si="56"/>
        <v>1003500</v>
      </c>
      <c r="K1837" s="9">
        <f t="shared" si="57"/>
        <v>1003500</v>
      </c>
      <c r="L1837" s="11" t="s">
        <v>76</v>
      </c>
      <c r="M1837" s="11" t="s">
        <v>77</v>
      </c>
    </row>
    <row r="1838" spans="1:13" x14ac:dyDescent="0.25">
      <c r="A1838" s="6">
        <v>1799</v>
      </c>
      <c r="B1838" s="7">
        <v>45124</v>
      </c>
      <c r="C1838" s="8" t="s">
        <v>78</v>
      </c>
      <c r="D1838" s="8" t="s">
        <v>93</v>
      </c>
      <c r="E1838" s="8" t="s">
        <v>84</v>
      </c>
      <c r="F1838" s="8" t="s">
        <v>200</v>
      </c>
      <c r="G1838" s="6">
        <v>39</v>
      </c>
      <c r="H1838" s="6">
        <v>3200</v>
      </c>
      <c r="I1838" s="6">
        <v>5</v>
      </c>
      <c r="J1838" s="6">
        <f t="shared" si="56"/>
        <v>124800</v>
      </c>
      <c r="K1838" s="6">
        <f t="shared" si="57"/>
        <v>118560</v>
      </c>
      <c r="L1838" s="8" t="s">
        <v>76</v>
      </c>
      <c r="M1838" s="8" t="s">
        <v>77</v>
      </c>
    </row>
    <row r="1839" spans="1:13" x14ac:dyDescent="0.25">
      <c r="A1839" s="9">
        <v>1800</v>
      </c>
      <c r="B1839" s="10">
        <v>45084</v>
      </c>
      <c r="C1839" s="11" t="s">
        <v>119</v>
      </c>
      <c r="D1839" s="11" t="s">
        <v>73</v>
      </c>
      <c r="E1839" s="11" t="s">
        <v>74</v>
      </c>
      <c r="F1839" s="11" t="s">
        <v>75</v>
      </c>
      <c r="G1839" s="9">
        <v>12</v>
      </c>
      <c r="H1839" s="9">
        <v>20300</v>
      </c>
      <c r="I1839" s="9">
        <v>0</v>
      </c>
      <c r="J1839" s="9">
        <f t="shared" si="56"/>
        <v>243600</v>
      </c>
      <c r="K1839" s="9">
        <f t="shared" si="57"/>
        <v>243600</v>
      </c>
      <c r="L1839" s="11" t="s">
        <v>86</v>
      </c>
      <c r="M1839" s="11" t="s">
        <v>96</v>
      </c>
    </row>
    <row r="1840" spans="1:13" x14ac:dyDescent="0.25">
      <c r="A1840" s="6">
        <v>1801</v>
      </c>
      <c r="B1840" s="7">
        <v>45291</v>
      </c>
      <c r="C1840" s="8" t="s">
        <v>78</v>
      </c>
      <c r="D1840" s="8" t="s">
        <v>83</v>
      </c>
      <c r="E1840" s="8" t="s">
        <v>180</v>
      </c>
      <c r="F1840" s="8" t="s">
        <v>103</v>
      </c>
      <c r="G1840" s="6">
        <v>7</v>
      </c>
      <c r="H1840" s="6" t="s">
        <v>621</v>
      </c>
      <c r="I1840" s="6">
        <v>5</v>
      </c>
      <c r="J1840" s="6">
        <f t="shared" si="56"/>
        <v>69300</v>
      </c>
      <c r="K1840" s="6">
        <f t="shared" si="57"/>
        <v>65835</v>
      </c>
      <c r="L1840" s="8" t="s">
        <v>174</v>
      </c>
      <c r="M1840" s="8" t="s">
        <v>91</v>
      </c>
    </row>
    <row r="1841" spans="1:13" x14ac:dyDescent="0.25">
      <c r="A1841" s="9">
        <v>1802</v>
      </c>
      <c r="B1841" s="11" t="s">
        <v>622</v>
      </c>
      <c r="C1841" s="11" t="s">
        <v>108</v>
      </c>
      <c r="D1841" s="11" t="s">
        <v>93</v>
      </c>
      <c r="E1841" s="11" t="s">
        <v>84</v>
      </c>
      <c r="F1841" s="11" t="s">
        <v>134</v>
      </c>
      <c r="G1841" s="9">
        <v>3</v>
      </c>
      <c r="H1841" s="9">
        <v>9300</v>
      </c>
      <c r="I1841" s="9">
        <v>10</v>
      </c>
      <c r="J1841" s="9">
        <f t="shared" si="56"/>
        <v>27900</v>
      </c>
      <c r="K1841" s="9">
        <f t="shared" si="57"/>
        <v>25110</v>
      </c>
      <c r="L1841" s="11" t="s">
        <v>76</v>
      </c>
      <c r="M1841" s="11" t="s">
        <v>96</v>
      </c>
    </row>
    <row r="1842" spans="1:13" x14ac:dyDescent="0.25">
      <c r="A1842" s="6">
        <v>1803</v>
      </c>
      <c r="B1842" s="8" t="s">
        <v>623</v>
      </c>
      <c r="C1842" s="8" t="s">
        <v>82</v>
      </c>
      <c r="D1842" s="8" t="s">
        <v>83</v>
      </c>
      <c r="E1842" s="8" t="s">
        <v>84</v>
      </c>
      <c r="F1842" s="8" t="s">
        <v>200</v>
      </c>
      <c r="G1842" s="6">
        <v>31</v>
      </c>
      <c r="H1842" s="6">
        <v>3100</v>
      </c>
      <c r="I1842" s="6">
        <v>5</v>
      </c>
      <c r="J1842" s="6">
        <f t="shared" si="56"/>
        <v>96100</v>
      </c>
      <c r="K1842" s="6">
        <f t="shared" si="57"/>
        <v>91295</v>
      </c>
      <c r="L1842" s="8" t="s">
        <v>107</v>
      </c>
      <c r="M1842" s="8" t="s">
        <v>81</v>
      </c>
    </row>
    <row r="1843" spans="1:13" x14ac:dyDescent="0.25">
      <c r="A1843" s="9">
        <v>1804</v>
      </c>
      <c r="B1843" s="10">
        <v>44974</v>
      </c>
      <c r="C1843" s="11" t="s">
        <v>106</v>
      </c>
      <c r="D1843" s="11" t="s">
        <v>109</v>
      </c>
      <c r="E1843" s="11" t="s">
        <v>74</v>
      </c>
      <c r="F1843" s="11" t="s">
        <v>118</v>
      </c>
      <c r="G1843" s="9">
        <v>43</v>
      </c>
      <c r="H1843" s="9">
        <v>25600</v>
      </c>
      <c r="I1843" s="9">
        <v>10</v>
      </c>
      <c r="J1843" s="9">
        <f t="shared" si="56"/>
        <v>1100800</v>
      </c>
      <c r="K1843" s="9">
        <f t="shared" si="57"/>
        <v>990720</v>
      </c>
      <c r="L1843" s="11" t="s">
        <v>76</v>
      </c>
      <c r="M1843" s="11" t="s">
        <v>77</v>
      </c>
    </row>
    <row r="1844" spans="1:13" x14ac:dyDescent="0.25">
      <c r="A1844" s="6">
        <v>1805</v>
      </c>
      <c r="B1844" s="7">
        <v>44975</v>
      </c>
      <c r="C1844" s="8" t="s">
        <v>82</v>
      </c>
      <c r="D1844" s="8" t="s">
        <v>313</v>
      </c>
      <c r="E1844" s="8" t="s">
        <v>102</v>
      </c>
      <c r="F1844" s="8" t="s">
        <v>137</v>
      </c>
      <c r="G1844" s="6">
        <v>19</v>
      </c>
      <c r="H1844" s="6">
        <v>2400</v>
      </c>
      <c r="I1844" s="6">
        <v>15</v>
      </c>
      <c r="J1844" s="6">
        <f t="shared" si="56"/>
        <v>45600</v>
      </c>
      <c r="K1844" s="6">
        <f t="shared" si="57"/>
        <v>38760</v>
      </c>
      <c r="L1844" s="8" t="s">
        <v>76</v>
      </c>
      <c r="M1844" s="8" t="s">
        <v>77</v>
      </c>
    </row>
    <row r="1845" spans="1:13" x14ac:dyDescent="0.25">
      <c r="A1845" s="9">
        <v>1806</v>
      </c>
      <c r="B1845" s="10">
        <v>45390</v>
      </c>
      <c r="C1845" s="11" t="s">
        <v>101</v>
      </c>
      <c r="D1845" s="11" t="s">
        <v>93</v>
      </c>
      <c r="E1845" s="11" t="s">
        <v>84</v>
      </c>
      <c r="F1845" s="11" t="s">
        <v>148</v>
      </c>
      <c r="G1845" s="9">
        <v>46</v>
      </c>
      <c r="H1845" s="9">
        <v>5200</v>
      </c>
      <c r="I1845" s="9">
        <v>20</v>
      </c>
      <c r="J1845" s="9">
        <f t="shared" si="56"/>
        <v>239200</v>
      </c>
      <c r="K1845" s="9">
        <f t="shared" si="57"/>
        <v>191360</v>
      </c>
      <c r="L1845" s="11" t="s">
        <v>76</v>
      </c>
      <c r="M1845" s="11" t="s">
        <v>91</v>
      </c>
    </row>
    <row r="1846" spans="1:13" x14ac:dyDescent="0.25">
      <c r="A1846" s="6">
        <v>1807</v>
      </c>
      <c r="B1846" s="8" t="s">
        <v>624</v>
      </c>
      <c r="C1846" s="8" t="s">
        <v>124</v>
      </c>
      <c r="D1846" s="8" t="s">
        <v>83</v>
      </c>
      <c r="E1846" s="8" t="s">
        <v>74</v>
      </c>
      <c r="F1846" s="8" t="s">
        <v>99</v>
      </c>
      <c r="G1846" s="6">
        <v>34</v>
      </c>
      <c r="H1846" s="6">
        <v>3200</v>
      </c>
      <c r="I1846" s="6">
        <v>10</v>
      </c>
      <c r="J1846" s="6">
        <f t="shared" si="56"/>
        <v>108800</v>
      </c>
      <c r="K1846" s="6">
        <f t="shared" si="57"/>
        <v>97920</v>
      </c>
      <c r="L1846" s="8" t="s">
        <v>76</v>
      </c>
      <c r="M1846" s="8" t="s">
        <v>96</v>
      </c>
    </row>
    <row r="1847" spans="1:13" x14ac:dyDescent="0.25">
      <c r="A1847" s="9">
        <v>1808</v>
      </c>
      <c r="B1847" s="11" t="s">
        <v>625</v>
      </c>
      <c r="C1847" s="11" t="s">
        <v>124</v>
      </c>
      <c r="D1847" s="11" t="s">
        <v>109</v>
      </c>
      <c r="E1847" s="11" t="s">
        <v>84</v>
      </c>
      <c r="F1847" s="11" t="s">
        <v>200</v>
      </c>
      <c r="G1847" s="9">
        <v>19</v>
      </c>
      <c r="H1847" s="9">
        <v>3300</v>
      </c>
      <c r="I1847" s="9">
        <v>10</v>
      </c>
      <c r="J1847" s="9">
        <f t="shared" si="56"/>
        <v>62700</v>
      </c>
      <c r="K1847" s="9">
        <f t="shared" si="57"/>
        <v>56430</v>
      </c>
      <c r="L1847" s="11" t="s">
        <v>76</v>
      </c>
      <c r="M1847" s="11" t="s">
        <v>96</v>
      </c>
    </row>
    <row r="1848" spans="1:13" x14ac:dyDescent="0.25">
      <c r="A1848" s="6">
        <v>1809</v>
      </c>
      <c r="B1848" s="7">
        <v>45560</v>
      </c>
      <c r="C1848" s="8" t="s">
        <v>106</v>
      </c>
      <c r="D1848" s="8" t="s">
        <v>109</v>
      </c>
      <c r="E1848" s="8" t="s">
        <v>84</v>
      </c>
      <c r="F1848" s="8" t="s">
        <v>150</v>
      </c>
      <c r="G1848" s="6">
        <v>50</v>
      </c>
      <c r="H1848" s="6">
        <v>5200</v>
      </c>
      <c r="I1848" s="6">
        <v>0</v>
      </c>
      <c r="J1848" s="6">
        <f t="shared" si="56"/>
        <v>260000</v>
      </c>
      <c r="K1848" s="6">
        <f t="shared" si="57"/>
        <v>260000</v>
      </c>
      <c r="L1848" s="8" t="s">
        <v>86</v>
      </c>
      <c r="M1848" s="8" t="s">
        <v>81</v>
      </c>
    </row>
    <row r="1849" spans="1:13" x14ac:dyDescent="0.25">
      <c r="A1849" s="9">
        <v>1810</v>
      </c>
      <c r="B1849" s="10">
        <v>45071</v>
      </c>
      <c r="C1849" s="11" t="s">
        <v>114</v>
      </c>
      <c r="D1849" s="11" t="s">
        <v>83</v>
      </c>
      <c r="E1849" s="11" t="s">
        <v>102</v>
      </c>
      <c r="F1849" s="11" t="s">
        <v>138</v>
      </c>
      <c r="G1849" s="9">
        <v>45</v>
      </c>
      <c r="H1849" s="9">
        <v>6500</v>
      </c>
      <c r="I1849" s="9">
        <v>0</v>
      </c>
      <c r="J1849" s="9">
        <f t="shared" si="56"/>
        <v>292500</v>
      </c>
      <c r="K1849" s="9">
        <f t="shared" si="57"/>
        <v>292500</v>
      </c>
      <c r="L1849" s="11" t="s">
        <v>76</v>
      </c>
      <c r="M1849" s="11" t="s">
        <v>91</v>
      </c>
    </row>
    <row r="1850" spans="1:13" x14ac:dyDescent="0.25">
      <c r="A1850" s="6">
        <v>1811</v>
      </c>
      <c r="B1850" s="8" t="s">
        <v>626</v>
      </c>
      <c r="C1850" s="8" t="s">
        <v>97</v>
      </c>
      <c r="D1850" s="8" t="s">
        <v>83</v>
      </c>
      <c r="E1850" s="8" t="s">
        <v>111</v>
      </c>
      <c r="F1850" s="8" t="s">
        <v>192</v>
      </c>
      <c r="G1850" s="6">
        <v>12</v>
      </c>
      <c r="H1850" s="6">
        <v>100700</v>
      </c>
      <c r="I1850" s="6">
        <v>10</v>
      </c>
      <c r="J1850" s="6">
        <f t="shared" si="56"/>
        <v>1208400</v>
      </c>
      <c r="K1850" s="6">
        <f t="shared" si="57"/>
        <v>1087560</v>
      </c>
      <c r="L1850" s="8" t="s">
        <v>86</v>
      </c>
      <c r="M1850" s="8"/>
    </row>
    <row r="1851" spans="1:13" x14ac:dyDescent="0.25">
      <c r="A1851" s="9">
        <v>1812</v>
      </c>
      <c r="B1851" s="10">
        <v>45160</v>
      </c>
      <c r="C1851" s="11" t="s">
        <v>82</v>
      </c>
      <c r="D1851" s="11" t="s">
        <v>261</v>
      </c>
      <c r="E1851" s="11" t="s">
        <v>84</v>
      </c>
      <c r="F1851" s="11" t="s">
        <v>200</v>
      </c>
      <c r="G1851" s="9">
        <v>39</v>
      </c>
      <c r="H1851" s="9">
        <v>3400</v>
      </c>
      <c r="I1851" s="9">
        <v>10</v>
      </c>
      <c r="J1851" s="9">
        <f t="shared" si="56"/>
        <v>132600</v>
      </c>
      <c r="K1851" s="9">
        <f t="shared" si="57"/>
        <v>119340</v>
      </c>
      <c r="L1851" s="11" t="s">
        <v>363</v>
      </c>
      <c r="M1851" s="11" t="s">
        <v>81</v>
      </c>
    </row>
    <row r="1852" spans="1:13" x14ac:dyDescent="0.25">
      <c r="A1852" s="6">
        <v>1813</v>
      </c>
      <c r="B1852" s="7">
        <v>45068</v>
      </c>
      <c r="C1852" s="8" t="s">
        <v>82</v>
      </c>
      <c r="D1852" s="8" t="s">
        <v>73</v>
      </c>
      <c r="E1852" s="8" t="s">
        <v>74</v>
      </c>
      <c r="F1852" s="8" t="s">
        <v>94</v>
      </c>
      <c r="G1852" s="6">
        <v>27</v>
      </c>
      <c r="H1852" s="6">
        <v>39400</v>
      </c>
      <c r="I1852" s="6">
        <v>0</v>
      </c>
      <c r="J1852" s="6">
        <f t="shared" si="56"/>
        <v>1063800</v>
      </c>
      <c r="K1852" s="6">
        <f t="shared" si="57"/>
        <v>1063800</v>
      </c>
      <c r="L1852" s="8" t="s">
        <v>107</v>
      </c>
      <c r="M1852" s="8" t="s">
        <v>77</v>
      </c>
    </row>
    <row r="1853" spans="1:13" x14ac:dyDescent="0.25">
      <c r="A1853" s="9">
        <v>1814</v>
      </c>
      <c r="B1853" s="10">
        <v>45638</v>
      </c>
      <c r="C1853" s="11" t="s">
        <v>124</v>
      </c>
      <c r="D1853" s="11" t="s">
        <v>93</v>
      </c>
      <c r="E1853" s="11" t="s">
        <v>111</v>
      </c>
      <c r="F1853" s="11" t="s">
        <v>132</v>
      </c>
      <c r="G1853" s="9">
        <v>10</v>
      </c>
      <c r="H1853" s="9">
        <v>6800</v>
      </c>
      <c r="I1853" s="9">
        <v>10</v>
      </c>
      <c r="J1853" s="9">
        <f t="shared" si="56"/>
        <v>68000</v>
      </c>
      <c r="K1853" s="9">
        <f t="shared" si="57"/>
        <v>61200</v>
      </c>
      <c r="L1853" s="11" t="s">
        <v>76</v>
      </c>
      <c r="M1853" s="11" t="s">
        <v>96</v>
      </c>
    </row>
    <row r="1854" spans="1:13" x14ac:dyDescent="0.25">
      <c r="A1854" s="6">
        <v>1815</v>
      </c>
      <c r="B1854" s="8" t="s">
        <v>627</v>
      </c>
      <c r="C1854" s="8" t="s">
        <v>153</v>
      </c>
      <c r="D1854" s="8" t="s">
        <v>83</v>
      </c>
      <c r="E1854" s="8" t="s">
        <v>74</v>
      </c>
      <c r="F1854" s="8" t="s">
        <v>118</v>
      </c>
      <c r="G1854" s="6">
        <v>25</v>
      </c>
      <c r="H1854" s="6">
        <v>30700</v>
      </c>
      <c r="I1854" s="6">
        <v>5</v>
      </c>
      <c r="J1854" s="6">
        <f t="shared" si="56"/>
        <v>767500</v>
      </c>
      <c r="K1854" s="6">
        <f t="shared" si="57"/>
        <v>729125</v>
      </c>
      <c r="L1854" s="8" t="s">
        <v>76</v>
      </c>
      <c r="M1854" s="8" t="s">
        <v>96</v>
      </c>
    </row>
    <row r="1855" spans="1:13" x14ac:dyDescent="0.25">
      <c r="A1855" s="9">
        <v>1816</v>
      </c>
      <c r="B1855" s="10">
        <v>45572</v>
      </c>
      <c r="C1855" s="11" t="s">
        <v>97</v>
      </c>
      <c r="D1855" s="11" t="s">
        <v>109</v>
      </c>
      <c r="E1855" s="11" t="s">
        <v>79</v>
      </c>
      <c r="F1855" s="11" t="s">
        <v>172</v>
      </c>
      <c r="G1855" s="9">
        <v>7</v>
      </c>
      <c r="H1855" s="9">
        <v>27600</v>
      </c>
      <c r="I1855" s="9">
        <v>20</v>
      </c>
      <c r="J1855" s="9">
        <f t="shared" si="56"/>
        <v>193200</v>
      </c>
      <c r="K1855" s="9">
        <f t="shared" si="57"/>
        <v>154560</v>
      </c>
      <c r="L1855" s="11" t="s">
        <v>86</v>
      </c>
      <c r="M1855" s="11" t="s">
        <v>81</v>
      </c>
    </row>
    <row r="1856" spans="1:13" x14ac:dyDescent="0.25">
      <c r="A1856" s="6">
        <v>1817</v>
      </c>
      <c r="B1856" s="7">
        <v>45121</v>
      </c>
      <c r="C1856" s="8" t="s">
        <v>82</v>
      </c>
      <c r="D1856" s="8" t="s">
        <v>117</v>
      </c>
      <c r="E1856" s="8" t="s">
        <v>102</v>
      </c>
      <c r="F1856" s="8" t="s">
        <v>157</v>
      </c>
      <c r="G1856" s="6">
        <v>49</v>
      </c>
      <c r="H1856" s="6">
        <v>13700</v>
      </c>
      <c r="I1856" s="6">
        <v>20</v>
      </c>
      <c r="J1856" s="6">
        <f t="shared" si="56"/>
        <v>671300</v>
      </c>
      <c r="K1856" s="6">
        <f t="shared" si="57"/>
        <v>537040</v>
      </c>
      <c r="L1856" s="8" t="s">
        <v>76</v>
      </c>
      <c r="M1856" s="8" t="s">
        <v>81</v>
      </c>
    </row>
    <row r="1857" spans="1:13" x14ac:dyDescent="0.25">
      <c r="A1857" s="9">
        <v>1818</v>
      </c>
      <c r="B1857" s="11" t="s">
        <v>500</v>
      </c>
      <c r="C1857" s="11" t="s">
        <v>114</v>
      </c>
      <c r="D1857" s="11" t="s">
        <v>93</v>
      </c>
      <c r="E1857" s="11" t="s">
        <v>84</v>
      </c>
      <c r="F1857" s="11" t="s">
        <v>90</v>
      </c>
      <c r="G1857" s="9">
        <v>50</v>
      </c>
      <c r="H1857" s="9" t="s">
        <v>366</v>
      </c>
      <c r="I1857" s="9">
        <v>15</v>
      </c>
      <c r="J1857" s="9" t="e">
        <f t="shared" si="56"/>
        <v>#VALUE!</v>
      </c>
      <c r="K1857" s="9" t="e">
        <f t="shared" si="57"/>
        <v>#VALUE!</v>
      </c>
      <c r="L1857" s="11" t="s">
        <v>76</v>
      </c>
      <c r="M1857" s="11" t="s">
        <v>96</v>
      </c>
    </row>
    <row r="1858" spans="1:13" x14ac:dyDescent="0.25">
      <c r="A1858" s="6">
        <v>1819</v>
      </c>
      <c r="B1858" s="7">
        <v>44968</v>
      </c>
      <c r="C1858" s="8" t="s">
        <v>78</v>
      </c>
      <c r="D1858" s="8" t="s">
        <v>109</v>
      </c>
      <c r="E1858" s="8" t="s">
        <v>111</v>
      </c>
      <c r="F1858" s="8" t="s">
        <v>156</v>
      </c>
      <c r="G1858" s="6">
        <v>43</v>
      </c>
      <c r="H1858" s="6">
        <v>37800</v>
      </c>
      <c r="I1858" s="6">
        <v>10</v>
      </c>
      <c r="J1858" s="6">
        <f t="shared" ref="J1858:J1921" si="58">G1858*H1858</f>
        <v>1625400</v>
      </c>
      <c r="K1858" s="6">
        <f t="shared" ref="K1858:K1921" si="59">J1858*(1-I1858/100)</f>
        <v>1462860</v>
      </c>
      <c r="L1858" s="8" t="s">
        <v>107</v>
      </c>
      <c r="M1858" s="8" t="s">
        <v>91</v>
      </c>
    </row>
    <row r="1859" spans="1:13" x14ac:dyDescent="0.25">
      <c r="A1859" s="9">
        <v>1820</v>
      </c>
      <c r="B1859" s="10">
        <v>45327</v>
      </c>
      <c r="C1859" s="11" t="s">
        <v>114</v>
      </c>
      <c r="D1859" s="11" t="s">
        <v>73</v>
      </c>
      <c r="E1859" s="11" t="s">
        <v>79</v>
      </c>
      <c r="F1859" s="11" t="s">
        <v>131</v>
      </c>
      <c r="G1859" s="9">
        <v>49</v>
      </c>
      <c r="H1859" s="9">
        <v>133000</v>
      </c>
      <c r="I1859" s="9">
        <v>0</v>
      </c>
      <c r="J1859" s="9">
        <f t="shared" si="58"/>
        <v>6517000</v>
      </c>
      <c r="K1859" s="9">
        <f t="shared" si="59"/>
        <v>6517000</v>
      </c>
      <c r="L1859" s="11" t="s">
        <v>76</v>
      </c>
      <c r="M1859" s="11" t="s">
        <v>81</v>
      </c>
    </row>
    <row r="1860" spans="1:13" x14ac:dyDescent="0.25">
      <c r="A1860" s="6">
        <v>1821</v>
      </c>
      <c r="B1860" s="7">
        <v>45010</v>
      </c>
      <c r="C1860" s="8" t="s">
        <v>106</v>
      </c>
      <c r="D1860" s="8" t="s">
        <v>300</v>
      </c>
      <c r="E1860" s="8" t="s">
        <v>74</v>
      </c>
      <c r="F1860" s="8" t="s">
        <v>94</v>
      </c>
      <c r="G1860" s="6">
        <v>5</v>
      </c>
      <c r="H1860" s="6">
        <v>31900</v>
      </c>
      <c r="I1860" s="6">
        <v>10</v>
      </c>
      <c r="J1860" s="6">
        <f t="shared" si="58"/>
        <v>159500</v>
      </c>
      <c r="K1860" s="6">
        <f t="shared" si="59"/>
        <v>143550</v>
      </c>
      <c r="L1860" s="8" t="s">
        <v>76</v>
      </c>
      <c r="M1860" s="8" t="s">
        <v>77</v>
      </c>
    </row>
    <row r="1861" spans="1:13" x14ac:dyDescent="0.25">
      <c r="A1861" s="9">
        <v>1822</v>
      </c>
      <c r="B1861" s="10">
        <v>45590</v>
      </c>
      <c r="C1861" s="11" t="s">
        <v>101</v>
      </c>
      <c r="D1861" s="11" t="s">
        <v>73</v>
      </c>
      <c r="E1861" s="11" t="s">
        <v>74</v>
      </c>
      <c r="F1861" s="11" t="s">
        <v>118</v>
      </c>
      <c r="G1861" s="9">
        <v>21</v>
      </c>
      <c r="H1861" s="9">
        <v>31200</v>
      </c>
      <c r="I1861" s="9">
        <v>20</v>
      </c>
      <c r="J1861" s="9">
        <f t="shared" si="58"/>
        <v>655200</v>
      </c>
      <c r="K1861" s="9">
        <f t="shared" si="59"/>
        <v>524160</v>
      </c>
      <c r="L1861" s="11" t="s">
        <v>76</v>
      </c>
      <c r="M1861" s="11" t="s">
        <v>91</v>
      </c>
    </row>
    <row r="1862" spans="1:13" x14ac:dyDescent="0.25">
      <c r="A1862" s="6">
        <v>124</v>
      </c>
      <c r="B1862" s="7">
        <v>45165</v>
      </c>
      <c r="C1862" s="8" t="s">
        <v>88</v>
      </c>
      <c r="D1862" s="8" t="s">
        <v>109</v>
      </c>
      <c r="E1862" s="8" t="s">
        <v>102</v>
      </c>
      <c r="F1862" s="8" t="s">
        <v>138</v>
      </c>
      <c r="G1862" s="6">
        <v>10</v>
      </c>
      <c r="H1862" s="6">
        <v>6300</v>
      </c>
      <c r="I1862" s="6">
        <v>20</v>
      </c>
      <c r="J1862" s="6">
        <f t="shared" si="58"/>
        <v>63000</v>
      </c>
      <c r="K1862" s="6">
        <f t="shared" si="59"/>
        <v>50400</v>
      </c>
      <c r="L1862" s="8" t="s">
        <v>125</v>
      </c>
      <c r="M1862" s="8" t="s">
        <v>96</v>
      </c>
    </row>
    <row r="1863" spans="1:13" x14ac:dyDescent="0.25">
      <c r="A1863" s="9">
        <v>1823</v>
      </c>
      <c r="B1863" s="11" t="s">
        <v>628</v>
      </c>
      <c r="C1863" s="11" t="s">
        <v>82</v>
      </c>
      <c r="D1863" s="11" t="s">
        <v>109</v>
      </c>
      <c r="E1863" s="11" t="s">
        <v>102</v>
      </c>
      <c r="F1863" s="11" t="s">
        <v>197</v>
      </c>
      <c r="G1863" s="9">
        <v>41</v>
      </c>
      <c r="H1863" s="9">
        <v>4000</v>
      </c>
      <c r="I1863" s="9">
        <v>0</v>
      </c>
      <c r="J1863" s="9">
        <f t="shared" si="58"/>
        <v>164000</v>
      </c>
      <c r="K1863" s="9">
        <f t="shared" si="59"/>
        <v>164000</v>
      </c>
      <c r="L1863" s="11" t="s">
        <v>76</v>
      </c>
      <c r="M1863" s="11" t="s">
        <v>96</v>
      </c>
    </row>
    <row r="1864" spans="1:13" x14ac:dyDescent="0.25">
      <c r="A1864" s="6">
        <v>361</v>
      </c>
      <c r="B1864" s="7">
        <v>45543</v>
      </c>
      <c r="C1864" s="8" t="s">
        <v>88</v>
      </c>
      <c r="D1864" s="8" t="s">
        <v>93</v>
      </c>
      <c r="E1864" s="8" t="s">
        <v>84</v>
      </c>
      <c r="F1864" s="8" t="s">
        <v>150</v>
      </c>
      <c r="G1864" s="6">
        <v>10</v>
      </c>
      <c r="H1864" s="6">
        <v>6200</v>
      </c>
      <c r="I1864" s="6">
        <v>0</v>
      </c>
      <c r="J1864" s="6">
        <f t="shared" si="58"/>
        <v>62000</v>
      </c>
      <c r="K1864" s="6">
        <f t="shared" si="59"/>
        <v>62000</v>
      </c>
      <c r="L1864" s="8" t="s">
        <v>76</v>
      </c>
      <c r="M1864" s="8" t="s">
        <v>77</v>
      </c>
    </row>
    <row r="1865" spans="1:13" x14ac:dyDescent="0.25">
      <c r="A1865" s="9">
        <v>347</v>
      </c>
      <c r="B1865" s="10">
        <v>44957</v>
      </c>
      <c r="C1865" s="11" t="s">
        <v>114</v>
      </c>
      <c r="D1865" s="11" t="s">
        <v>83</v>
      </c>
      <c r="E1865" s="11" t="s">
        <v>84</v>
      </c>
      <c r="F1865" s="11" t="s">
        <v>200</v>
      </c>
      <c r="G1865" s="9">
        <v>12</v>
      </c>
      <c r="H1865" s="9">
        <v>3100</v>
      </c>
      <c r="I1865" s="9">
        <v>0</v>
      </c>
      <c r="J1865" s="9">
        <f t="shared" si="58"/>
        <v>37200</v>
      </c>
      <c r="K1865" s="9">
        <f t="shared" si="59"/>
        <v>37200</v>
      </c>
      <c r="L1865" s="11" t="s">
        <v>76</v>
      </c>
      <c r="M1865" s="11" t="s">
        <v>91</v>
      </c>
    </row>
    <row r="1866" spans="1:13" x14ac:dyDescent="0.25">
      <c r="A1866" s="6">
        <v>1824</v>
      </c>
      <c r="B1866" s="7">
        <v>45579</v>
      </c>
      <c r="C1866" s="8" t="s">
        <v>101</v>
      </c>
      <c r="D1866" s="8" t="s">
        <v>117</v>
      </c>
      <c r="E1866" s="8" t="s">
        <v>79</v>
      </c>
      <c r="F1866" s="8" t="s">
        <v>172</v>
      </c>
      <c r="G1866" s="6">
        <v>39</v>
      </c>
      <c r="H1866" s="6">
        <v>25300</v>
      </c>
      <c r="I1866" s="6">
        <v>0</v>
      </c>
      <c r="J1866" s="6">
        <f t="shared" si="58"/>
        <v>986700</v>
      </c>
      <c r="K1866" s="6">
        <f t="shared" si="59"/>
        <v>986700</v>
      </c>
      <c r="L1866" s="8" t="s">
        <v>76</v>
      </c>
      <c r="M1866" s="8" t="s">
        <v>81</v>
      </c>
    </row>
    <row r="1867" spans="1:13" x14ac:dyDescent="0.25">
      <c r="A1867" s="9">
        <v>1825</v>
      </c>
      <c r="B1867" s="10">
        <v>45386</v>
      </c>
      <c r="C1867" s="11" t="s">
        <v>108</v>
      </c>
      <c r="D1867" s="11" t="s">
        <v>83</v>
      </c>
      <c r="E1867" s="11" t="s">
        <v>111</v>
      </c>
      <c r="F1867" s="11" t="s">
        <v>166</v>
      </c>
      <c r="G1867" s="9">
        <v>23</v>
      </c>
      <c r="H1867" s="9">
        <v>29400</v>
      </c>
      <c r="I1867" s="9">
        <v>15</v>
      </c>
      <c r="J1867" s="9">
        <f t="shared" si="58"/>
        <v>676200</v>
      </c>
      <c r="K1867" s="9">
        <f t="shared" si="59"/>
        <v>574770</v>
      </c>
      <c r="L1867" s="11" t="s">
        <v>76</v>
      </c>
      <c r="M1867" s="11" t="s">
        <v>77</v>
      </c>
    </row>
    <row r="1868" spans="1:13" x14ac:dyDescent="0.25">
      <c r="A1868" s="6">
        <v>1826</v>
      </c>
      <c r="B1868" s="7">
        <v>45430</v>
      </c>
      <c r="C1868" s="8" t="s">
        <v>119</v>
      </c>
      <c r="D1868" s="8" t="s">
        <v>98</v>
      </c>
      <c r="E1868" s="8" t="s">
        <v>79</v>
      </c>
      <c r="F1868" s="8" t="s">
        <v>122</v>
      </c>
      <c r="G1868" s="6">
        <v>39</v>
      </c>
      <c r="H1868" s="6">
        <v>18700</v>
      </c>
      <c r="I1868" s="6">
        <v>0</v>
      </c>
      <c r="J1868" s="6">
        <f t="shared" si="58"/>
        <v>729300</v>
      </c>
      <c r="K1868" s="6">
        <f t="shared" si="59"/>
        <v>729300</v>
      </c>
      <c r="L1868" s="8" t="s">
        <v>76</v>
      </c>
      <c r="M1868" s="8" t="s">
        <v>96</v>
      </c>
    </row>
    <row r="1869" spans="1:13" x14ac:dyDescent="0.25">
      <c r="A1869" s="9">
        <v>1827</v>
      </c>
      <c r="B1869" s="10">
        <v>45333</v>
      </c>
      <c r="C1869" s="11" t="s">
        <v>82</v>
      </c>
      <c r="D1869" s="11" t="s">
        <v>93</v>
      </c>
      <c r="E1869" s="11" t="s">
        <v>74</v>
      </c>
      <c r="F1869" s="11" t="s">
        <v>118</v>
      </c>
      <c r="G1869" s="9">
        <v>13</v>
      </c>
      <c r="H1869" s="9" t="s">
        <v>629</v>
      </c>
      <c r="I1869" s="9">
        <v>0</v>
      </c>
      <c r="J1869" s="9" t="e">
        <f t="shared" si="58"/>
        <v>#VALUE!</v>
      </c>
      <c r="K1869" s="9" t="e">
        <f t="shared" si="59"/>
        <v>#VALUE!</v>
      </c>
      <c r="L1869" s="11" t="s">
        <v>76</v>
      </c>
      <c r="M1869" s="11" t="s">
        <v>81</v>
      </c>
    </row>
    <row r="1870" spans="1:13" x14ac:dyDescent="0.25">
      <c r="A1870" s="6">
        <v>1828</v>
      </c>
      <c r="B1870" s="7">
        <v>45062</v>
      </c>
      <c r="C1870" s="8" t="s">
        <v>88</v>
      </c>
      <c r="D1870" s="8" t="s">
        <v>117</v>
      </c>
      <c r="E1870" s="8" t="s">
        <v>84</v>
      </c>
      <c r="F1870" s="8" t="s">
        <v>90</v>
      </c>
      <c r="G1870" s="6">
        <v>26</v>
      </c>
      <c r="H1870" s="6">
        <v>1800</v>
      </c>
      <c r="I1870" s="6">
        <v>5</v>
      </c>
      <c r="J1870" s="6">
        <f t="shared" si="58"/>
        <v>46800</v>
      </c>
      <c r="K1870" s="6">
        <f t="shared" si="59"/>
        <v>44460</v>
      </c>
      <c r="L1870" s="8" t="s">
        <v>76</v>
      </c>
      <c r="M1870" s="8" t="s">
        <v>77</v>
      </c>
    </row>
    <row r="1871" spans="1:13" x14ac:dyDescent="0.25">
      <c r="A1871" s="9">
        <v>1829</v>
      </c>
      <c r="B1871" s="10">
        <v>44937</v>
      </c>
      <c r="C1871" s="11" t="s">
        <v>106</v>
      </c>
      <c r="D1871" s="11" t="s">
        <v>109</v>
      </c>
      <c r="E1871" s="11" t="s">
        <v>79</v>
      </c>
      <c r="F1871" s="11" t="s">
        <v>131</v>
      </c>
      <c r="G1871" s="9">
        <v>1</v>
      </c>
      <c r="H1871" s="9">
        <v>126100</v>
      </c>
      <c r="I1871" s="9">
        <v>20</v>
      </c>
      <c r="J1871" s="9">
        <f t="shared" si="58"/>
        <v>126100</v>
      </c>
      <c r="K1871" s="9">
        <f t="shared" si="59"/>
        <v>100880</v>
      </c>
      <c r="L1871" s="11" t="s">
        <v>76</v>
      </c>
      <c r="M1871" s="11" t="s">
        <v>81</v>
      </c>
    </row>
    <row r="1872" spans="1:13" x14ac:dyDescent="0.25">
      <c r="A1872" s="6">
        <v>1830</v>
      </c>
      <c r="B1872" s="7">
        <v>45359</v>
      </c>
      <c r="C1872" s="8" t="s">
        <v>106</v>
      </c>
      <c r="D1872" s="8" t="s">
        <v>93</v>
      </c>
      <c r="E1872" s="8" t="s">
        <v>149</v>
      </c>
      <c r="F1872" s="8" t="s">
        <v>142</v>
      </c>
      <c r="G1872" s="6">
        <v>35</v>
      </c>
      <c r="H1872" s="6">
        <v>12200</v>
      </c>
      <c r="I1872" s="6">
        <v>5</v>
      </c>
      <c r="J1872" s="6">
        <f t="shared" si="58"/>
        <v>427000</v>
      </c>
      <c r="K1872" s="6">
        <f t="shared" si="59"/>
        <v>405650</v>
      </c>
      <c r="L1872" s="8" t="s">
        <v>76</v>
      </c>
      <c r="M1872" s="8" t="s">
        <v>96</v>
      </c>
    </row>
    <row r="1873" spans="1:13" x14ac:dyDescent="0.25">
      <c r="A1873" s="9">
        <v>1831</v>
      </c>
      <c r="B1873" s="10">
        <v>45051</v>
      </c>
      <c r="C1873" s="11" t="s">
        <v>106</v>
      </c>
      <c r="D1873" s="11" t="s">
        <v>109</v>
      </c>
      <c r="E1873" s="11" t="s">
        <v>111</v>
      </c>
      <c r="F1873" s="11" t="s">
        <v>112</v>
      </c>
      <c r="G1873" s="9">
        <v>35</v>
      </c>
      <c r="H1873" s="9">
        <v>73000</v>
      </c>
      <c r="I1873" s="9"/>
      <c r="J1873" s="9">
        <f t="shared" si="58"/>
        <v>2555000</v>
      </c>
      <c r="K1873" s="9">
        <f t="shared" si="59"/>
        <v>2555000</v>
      </c>
      <c r="L1873" s="11" t="s">
        <v>76</v>
      </c>
      <c r="M1873" s="11" t="s">
        <v>96</v>
      </c>
    </row>
    <row r="1874" spans="1:13" x14ac:dyDescent="0.25">
      <c r="A1874" s="6">
        <v>1832</v>
      </c>
      <c r="B1874" s="7">
        <v>44977</v>
      </c>
      <c r="C1874" s="8" t="s">
        <v>108</v>
      </c>
      <c r="D1874" s="8" t="s">
        <v>93</v>
      </c>
      <c r="E1874" s="8" t="s">
        <v>74</v>
      </c>
      <c r="F1874" s="8" t="s">
        <v>94</v>
      </c>
      <c r="G1874" s="6">
        <v>26</v>
      </c>
      <c r="H1874" s="6">
        <v>32700</v>
      </c>
      <c r="I1874" s="6">
        <v>20</v>
      </c>
      <c r="J1874" s="6">
        <f t="shared" si="58"/>
        <v>850200</v>
      </c>
      <c r="K1874" s="6">
        <f t="shared" si="59"/>
        <v>680160</v>
      </c>
      <c r="L1874" s="8" t="s">
        <v>129</v>
      </c>
      <c r="M1874" s="8" t="s">
        <v>77</v>
      </c>
    </row>
    <row r="1875" spans="1:13" x14ac:dyDescent="0.25">
      <c r="A1875" s="9">
        <v>1833</v>
      </c>
      <c r="B1875" s="10">
        <v>45023</v>
      </c>
      <c r="C1875" s="11" t="s">
        <v>114</v>
      </c>
      <c r="D1875" s="11" t="s">
        <v>117</v>
      </c>
      <c r="E1875" s="11" t="s">
        <v>74</v>
      </c>
      <c r="F1875" s="11" t="s">
        <v>94</v>
      </c>
      <c r="G1875" s="9">
        <v>14</v>
      </c>
      <c r="H1875" s="9">
        <v>33600</v>
      </c>
      <c r="I1875" s="9">
        <v>5</v>
      </c>
      <c r="J1875" s="9">
        <f t="shared" si="58"/>
        <v>470400</v>
      </c>
      <c r="K1875" s="9">
        <f t="shared" si="59"/>
        <v>446880</v>
      </c>
      <c r="L1875" s="11" t="s">
        <v>86</v>
      </c>
      <c r="M1875" s="11" t="s">
        <v>77</v>
      </c>
    </row>
    <row r="1876" spans="1:13" x14ac:dyDescent="0.25">
      <c r="A1876" s="6">
        <v>106</v>
      </c>
      <c r="B1876" s="7">
        <v>44984</v>
      </c>
      <c r="C1876" s="8" t="s">
        <v>101</v>
      </c>
      <c r="D1876" s="8" t="s">
        <v>117</v>
      </c>
      <c r="E1876" s="8" t="s">
        <v>74</v>
      </c>
      <c r="F1876" s="8" t="s">
        <v>140</v>
      </c>
      <c r="G1876" s="6">
        <v>34</v>
      </c>
      <c r="H1876" s="6">
        <v>4200</v>
      </c>
      <c r="I1876" s="6">
        <v>0</v>
      </c>
      <c r="J1876" s="6">
        <f t="shared" si="58"/>
        <v>142800</v>
      </c>
      <c r="K1876" s="6">
        <f t="shared" si="59"/>
        <v>142800</v>
      </c>
      <c r="L1876" s="8" t="s">
        <v>76</v>
      </c>
      <c r="M1876" s="8" t="s">
        <v>81</v>
      </c>
    </row>
    <row r="1877" spans="1:13" x14ac:dyDescent="0.25">
      <c r="A1877" s="9">
        <v>1834</v>
      </c>
      <c r="B1877" s="10">
        <v>45408</v>
      </c>
      <c r="C1877" s="11" t="s">
        <v>82</v>
      </c>
      <c r="D1877" s="11" t="s">
        <v>73</v>
      </c>
      <c r="E1877" s="11" t="s">
        <v>84</v>
      </c>
      <c r="F1877" s="11" t="s">
        <v>85</v>
      </c>
      <c r="G1877" s="9">
        <v>32</v>
      </c>
      <c r="H1877" s="9">
        <v>5900</v>
      </c>
      <c r="I1877" s="9">
        <v>0</v>
      </c>
      <c r="J1877" s="9">
        <f t="shared" si="58"/>
        <v>188800</v>
      </c>
      <c r="K1877" s="9">
        <f t="shared" si="59"/>
        <v>188800</v>
      </c>
      <c r="L1877" s="11" t="s">
        <v>86</v>
      </c>
      <c r="M1877" s="11" t="s">
        <v>81</v>
      </c>
    </row>
    <row r="1878" spans="1:13" x14ac:dyDescent="0.25">
      <c r="A1878" s="6">
        <v>1835</v>
      </c>
      <c r="B1878" s="7">
        <v>45003</v>
      </c>
      <c r="C1878" s="8" t="s">
        <v>78</v>
      </c>
      <c r="D1878" s="8" t="s">
        <v>109</v>
      </c>
      <c r="E1878" s="8" t="s">
        <v>292</v>
      </c>
      <c r="F1878" s="8" t="s">
        <v>172</v>
      </c>
      <c r="G1878" s="6">
        <v>38</v>
      </c>
      <c r="H1878" s="6">
        <v>28100</v>
      </c>
      <c r="I1878" s="6">
        <v>0</v>
      </c>
      <c r="J1878" s="6">
        <f t="shared" si="58"/>
        <v>1067800</v>
      </c>
      <c r="K1878" s="6">
        <f t="shared" si="59"/>
        <v>1067800</v>
      </c>
      <c r="L1878" s="8" t="s">
        <v>76</v>
      </c>
      <c r="M1878" s="8" t="s">
        <v>81</v>
      </c>
    </row>
    <row r="1879" spans="1:13" x14ac:dyDescent="0.25">
      <c r="A1879" s="9">
        <v>1836</v>
      </c>
      <c r="B1879" s="10">
        <v>45570</v>
      </c>
      <c r="C1879" s="11" t="s">
        <v>106</v>
      </c>
      <c r="D1879" s="11" t="s">
        <v>117</v>
      </c>
      <c r="E1879" s="11" t="s">
        <v>102</v>
      </c>
      <c r="F1879" s="11" t="s">
        <v>151</v>
      </c>
      <c r="G1879" s="9">
        <v>35</v>
      </c>
      <c r="H1879" s="9">
        <v>7100</v>
      </c>
      <c r="I1879" s="9">
        <v>20</v>
      </c>
      <c r="J1879" s="9">
        <f t="shared" si="58"/>
        <v>248500</v>
      </c>
      <c r="K1879" s="9">
        <f t="shared" si="59"/>
        <v>198800</v>
      </c>
      <c r="L1879" s="11" t="s">
        <v>76</v>
      </c>
      <c r="M1879" s="11"/>
    </row>
    <row r="1880" spans="1:13" x14ac:dyDescent="0.25">
      <c r="A1880" s="6">
        <v>1837</v>
      </c>
      <c r="B1880" s="7">
        <v>45630</v>
      </c>
      <c r="C1880" s="8" t="s">
        <v>124</v>
      </c>
      <c r="D1880" s="8" t="s">
        <v>83</v>
      </c>
      <c r="E1880" s="8" t="s">
        <v>84</v>
      </c>
      <c r="F1880" s="8" t="s">
        <v>148</v>
      </c>
      <c r="G1880" s="6">
        <v>15</v>
      </c>
      <c r="H1880" s="6">
        <v>5400</v>
      </c>
      <c r="I1880" s="6">
        <v>0</v>
      </c>
      <c r="J1880" s="6">
        <f t="shared" si="58"/>
        <v>81000</v>
      </c>
      <c r="K1880" s="6">
        <f t="shared" si="59"/>
        <v>81000</v>
      </c>
      <c r="L1880" s="8" t="s">
        <v>107</v>
      </c>
      <c r="M1880" s="8" t="s">
        <v>81</v>
      </c>
    </row>
    <row r="1881" spans="1:13" x14ac:dyDescent="0.25">
      <c r="A1881" s="9">
        <v>1838</v>
      </c>
      <c r="B1881" s="10">
        <v>45454</v>
      </c>
      <c r="C1881" s="11" t="s">
        <v>108</v>
      </c>
      <c r="D1881" s="11" t="s">
        <v>93</v>
      </c>
      <c r="E1881" s="11" t="s">
        <v>74</v>
      </c>
      <c r="F1881" s="11" t="s">
        <v>140</v>
      </c>
      <c r="G1881" s="9">
        <v>15</v>
      </c>
      <c r="H1881" s="9">
        <v>4100</v>
      </c>
      <c r="I1881" s="9">
        <v>15</v>
      </c>
      <c r="J1881" s="9">
        <f t="shared" si="58"/>
        <v>61500</v>
      </c>
      <c r="K1881" s="9">
        <f t="shared" si="59"/>
        <v>52275</v>
      </c>
      <c r="L1881" s="11" t="s">
        <v>76</v>
      </c>
      <c r="M1881" s="11" t="s">
        <v>91</v>
      </c>
    </row>
    <row r="1882" spans="1:13" x14ac:dyDescent="0.25">
      <c r="A1882" s="6">
        <v>1839</v>
      </c>
      <c r="B1882" s="8" t="s">
        <v>630</v>
      </c>
      <c r="C1882" s="8" t="s">
        <v>119</v>
      </c>
      <c r="D1882" s="8" t="s">
        <v>93</v>
      </c>
      <c r="E1882" s="8" t="s">
        <v>203</v>
      </c>
      <c r="F1882" s="8" t="s">
        <v>151</v>
      </c>
      <c r="G1882" s="6">
        <v>8</v>
      </c>
      <c r="H1882" s="6" t="s">
        <v>631</v>
      </c>
      <c r="I1882" s="6">
        <v>5</v>
      </c>
      <c r="J1882" s="6">
        <f t="shared" si="58"/>
        <v>60000</v>
      </c>
      <c r="K1882" s="6">
        <f t="shared" si="59"/>
        <v>57000</v>
      </c>
      <c r="L1882" s="8" t="s">
        <v>76</v>
      </c>
      <c r="M1882" s="8" t="s">
        <v>77</v>
      </c>
    </row>
    <row r="1883" spans="1:13" x14ac:dyDescent="0.25">
      <c r="A1883" s="9">
        <v>1840</v>
      </c>
      <c r="B1883" s="10">
        <v>45435</v>
      </c>
      <c r="C1883" s="11" t="s">
        <v>106</v>
      </c>
      <c r="D1883" s="11" t="s">
        <v>83</v>
      </c>
      <c r="E1883" s="11" t="s">
        <v>102</v>
      </c>
      <c r="F1883" s="11" t="s">
        <v>103</v>
      </c>
      <c r="G1883" s="9">
        <v>1</v>
      </c>
      <c r="H1883" s="9">
        <v>10900</v>
      </c>
      <c r="I1883" s="9">
        <v>5</v>
      </c>
      <c r="J1883" s="9">
        <f t="shared" si="58"/>
        <v>10900</v>
      </c>
      <c r="K1883" s="9">
        <f t="shared" si="59"/>
        <v>10355</v>
      </c>
      <c r="L1883" s="11" t="s">
        <v>76</v>
      </c>
      <c r="M1883" s="11" t="s">
        <v>77</v>
      </c>
    </row>
    <row r="1884" spans="1:13" x14ac:dyDescent="0.25">
      <c r="A1884" s="6">
        <v>1841</v>
      </c>
      <c r="B1884" s="7">
        <v>45480</v>
      </c>
      <c r="C1884" s="8" t="s">
        <v>108</v>
      </c>
      <c r="D1884" s="8" t="s">
        <v>73</v>
      </c>
      <c r="E1884" s="8" t="s">
        <v>84</v>
      </c>
      <c r="F1884" s="8" t="s">
        <v>128</v>
      </c>
      <c r="G1884" s="6">
        <v>23</v>
      </c>
      <c r="H1884" s="6">
        <v>4000</v>
      </c>
      <c r="I1884" s="6">
        <v>0</v>
      </c>
      <c r="J1884" s="6">
        <f t="shared" si="58"/>
        <v>92000</v>
      </c>
      <c r="K1884" s="6">
        <f t="shared" si="59"/>
        <v>92000</v>
      </c>
      <c r="L1884" s="8" t="s">
        <v>76</v>
      </c>
      <c r="M1884" s="8" t="s">
        <v>81</v>
      </c>
    </row>
    <row r="1885" spans="1:13" x14ac:dyDescent="0.25">
      <c r="A1885" s="9">
        <v>1842</v>
      </c>
      <c r="B1885" s="10">
        <v>45329</v>
      </c>
      <c r="C1885" s="11" t="s">
        <v>88</v>
      </c>
      <c r="D1885" s="11" t="s">
        <v>73</v>
      </c>
      <c r="E1885" s="11" t="s">
        <v>74</v>
      </c>
      <c r="F1885" s="11" t="s">
        <v>99</v>
      </c>
      <c r="G1885" s="9">
        <v>44</v>
      </c>
      <c r="H1885" s="9">
        <v>4000</v>
      </c>
      <c r="I1885" s="9">
        <v>15</v>
      </c>
      <c r="J1885" s="9">
        <f t="shared" si="58"/>
        <v>176000</v>
      </c>
      <c r="K1885" s="9">
        <f t="shared" si="59"/>
        <v>149600</v>
      </c>
      <c r="L1885" s="11" t="s">
        <v>76</v>
      </c>
      <c r="M1885" s="11" t="s">
        <v>81</v>
      </c>
    </row>
    <row r="1886" spans="1:13" x14ac:dyDescent="0.25">
      <c r="A1886" s="6">
        <v>1843</v>
      </c>
      <c r="B1886" s="7">
        <v>45001</v>
      </c>
      <c r="C1886" s="8" t="s">
        <v>237</v>
      </c>
      <c r="D1886" s="8" t="s">
        <v>109</v>
      </c>
      <c r="E1886" s="8" t="s">
        <v>79</v>
      </c>
      <c r="F1886" s="8" t="s">
        <v>122</v>
      </c>
      <c r="G1886" s="6">
        <v>26</v>
      </c>
      <c r="H1886" s="6">
        <v>17700</v>
      </c>
      <c r="I1886" s="6">
        <v>10</v>
      </c>
      <c r="J1886" s="6">
        <f t="shared" si="58"/>
        <v>460200</v>
      </c>
      <c r="K1886" s="6">
        <f t="shared" si="59"/>
        <v>414180</v>
      </c>
      <c r="L1886" s="8" t="s">
        <v>125</v>
      </c>
      <c r="M1886" s="8" t="s">
        <v>77</v>
      </c>
    </row>
    <row r="1887" spans="1:13" x14ac:dyDescent="0.25">
      <c r="A1887" s="9">
        <v>1844</v>
      </c>
      <c r="B1887" s="10">
        <v>45531</v>
      </c>
      <c r="C1887" s="11" t="s">
        <v>82</v>
      </c>
      <c r="D1887" s="11" t="s">
        <v>117</v>
      </c>
      <c r="E1887" s="11" t="s">
        <v>176</v>
      </c>
      <c r="F1887" s="11" t="s">
        <v>148</v>
      </c>
      <c r="G1887" s="9">
        <v>35</v>
      </c>
      <c r="H1887" s="9">
        <v>5100</v>
      </c>
      <c r="I1887" s="9">
        <v>0</v>
      </c>
      <c r="J1887" s="9">
        <f t="shared" si="58"/>
        <v>178500</v>
      </c>
      <c r="K1887" s="9">
        <f t="shared" si="59"/>
        <v>178500</v>
      </c>
      <c r="L1887" s="11" t="s">
        <v>76</v>
      </c>
      <c r="M1887" s="11" t="s">
        <v>77</v>
      </c>
    </row>
    <row r="1888" spans="1:13" x14ac:dyDescent="0.25">
      <c r="A1888" s="6">
        <v>1845</v>
      </c>
      <c r="B1888" s="7">
        <v>45056</v>
      </c>
      <c r="C1888" s="8" t="s">
        <v>78</v>
      </c>
      <c r="D1888" s="8" t="s">
        <v>117</v>
      </c>
      <c r="E1888" s="8" t="s">
        <v>79</v>
      </c>
      <c r="F1888" s="8" t="s">
        <v>80</v>
      </c>
      <c r="G1888" s="6">
        <v>35</v>
      </c>
      <c r="H1888" s="6">
        <v>9100</v>
      </c>
      <c r="I1888" s="6">
        <v>10</v>
      </c>
      <c r="J1888" s="6">
        <f t="shared" si="58"/>
        <v>318500</v>
      </c>
      <c r="K1888" s="6">
        <f t="shared" si="59"/>
        <v>286650</v>
      </c>
      <c r="L1888" s="8" t="s">
        <v>76</v>
      </c>
      <c r="M1888" s="8" t="s">
        <v>96</v>
      </c>
    </row>
    <row r="1889" spans="1:13" x14ac:dyDescent="0.25">
      <c r="A1889" s="9">
        <v>1846</v>
      </c>
      <c r="B1889" s="11" t="s">
        <v>632</v>
      </c>
      <c r="C1889" s="11" t="s">
        <v>153</v>
      </c>
      <c r="D1889" s="11" t="s">
        <v>117</v>
      </c>
      <c r="E1889" s="11" t="s">
        <v>102</v>
      </c>
      <c r="F1889" s="11" t="s">
        <v>157</v>
      </c>
      <c r="G1889" s="9">
        <v>40</v>
      </c>
      <c r="H1889" s="9">
        <v>13300</v>
      </c>
      <c r="I1889" s="9">
        <v>15</v>
      </c>
      <c r="J1889" s="9">
        <f t="shared" si="58"/>
        <v>532000</v>
      </c>
      <c r="K1889" s="9">
        <f t="shared" si="59"/>
        <v>452200</v>
      </c>
      <c r="L1889" s="11" t="s">
        <v>76</v>
      </c>
      <c r="M1889" s="11" t="s">
        <v>77</v>
      </c>
    </row>
    <row r="1890" spans="1:13" x14ac:dyDescent="0.25">
      <c r="A1890" s="6">
        <v>1847</v>
      </c>
      <c r="B1890" s="7">
        <v>45013</v>
      </c>
      <c r="C1890" s="8" t="s">
        <v>169</v>
      </c>
      <c r="D1890" s="8" t="s">
        <v>117</v>
      </c>
      <c r="E1890" s="8" t="s">
        <v>111</v>
      </c>
      <c r="F1890" s="8" t="s">
        <v>159</v>
      </c>
      <c r="G1890" s="6">
        <v>49</v>
      </c>
      <c r="H1890" s="6">
        <v>13700</v>
      </c>
      <c r="I1890" s="6">
        <v>0</v>
      </c>
      <c r="J1890" s="6">
        <f t="shared" si="58"/>
        <v>671300</v>
      </c>
      <c r="K1890" s="6">
        <f t="shared" si="59"/>
        <v>671300</v>
      </c>
      <c r="L1890" s="8" t="s">
        <v>107</v>
      </c>
      <c r="M1890" s="8" t="s">
        <v>91</v>
      </c>
    </row>
    <row r="1891" spans="1:13" x14ac:dyDescent="0.25">
      <c r="A1891" s="9">
        <v>1848</v>
      </c>
      <c r="B1891" s="10">
        <v>45292</v>
      </c>
      <c r="C1891" s="11" t="s">
        <v>108</v>
      </c>
      <c r="D1891" s="11" t="s">
        <v>109</v>
      </c>
      <c r="E1891" s="11" t="s">
        <v>102</v>
      </c>
      <c r="F1891" s="11" t="s">
        <v>151</v>
      </c>
      <c r="G1891" s="9">
        <v>31</v>
      </c>
      <c r="H1891" s="9">
        <v>7600</v>
      </c>
      <c r="I1891" s="9">
        <v>0</v>
      </c>
      <c r="J1891" s="9">
        <f t="shared" si="58"/>
        <v>235600</v>
      </c>
      <c r="K1891" s="9">
        <f t="shared" si="59"/>
        <v>235600</v>
      </c>
      <c r="L1891" s="11" t="s">
        <v>76</v>
      </c>
      <c r="M1891" s="11" t="s">
        <v>81</v>
      </c>
    </row>
    <row r="1892" spans="1:13" x14ac:dyDescent="0.25">
      <c r="A1892" s="6">
        <v>1849</v>
      </c>
      <c r="B1892" s="7">
        <v>45557</v>
      </c>
      <c r="C1892" s="8" t="s">
        <v>224</v>
      </c>
      <c r="D1892" s="8" t="s">
        <v>117</v>
      </c>
      <c r="E1892" s="8" t="s">
        <v>111</v>
      </c>
      <c r="F1892" s="8" t="s">
        <v>112</v>
      </c>
      <c r="G1892" s="6">
        <v>5</v>
      </c>
      <c r="H1892" s="6">
        <v>74200</v>
      </c>
      <c r="I1892" s="6">
        <v>5</v>
      </c>
      <c r="J1892" s="6">
        <f t="shared" si="58"/>
        <v>371000</v>
      </c>
      <c r="K1892" s="6">
        <f t="shared" si="59"/>
        <v>352450</v>
      </c>
      <c r="L1892" s="8" t="s">
        <v>86</v>
      </c>
      <c r="M1892" s="8" t="s">
        <v>91</v>
      </c>
    </row>
    <row r="1893" spans="1:13" x14ac:dyDescent="0.25">
      <c r="A1893" s="9">
        <v>1850</v>
      </c>
      <c r="B1893" s="10">
        <v>45552</v>
      </c>
      <c r="C1893" s="11" t="s">
        <v>82</v>
      </c>
      <c r="D1893" s="11" t="s">
        <v>83</v>
      </c>
      <c r="E1893" s="11" t="s">
        <v>111</v>
      </c>
      <c r="F1893" s="11" t="s">
        <v>166</v>
      </c>
      <c r="G1893" s="9">
        <v>37</v>
      </c>
      <c r="H1893" s="9">
        <v>31200</v>
      </c>
      <c r="I1893" s="9">
        <v>15</v>
      </c>
      <c r="J1893" s="9">
        <f t="shared" si="58"/>
        <v>1154400</v>
      </c>
      <c r="K1893" s="9">
        <f t="shared" si="59"/>
        <v>981240</v>
      </c>
      <c r="L1893" s="11" t="s">
        <v>107</v>
      </c>
      <c r="M1893" s="11" t="s">
        <v>91</v>
      </c>
    </row>
    <row r="1894" spans="1:13" x14ac:dyDescent="0.25">
      <c r="A1894" s="6">
        <v>1851</v>
      </c>
      <c r="B1894" s="8" t="s">
        <v>633</v>
      </c>
      <c r="C1894" s="8" t="s">
        <v>108</v>
      </c>
      <c r="D1894" s="8" t="s">
        <v>117</v>
      </c>
      <c r="E1894" s="8" t="s">
        <v>203</v>
      </c>
      <c r="F1894" s="8" t="s">
        <v>181</v>
      </c>
      <c r="G1894" s="6">
        <v>48</v>
      </c>
      <c r="H1894" s="6">
        <v>4600</v>
      </c>
      <c r="I1894" s="6">
        <v>15</v>
      </c>
      <c r="J1894" s="6">
        <f t="shared" si="58"/>
        <v>220800</v>
      </c>
      <c r="K1894" s="6">
        <f t="shared" si="59"/>
        <v>187680</v>
      </c>
      <c r="L1894" s="8" t="s">
        <v>76</v>
      </c>
      <c r="M1894" s="8" t="s">
        <v>96</v>
      </c>
    </row>
    <row r="1895" spans="1:13" x14ac:dyDescent="0.25">
      <c r="A1895" s="9">
        <v>1852</v>
      </c>
      <c r="B1895" s="10">
        <v>45463</v>
      </c>
      <c r="C1895" s="11" t="s">
        <v>78</v>
      </c>
      <c r="D1895" s="11" t="s">
        <v>83</v>
      </c>
      <c r="E1895" s="11" t="s">
        <v>84</v>
      </c>
      <c r="F1895" s="11" t="s">
        <v>90</v>
      </c>
      <c r="G1895" s="9">
        <v>45</v>
      </c>
      <c r="H1895" s="9">
        <v>1800</v>
      </c>
      <c r="I1895" s="9">
        <v>15</v>
      </c>
      <c r="J1895" s="9">
        <f t="shared" si="58"/>
        <v>81000</v>
      </c>
      <c r="K1895" s="9">
        <f t="shared" si="59"/>
        <v>68850</v>
      </c>
      <c r="L1895" s="11" t="s">
        <v>174</v>
      </c>
      <c r="M1895" s="11" t="s">
        <v>77</v>
      </c>
    </row>
    <row r="1896" spans="1:13" x14ac:dyDescent="0.25">
      <c r="A1896" s="6">
        <v>1853</v>
      </c>
      <c r="B1896" s="7">
        <v>45296</v>
      </c>
      <c r="C1896" s="8" t="s">
        <v>114</v>
      </c>
      <c r="D1896" s="8" t="s">
        <v>83</v>
      </c>
      <c r="E1896" s="8" t="s">
        <v>213</v>
      </c>
      <c r="F1896" s="8" t="s">
        <v>157</v>
      </c>
      <c r="G1896" s="6">
        <v>37</v>
      </c>
      <c r="H1896" s="6">
        <v>12900</v>
      </c>
      <c r="I1896" s="6">
        <v>0</v>
      </c>
      <c r="J1896" s="6">
        <f t="shared" si="58"/>
        <v>477300</v>
      </c>
      <c r="K1896" s="6">
        <f t="shared" si="59"/>
        <v>477300</v>
      </c>
      <c r="L1896" s="8" t="s">
        <v>76</v>
      </c>
      <c r="M1896" s="8" t="s">
        <v>77</v>
      </c>
    </row>
    <row r="1897" spans="1:13" x14ac:dyDescent="0.25">
      <c r="A1897" s="9">
        <v>1854</v>
      </c>
      <c r="B1897" s="10">
        <v>45213</v>
      </c>
      <c r="C1897" s="11" t="s">
        <v>82</v>
      </c>
      <c r="D1897" s="11" t="s">
        <v>109</v>
      </c>
      <c r="E1897" s="11" t="s">
        <v>74</v>
      </c>
      <c r="F1897" s="11" t="s">
        <v>212</v>
      </c>
      <c r="G1897" s="9">
        <v>12</v>
      </c>
      <c r="H1897" s="9" t="s">
        <v>377</v>
      </c>
      <c r="I1897" s="9">
        <v>5</v>
      </c>
      <c r="J1897" s="9">
        <f t="shared" si="58"/>
        <v>92400</v>
      </c>
      <c r="K1897" s="9">
        <f t="shared" si="59"/>
        <v>87780</v>
      </c>
      <c r="L1897" s="11" t="s">
        <v>125</v>
      </c>
      <c r="M1897" s="11" t="s">
        <v>91</v>
      </c>
    </row>
    <row r="1898" spans="1:13" x14ac:dyDescent="0.25">
      <c r="A1898" s="6">
        <v>1855</v>
      </c>
      <c r="B1898" s="7">
        <v>45534</v>
      </c>
      <c r="C1898" s="8" t="s">
        <v>114</v>
      </c>
      <c r="D1898" s="8" t="s">
        <v>109</v>
      </c>
      <c r="E1898" s="8" t="s">
        <v>84</v>
      </c>
      <c r="F1898" s="8" t="s">
        <v>200</v>
      </c>
      <c r="G1898" s="6">
        <v>40</v>
      </c>
      <c r="H1898" s="6">
        <v>3500</v>
      </c>
      <c r="I1898" s="6">
        <v>15</v>
      </c>
      <c r="J1898" s="6">
        <f t="shared" si="58"/>
        <v>140000</v>
      </c>
      <c r="K1898" s="6">
        <f t="shared" si="59"/>
        <v>119000</v>
      </c>
      <c r="L1898" s="8" t="s">
        <v>76</v>
      </c>
      <c r="M1898" s="8" t="s">
        <v>81</v>
      </c>
    </row>
    <row r="1899" spans="1:13" x14ac:dyDescent="0.25">
      <c r="A1899" s="9">
        <v>1856</v>
      </c>
      <c r="B1899" s="10">
        <v>45063</v>
      </c>
      <c r="C1899" s="11" t="s">
        <v>82</v>
      </c>
      <c r="D1899" s="11" t="s">
        <v>93</v>
      </c>
      <c r="E1899" s="11" t="s">
        <v>74</v>
      </c>
      <c r="F1899" s="11" t="s">
        <v>140</v>
      </c>
      <c r="G1899" s="9">
        <v>15</v>
      </c>
      <c r="H1899" s="9">
        <v>5000</v>
      </c>
      <c r="I1899" s="9">
        <v>10</v>
      </c>
      <c r="J1899" s="9">
        <f t="shared" si="58"/>
        <v>75000</v>
      </c>
      <c r="K1899" s="9">
        <f t="shared" si="59"/>
        <v>67500</v>
      </c>
      <c r="L1899" s="11" t="s">
        <v>363</v>
      </c>
      <c r="M1899" s="11" t="s">
        <v>81</v>
      </c>
    </row>
    <row r="1900" spans="1:13" x14ac:dyDescent="0.25">
      <c r="A1900" s="6">
        <v>1857</v>
      </c>
      <c r="B1900" s="7">
        <v>45513</v>
      </c>
      <c r="C1900" s="8" t="s">
        <v>72</v>
      </c>
      <c r="D1900" s="8" t="s">
        <v>117</v>
      </c>
      <c r="E1900" s="8" t="s">
        <v>111</v>
      </c>
      <c r="F1900" s="8" t="s">
        <v>166</v>
      </c>
      <c r="G1900" s="6">
        <v>44</v>
      </c>
      <c r="H1900" s="6">
        <v>27000</v>
      </c>
      <c r="I1900" s="6">
        <v>0</v>
      </c>
      <c r="J1900" s="6">
        <f t="shared" si="58"/>
        <v>1188000</v>
      </c>
      <c r="K1900" s="6">
        <f t="shared" si="59"/>
        <v>1188000</v>
      </c>
      <c r="L1900" s="8" t="s">
        <v>86</v>
      </c>
      <c r="M1900" s="8" t="s">
        <v>96</v>
      </c>
    </row>
    <row r="1901" spans="1:13" x14ac:dyDescent="0.25">
      <c r="A1901" s="9">
        <v>1858</v>
      </c>
      <c r="B1901" s="10">
        <v>45472</v>
      </c>
      <c r="C1901" s="11" t="s">
        <v>88</v>
      </c>
      <c r="D1901" s="11" t="s">
        <v>83</v>
      </c>
      <c r="E1901" s="11" t="s">
        <v>84</v>
      </c>
      <c r="F1901" s="11" t="s">
        <v>200</v>
      </c>
      <c r="G1901" s="9">
        <v>37</v>
      </c>
      <c r="H1901" s="9">
        <v>3200</v>
      </c>
      <c r="I1901" s="9">
        <v>20</v>
      </c>
      <c r="J1901" s="9">
        <f t="shared" si="58"/>
        <v>118400</v>
      </c>
      <c r="K1901" s="9">
        <f t="shared" si="59"/>
        <v>94720</v>
      </c>
      <c r="L1901" s="11" t="s">
        <v>76</v>
      </c>
      <c r="M1901" s="11" t="s">
        <v>81</v>
      </c>
    </row>
    <row r="1902" spans="1:13" x14ac:dyDescent="0.25">
      <c r="A1902" s="6">
        <v>1859</v>
      </c>
      <c r="B1902" s="7">
        <v>45638</v>
      </c>
      <c r="C1902" s="8" t="s">
        <v>106</v>
      </c>
      <c r="D1902" s="8" t="s">
        <v>117</v>
      </c>
      <c r="E1902" s="8" t="s">
        <v>102</v>
      </c>
      <c r="F1902" s="8" t="s">
        <v>157</v>
      </c>
      <c r="G1902" s="6">
        <v>33</v>
      </c>
      <c r="H1902" s="6">
        <v>11100</v>
      </c>
      <c r="I1902" s="6">
        <v>0</v>
      </c>
      <c r="J1902" s="6">
        <f t="shared" si="58"/>
        <v>366300</v>
      </c>
      <c r="K1902" s="6">
        <f t="shared" si="59"/>
        <v>366300</v>
      </c>
      <c r="L1902" s="8" t="s">
        <v>174</v>
      </c>
      <c r="M1902" s="8" t="s">
        <v>91</v>
      </c>
    </row>
    <row r="1903" spans="1:13" x14ac:dyDescent="0.25">
      <c r="A1903" s="9">
        <v>1860</v>
      </c>
      <c r="B1903" s="10">
        <v>45301</v>
      </c>
      <c r="C1903" s="11" t="s">
        <v>78</v>
      </c>
      <c r="D1903" s="11" t="s">
        <v>83</v>
      </c>
      <c r="E1903" s="11" t="s">
        <v>102</v>
      </c>
      <c r="F1903" s="11" t="s">
        <v>110</v>
      </c>
      <c r="G1903" s="9">
        <v>36</v>
      </c>
      <c r="H1903" s="9">
        <v>25100</v>
      </c>
      <c r="I1903" s="9">
        <v>20</v>
      </c>
      <c r="J1903" s="9">
        <f t="shared" si="58"/>
        <v>903600</v>
      </c>
      <c r="K1903" s="9">
        <f t="shared" si="59"/>
        <v>722880</v>
      </c>
      <c r="L1903" s="11" t="s">
        <v>76</v>
      </c>
      <c r="M1903" s="11" t="s">
        <v>96</v>
      </c>
    </row>
    <row r="1904" spans="1:13" x14ac:dyDescent="0.25">
      <c r="A1904" s="6">
        <v>1861</v>
      </c>
      <c r="B1904" s="7">
        <v>45426</v>
      </c>
      <c r="C1904" s="8" t="s">
        <v>101</v>
      </c>
      <c r="D1904" s="8" t="s">
        <v>117</v>
      </c>
      <c r="E1904" s="8" t="s">
        <v>173</v>
      </c>
      <c r="F1904" s="8" t="s">
        <v>206</v>
      </c>
      <c r="G1904" s="6">
        <v>41</v>
      </c>
      <c r="H1904" s="6" t="s">
        <v>489</v>
      </c>
      <c r="I1904" s="6">
        <v>20</v>
      </c>
      <c r="J1904" s="6" t="e">
        <f t="shared" si="58"/>
        <v>#VALUE!</v>
      </c>
      <c r="K1904" s="6" t="e">
        <f t="shared" si="59"/>
        <v>#VALUE!</v>
      </c>
      <c r="L1904" s="8" t="s">
        <v>76</v>
      </c>
      <c r="M1904" s="8" t="s">
        <v>77</v>
      </c>
    </row>
    <row r="1905" spans="1:13" x14ac:dyDescent="0.25">
      <c r="A1905" s="9">
        <v>1862</v>
      </c>
      <c r="B1905" s="11" t="s">
        <v>634</v>
      </c>
      <c r="C1905" s="11" t="s">
        <v>224</v>
      </c>
      <c r="D1905" s="11" t="s">
        <v>93</v>
      </c>
      <c r="E1905" s="11" t="s">
        <v>111</v>
      </c>
      <c r="F1905" s="11" t="s">
        <v>166</v>
      </c>
      <c r="G1905" s="9">
        <v>34</v>
      </c>
      <c r="H1905" s="9">
        <v>25500</v>
      </c>
      <c r="I1905" s="9">
        <v>10</v>
      </c>
      <c r="J1905" s="9">
        <f t="shared" si="58"/>
        <v>867000</v>
      </c>
      <c r="K1905" s="9">
        <f t="shared" si="59"/>
        <v>780300</v>
      </c>
      <c r="L1905" s="11" t="s">
        <v>86</v>
      </c>
      <c r="M1905" s="11" t="s">
        <v>96</v>
      </c>
    </row>
    <row r="1906" spans="1:13" x14ac:dyDescent="0.25">
      <c r="A1906" s="6">
        <v>1863</v>
      </c>
      <c r="B1906" s="7">
        <v>45168</v>
      </c>
      <c r="C1906" s="8" t="s">
        <v>101</v>
      </c>
      <c r="D1906" s="8" t="s">
        <v>73</v>
      </c>
      <c r="E1906" s="8" t="s">
        <v>79</v>
      </c>
      <c r="F1906" s="8" t="s">
        <v>120</v>
      </c>
      <c r="G1906" s="6">
        <v>20</v>
      </c>
      <c r="H1906" s="6">
        <v>5700</v>
      </c>
      <c r="I1906" s="6">
        <v>5</v>
      </c>
      <c r="J1906" s="6">
        <f t="shared" si="58"/>
        <v>114000</v>
      </c>
      <c r="K1906" s="6">
        <f t="shared" si="59"/>
        <v>108300</v>
      </c>
      <c r="L1906" s="8" t="s">
        <v>76</v>
      </c>
      <c r="M1906" s="8" t="s">
        <v>96</v>
      </c>
    </row>
    <row r="1907" spans="1:13" x14ac:dyDescent="0.25">
      <c r="A1907" s="9">
        <v>1864</v>
      </c>
      <c r="B1907" s="10">
        <v>45037</v>
      </c>
      <c r="C1907" s="11" t="s">
        <v>88</v>
      </c>
      <c r="D1907" s="11" t="s">
        <v>117</v>
      </c>
      <c r="E1907" s="11" t="s">
        <v>84</v>
      </c>
      <c r="F1907" s="11" t="s">
        <v>150</v>
      </c>
      <c r="G1907" s="9">
        <v>12</v>
      </c>
      <c r="H1907" s="9">
        <v>5200</v>
      </c>
      <c r="I1907" s="9">
        <v>20</v>
      </c>
      <c r="J1907" s="9">
        <f t="shared" si="58"/>
        <v>62400</v>
      </c>
      <c r="K1907" s="9">
        <f t="shared" si="59"/>
        <v>49920</v>
      </c>
      <c r="L1907" s="11" t="s">
        <v>76</v>
      </c>
      <c r="M1907" s="11" t="s">
        <v>81</v>
      </c>
    </row>
    <row r="1908" spans="1:13" x14ac:dyDescent="0.25">
      <c r="A1908" s="6">
        <v>1865</v>
      </c>
      <c r="B1908" s="7">
        <v>45356</v>
      </c>
      <c r="C1908" s="8" t="s">
        <v>224</v>
      </c>
      <c r="D1908" s="8" t="s">
        <v>93</v>
      </c>
      <c r="E1908" s="8" t="s">
        <v>79</v>
      </c>
      <c r="F1908" s="8" t="s">
        <v>80</v>
      </c>
      <c r="G1908" s="6">
        <v>29</v>
      </c>
      <c r="H1908" s="6">
        <v>9300</v>
      </c>
      <c r="I1908" s="6">
        <v>0</v>
      </c>
      <c r="J1908" s="6">
        <f t="shared" si="58"/>
        <v>269700</v>
      </c>
      <c r="K1908" s="6">
        <f t="shared" si="59"/>
        <v>269700</v>
      </c>
      <c r="L1908" s="8" t="s">
        <v>107</v>
      </c>
      <c r="M1908" s="8" t="s">
        <v>77</v>
      </c>
    </row>
    <row r="1909" spans="1:13" x14ac:dyDescent="0.25">
      <c r="A1909" s="9">
        <v>1866</v>
      </c>
      <c r="B1909" s="10">
        <v>45562</v>
      </c>
      <c r="C1909" s="11" t="s">
        <v>101</v>
      </c>
      <c r="D1909" s="11" t="s">
        <v>109</v>
      </c>
      <c r="E1909" s="11" t="s">
        <v>79</v>
      </c>
      <c r="F1909" s="11" t="s">
        <v>179</v>
      </c>
      <c r="G1909" s="9">
        <v>6</v>
      </c>
      <c r="H1909" s="9">
        <v>2800</v>
      </c>
      <c r="I1909" s="9">
        <v>0</v>
      </c>
      <c r="J1909" s="9">
        <f t="shared" si="58"/>
        <v>16800</v>
      </c>
      <c r="K1909" s="9">
        <f t="shared" si="59"/>
        <v>16800</v>
      </c>
      <c r="L1909" s="11" t="s">
        <v>76</v>
      </c>
      <c r="M1909" s="11" t="s">
        <v>96</v>
      </c>
    </row>
    <row r="1910" spans="1:13" x14ac:dyDescent="0.25">
      <c r="A1910" s="6">
        <v>1867</v>
      </c>
      <c r="B1910" s="7">
        <v>45394</v>
      </c>
      <c r="C1910" s="8" t="s">
        <v>114</v>
      </c>
      <c r="D1910" s="8" t="s">
        <v>93</v>
      </c>
      <c r="E1910" s="8" t="s">
        <v>102</v>
      </c>
      <c r="F1910" s="8" t="s">
        <v>137</v>
      </c>
      <c r="G1910" s="6">
        <v>34</v>
      </c>
      <c r="H1910" s="6">
        <v>2400</v>
      </c>
      <c r="I1910" s="6">
        <v>10</v>
      </c>
      <c r="J1910" s="6">
        <f t="shared" si="58"/>
        <v>81600</v>
      </c>
      <c r="K1910" s="6">
        <f t="shared" si="59"/>
        <v>73440</v>
      </c>
      <c r="L1910" s="8" t="s">
        <v>76</v>
      </c>
      <c r="M1910" s="8" t="s">
        <v>77</v>
      </c>
    </row>
    <row r="1911" spans="1:13" x14ac:dyDescent="0.25">
      <c r="A1911" s="9">
        <v>1868</v>
      </c>
      <c r="B1911" s="10">
        <v>45061</v>
      </c>
      <c r="C1911" s="11" t="s">
        <v>119</v>
      </c>
      <c r="D1911" s="11" t="s">
        <v>73</v>
      </c>
      <c r="E1911" s="11" t="s">
        <v>74</v>
      </c>
      <c r="F1911" s="11" t="s">
        <v>212</v>
      </c>
      <c r="G1911" s="9">
        <v>33</v>
      </c>
      <c r="H1911" s="9">
        <v>7500</v>
      </c>
      <c r="I1911" s="9">
        <v>5</v>
      </c>
      <c r="J1911" s="9">
        <f t="shared" si="58"/>
        <v>247500</v>
      </c>
      <c r="K1911" s="9">
        <f t="shared" si="59"/>
        <v>235125</v>
      </c>
      <c r="L1911" s="11" t="s">
        <v>76</v>
      </c>
      <c r="M1911" s="11" t="s">
        <v>96</v>
      </c>
    </row>
    <row r="1912" spans="1:13" x14ac:dyDescent="0.25">
      <c r="A1912" s="6">
        <v>1869</v>
      </c>
      <c r="B1912" s="7">
        <v>45093</v>
      </c>
      <c r="C1912" s="8" t="s">
        <v>160</v>
      </c>
      <c r="D1912" s="8" t="s">
        <v>117</v>
      </c>
      <c r="E1912" s="8" t="s">
        <v>102</v>
      </c>
      <c r="F1912" s="8" t="s">
        <v>151</v>
      </c>
      <c r="G1912" s="6">
        <v>21</v>
      </c>
      <c r="H1912" s="6">
        <v>7500</v>
      </c>
      <c r="I1912" s="6">
        <v>20</v>
      </c>
      <c r="J1912" s="6">
        <f t="shared" si="58"/>
        <v>157500</v>
      </c>
      <c r="K1912" s="6">
        <f t="shared" si="59"/>
        <v>126000</v>
      </c>
      <c r="L1912" s="8" t="s">
        <v>107</v>
      </c>
      <c r="M1912" s="8" t="s">
        <v>91</v>
      </c>
    </row>
    <row r="1913" spans="1:13" x14ac:dyDescent="0.25">
      <c r="A1913" s="9">
        <v>1870</v>
      </c>
      <c r="B1913" s="11" t="s">
        <v>635</v>
      </c>
      <c r="C1913" s="11" t="s">
        <v>82</v>
      </c>
      <c r="D1913" s="11" t="s">
        <v>83</v>
      </c>
      <c r="E1913" s="11" t="s">
        <v>149</v>
      </c>
      <c r="F1913" s="11" t="s">
        <v>190</v>
      </c>
      <c r="G1913" s="9">
        <v>9</v>
      </c>
      <c r="H1913" s="9">
        <v>35700</v>
      </c>
      <c r="I1913" s="9">
        <v>10</v>
      </c>
      <c r="J1913" s="9">
        <f t="shared" si="58"/>
        <v>321300</v>
      </c>
      <c r="K1913" s="9">
        <f t="shared" si="59"/>
        <v>289170</v>
      </c>
      <c r="L1913" s="11" t="s">
        <v>76</v>
      </c>
      <c r="M1913" s="11" t="s">
        <v>96</v>
      </c>
    </row>
    <row r="1914" spans="1:13" x14ac:dyDescent="0.25">
      <c r="A1914" s="6">
        <v>1871</v>
      </c>
      <c r="B1914" s="7">
        <v>45272</v>
      </c>
      <c r="C1914" s="8" t="s">
        <v>101</v>
      </c>
      <c r="D1914" s="8" t="s">
        <v>93</v>
      </c>
      <c r="E1914" s="8" t="s">
        <v>74</v>
      </c>
      <c r="F1914" s="8" t="s">
        <v>140</v>
      </c>
      <c r="G1914" s="6">
        <v>21</v>
      </c>
      <c r="H1914" s="6">
        <v>5100</v>
      </c>
      <c r="I1914" s="6">
        <v>0</v>
      </c>
      <c r="J1914" s="6">
        <f t="shared" si="58"/>
        <v>107100</v>
      </c>
      <c r="K1914" s="6">
        <f t="shared" si="59"/>
        <v>107100</v>
      </c>
      <c r="L1914" s="8" t="s">
        <v>250</v>
      </c>
      <c r="M1914" s="8" t="s">
        <v>96</v>
      </c>
    </row>
    <row r="1915" spans="1:13" x14ac:dyDescent="0.25">
      <c r="A1915" s="9">
        <v>1872</v>
      </c>
      <c r="B1915" s="10">
        <v>45441</v>
      </c>
      <c r="C1915" s="11" t="s">
        <v>108</v>
      </c>
      <c r="D1915" s="11" t="s">
        <v>117</v>
      </c>
      <c r="E1915" s="11" t="s">
        <v>102</v>
      </c>
      <c r="F1915" s="11" t="s">
        <v>137</v>
      </c>
      <c r="G1915" s="9">
        <v>45</v>
      </c>
      <c r="H1915" s="9">
        <v>2500</v>
      </c>
      <c r="I1915" s="9">
        <v>0</v>
      </c>
      <c r="J1915" s="9">
        <f t="shared" si="58"/>
        <v>112500</v>
      </c>
      <c r="K1915" s="9">
        <f t="shared" si="59"/>
        <v>112500</v>
      </c>
      <c r="L1915" s="11" t="s">
        <v>76</v>
      </c>
      <c r="M1915" s="11" t="s">
        <v>96</v>
      </c>
    </row>
    <row r="1916" spans="1:13" x14ac:dyDescent="0.25">
      <c r="A1916" s="6">
        <v>1873</v>
      </c>
      <c r="B1916" s="7">
        <v>45066</v>
      </c>
      <c r="C1916" s="8" t="s">
        <v>443</v>
      </c>
      <c r="D1916" s="8" t="s">
        <v>73</v>
      </c>
      <c r="E1916" s="8" t="s">
        <v>79</v>
      </c>
      <c r="F1916" s="8" t="s">
        <v>122</v>
      </c>
      <c r="G1916" s="6">
        <v>24</v>
      </c>
      <c r="H1916" s="6">
        <v>19800</v>
      </c>
      <c r="I1916" s="6"/>
      <c r="J1916" s="6">
        <f t="shared" si="58"/>
        <v>475200</v>
      </c>
      <c r="K1916" s="6">
        <f t="shared" si="59"/>
        <v>475200</v>
      </c>
      <c r="L1916" s="8" t="s">
        <v>76</v>
      </c>
      <c r="M1916" s="8" t="s">
        <v>81</v>
      </c>
    </row>
    <row r="1917" spans="1:13" x14ac:dyDescent="0.25">
      <c r="A1917" s="9">
        <v>1874</v>
      </c>
      <c r="B1917" s="10">
        <v>45169</v>
      </c>
      <c r="C1917" s="11" t="s">
        <v>108</v>
      </c>
      <c r="D1917" s="11" t="s">
        <v>73</v>
      </c>
      <c r="E1917" s="11" t="s">
        <v>74</v>
      </c>
      <c r="F1917" s="11" t="s">
        <v>212</v>
      </c>
      <c r="G1917" s="9">
        <v>1</v>
      </c>
      <c r="H1917" s="9">
        <v>7300</v>
      </c>
      <c r="I1917" s="9">
        <v>0</v>
      </c>
      <c r="J1917" s="9">
        <f t="shared" si="58"/>
        <v>7300</v>
      </c>
      <c r="K1917" s="9">
        <f t="shared" si="59"/>
        <v>7300</v>
      </c>
      <c r="L1917" s="11" t="s">
        <v>76</v>
      </c>
      <c r="M1917" s="11" t="s">
        <v>91</v>
      </c>
    </row>
    <row r="1918" spans="1:13" x14ac:dyDescent="0.25">
      <c r="A1918" s="6">
        <v>1875</v>
      </c>
      <c r="B1918" s="7">
        <v>45461</v>
      </c>
      <c r="C1918" s="8" t="s">
        <v>106</v>
      </c>
      <c r="D1918" s="8" t="s">
        <v>83</v>
      </c>
      <c r="E1918" s="8" t="s">
        <v>102</v>
      </c>
      <c r="F1918" s="8" t="s">
        <v>103</v>
      </c>
      <c r="G1918" s="6">
        <v>19</v>
      </c>
      <c r="H1918" s="6">
        <v>10500</v>
      </c>
      <c r="I1918" s="6">
        <v>5</v>
      </c>
      <c r="J1918" s="6">
        <f t="shared" si="58"/>
        <v>199500</v>
      </c>
      <c r="K1918" s="6">
        <f t="shared" si="59"/>
        <v>189525</v>
      </c>
      <c r="L1918" s="8" t="s">
        <v>76</v>
      </c>
      <c r="M1918" s="8" t="s">
        <v>91</v>
      </c>
    </row>
    <row r="1919" spans="1:13" x14ac:dyDescent="0.25">
      <c r="A1919" s="9">
        <v>1876</v>
      </c>
      <c r="B1919" s="10">
        <v>45527</v>
      </c>
      <c r="C1919" s="11" t="s">
        <v>124</v>
      </c>
      <c r="D1919" s="11" t="s">
        <v>83</v>
      </c>
      <c r="E1919" s="11" t="s">
        <v>176</v>
      </c>
      <c r="F1919" s="11" t="s">
        <v>85</v>
      </c>
      <c r="G1919" s="9">
        <v>45</v>
      </c>
      <c r="H1919" s="9">
        <v>6200</v>
      </c>
      <c r="I1919" s="9">
        <v>5</v>
      </c>
      <c r="J1919" s="9">
        <f t="shared" si="58"/>
        <v>279000</v>
      </c>
      <c r="K1919" s="9">
        <f t="shared" si="59"/>
        <v>265050</v>
      </c>
      <c r="L1919" s="11" t="s">
        <v>125</v>
      </c>
      <c r="M1919" s="11" t="s">
        <v>81</v>
      </c>
    </row>
    <row r="1920" spans="1:13" x14ac:dyDescent="0.25">
      <c r="A1920" s="6">
        <v>1877</v>
      </c>
      <c r="B1920" s="8" t="s">
        <v>636</v>
      </c>
      <c r="C1920" s="8" t="s">
        <v>119</v>
      </c>
      <c r="D1920" s="8" t="s">
        <v>117</v>
      </c>
      <c r="E1920" s="8" t="s">
        <v>111</v>
      </c>
      <c r="F1920" s="8" t="s">
        <v>166</v>
      </c>
      <c r="G1920" s="6">
        <v>9</v>
      </c>
      <c r="H1920" s="6">
        <v>30400</v>
      </c>
      <c r="I1920" s="6"/>
      <c r="J1920" s="6">
        <f t="shared" si="58"/>
        <v>273600</v>
      </c>
      <c r="K1920" s="6">
        <f t="shared" si="59"/>
        <v>273600</v>
      </c>
      <c r="L1920" s="8" t="s">
        <v>76</v>
      </c>
      <c r="M1920" s="8" t="s">
        <v>81</v>
      </c>
    </row>
    <row r="1921" spans="1:13" x14ac:dyDescent="0.25">
      <c r="A1921" s="9">
        <v>1878</v>
      </c>
      <c r="B1921" s="10">
        <v>45221</v>
      </c>
      <c r="C1921" s="11" t="s">
        <v>106</v>
      </c>
      <c r="D1921" s="11" t="s">
        <v>73</v>
      </c>
      <c r="E1921" s="11" t="s">
        <v>102</v>
      </c>
      <c r="F1921" s="11" t="s">
        <v>181</v>
      </c>
      <c r="G1921" s="9">
        <v>12</v>
      </c>
      <c r="H1921" s="9">
        <v>5000</v>
      </c>
      <c r="I1921" s="9">
        <v>15</v>
      </c>
      <c r="J1921" s="9">
        <f t="shared" si="58"/>
        <v>60000</v>
      </c>
      <c r="K1921" s="9">
        <f t="shared" si="59"/>
        <v>51000</v>
      </c>
      <c r="L1921" s="11" t="s">
        <v>86</v>
      </c>
      <c r="M1921" s="11" t="s">
        <v>77</v>
      </c>
    </row>
    <row r="1922" spans="1:13" x14ac:dyDescent="0.25">
      <c r="A1922" s="6">
        <v>1879</v>
      </c>
      <c r="B1922" s="7">
        <v>45063</v>
      </c>
      <c r="C1922" s="8" t="s">
        <v>106</v>
      </c>
      <c r="D1922" s="8" t="s">
        <v>73</v>
      </c>
      <c r="E1922" s="8" t="s">
        <v>84</v>
      </c>
      <c r="F1922" s="8" t="s">
        <v>90</v>
      </c>
      <c r="G1922" s="6">
        <v>42</v>
      </c>
      <c r="H1922" s="6">
        <v>1900</v>
      </c>
      <c r="I1922" s="6">
        <v>10</v>
      </c>
      <c r="J1922" s="6">
        <f t="shared" ref="J1922:J1985" si="60">G1922*H1922</f>
        <v>79800</v>
      </c>
      <c r="K1922" s="6">
        <f t="shared" ref="K1922:K1985" si="61">J1922*(1-I1922/100)</f>
        <v>71820</v>
      </c>
      <c r="L1922" s="8" t="s">
        <v>76</v>
      </c>
      <c r="M1922" s="8" t="s">
        <v>96</v>
      </c>
    </row>
    <row r="1923" spans="1:13" x14ac:dyDescent="0.25">
      <c r="A1923" s="9">
        <v>1880</v>
      </c>
      <c r="B1923" s="10">
        <v>45021</v>
      </c>
      <c r="C1923" s="11" t="s">
        <v>78</v>
      </c>
      <c r="D1923" s="11" t="s">
        <v>83</v>
      </c>
      <c r="E1923" s="11" t="s">
        <v>79</v>
      </c>
      <c r="F1923" s="11" t="s">
        <v>131</v>
      </c>
      <c r="G1923" s="9">
        <v>27</v>
      </c>
      <c r="H1923" s="9">
        <v>123600</v>
      </c>
      <c r="I1923" s="9">
        <v>0</v>
      </c>
      <c r="J1923" s="9">
        <f t="shared" si="60"/>
        <v>3337200</v>
      </c>
      <c r="K1923" s="9">
        <f t="shared" si="61"/>
        <v>3337200</v>
      </c>
      <c r="L1923" s="11" t="s">
        <v>76</v>
      </c>
      <c r="M1923" s="11" t="s">
        <v>81</v>
      </c>
    </row>
    <row r="1924" spans="1:13" x14ac:dyDescent="0.25">
      <c r="A1924" s="6">
        <v>1881</v>
      </c>
      <c r="B1924" s="7">
        <v>45493</v>
      </c>
      <c r="C1924" s="8" t="s">
        <v>119</v>
      </c>
      <c r="D1924" s="8" t="s">
        <v>117</v>
      </c>
      <c r="E1924" s="8" t="s">
        <v>79</v>
      </c>
      <c r="F1924" s="8" t="s">
        <v>122</v>
      </c>
      <c r="G1924" s="6">
        <v>26</v>
      </c>
      <c r="H1924" s="6">
        <v>19700</v>
      </c>
      <c r="I1924" s="6">
        <v>15</v>
      </c>
      <c r="J1924" s="6">
        <f t="shared" si="60"/>
        <v>512200</v>
      </c>
      <c r="K1924" s="6">
        <f t="shared" si="61"/>
        <v>435370</v>
      </c>
      <c r="L1924" s="8" t="s">
        <v>76</v>
      </c>
      <c r="M1924" s="8" t="s">
        <v>77</v>
      </c>
    </row>
    <row r="1925" spans="1:13" x14ac:dyDescent="0.25">
      <c r="A1925" s="9">
        <v>1882</v>
      </c>
      <c r="B1925" s="10">
        <v>45393</v>
      </c>
      <c r="C1925" s="11" t="s">
        <v>108</v>
      </c>
      <c r="D1925" s="11" t="s">
        <v>109</v>
      </c>
      <c r="E1925" s="11" t="s">
        <v>74</v>
      </c>
      <c r="F1925" s="11" t="s">
        <v>99</v>
      </c>
      <c r="G1925" s="9">
        <v>17</v>
      </c>
      <c r="H1925" s="9">
        <v>3600</v>
      </c>
      <c r="I1925" s="9">
        <v>10</v>
      </c>
      <c r="J1925" s="9">
        <f t="shared" si="60"/>
        <v>61200</v>
      </c>
      <c r="K1925" s="9">
        <f t="shared" si="61"/>
        <v>55080</v>
      </c>
      <c r="L1925" s="11" t="s">
        <v>86</v>
      </c>
      <c r="M1925" s="11" t="s">
        <v>96</v>
      </c>
    </row>
    <row r="1926" spans="1:13" x14ac:dyDescent="0.25">
      <c r="A1926" s="6">
        <v>1883</v>
      </c>
      <c r="B1926" s="7">
        <v>45569</v>
      </c>
      <c r="C1926" s="8" t="s">
        <v>101</v>
      </c>
      <c r="D1926" s="8" t="s">
        <v>83</v>
      </c>
      <c r="E1926" s="8" t="s">
        <v>133</v>
      </c>
      <c r="F1926" s="8" t="s">
        <v>148</v>
      </c>
      <c r="G1926" s="6">
        <v>37</v>
      </c>
      <c r="H1926" s="6">
        <v>4500</v>
      </c>
      <c r="I1926" s="6">
        <v>0</v>
      </c>
      <c r="J1926" s="6">
        <f t="shared" si="60"/>
        <v>166500</v>
      </c>
      <c r="K1926" s="6">
        <f t="shared" si="61"/>
        <v>166500</v>
      </c>
      <c r="L1926" s="8" t="s">
        <v>125</v>
      </c>
      <c r="M1926" s="8" t="s">
        <v>96</v>
      </c>
    </row>
    <row r="1927" spans="1:13" x14ac:dyDescent="0.25">
      <c r="A1927" s="9">
        <v>1884</v>
      </c>
      <c r="B1927" s="10">
        <v>45560</v>
      </c>
      <c r="C1927" s="11" t="s">
        <v>97</v>
      </c>
      <c r="D1927" s="11"/>
      <c r="E1927" s="11" t="s">
        <v>111</v>
      </c>
      <c r="F1927" s="11" t="s">
        <v>165</v>
      </c>
      <c r="G1927" s="9">
        <v>36</v>
      </c>
      <c r="H1927" s="9">
        <v>20200</v>
      </c>
      <c r="I1927" s="9">
        <v>5</v>
      </c>
      <c r="J1927" s="9">
        <f t="shared" si="60"/>
        <v>727200</v>
      </c>
      <c r="K1927" s="9">
        <f t="shared" si="61"/>
        <v>690840</v>
      </c>
      <c r="L1927" s="11" t="s">
        <v>76</v>
      </c>
      <c r="M1927" s="11" t="s">
        <v>77</v>
      </c>
    </row>
    <row r="1928" spans="1:13" x14ac:dyDescent="0.25">
      <c r="A1928" s="6">
        <v>1885</v>
      </c>
      <c r="B1928" s="7">
        <v>44981</v>
      </c>
      <c r="C1928" s="8" t="s">
        <v>82</v>
      </c>
      <c r="D1928" s="8" t="s">
        <v>109</v>
      </c>
      <c r="E1928" s="8" t="s">
        <v>111</v>
      </c>
      <c r="F1928" s="8" t="s">
        <v>112</v>
      </c>
      <c r="G1928" s="6">
        <v>12</v>
      </c>
      <c r="H1928" s="6">
        <v>69000</v>
      </c>
      <c r="I1928" s="6">
        <v>0</v>
      </c>
      <c r="J1928" s="6">
        <f t="shared" si="60"/>
        <v>828000</v>
      </c>
      <c r="K1928" s="6">
        <f t="shared" si="61"/>
        <v>828000</v>
      </c>
      <c r="L1928" s="8" t="s">
        <v>129</v>
      </c>
      <c r="M1928" s="8" t="s">
        <v>81</v>
      </c>
    </row>
    <row r="1929" spans="1:13" x14ac:dyDescent="0.25">
      <c r="A1929" s="9">
        <v>381</v>
      </c>
      <c r="B1929" s="10">
        <v>45332</v>
      </c>
      <c r="C1929" s="11" t="s">
        <v>88</v>
      </c>
      <c r="D1929" s="11" t="s">
        <v>109</v>
      </c>
      <c r="E1929" s="11" t="s">
        <v>79</v>
      </c>
      <c r="F1929" s="11" t="s">
        <v>172</v>
      </c>
      <c r="G1929" s="9">
        <v>24</v>
      </c>
      <c r="H1929" s="9">
        <v>28300</v>
      </c>
      <c r="I1929" s="9">
        <v>0</v>
      </c>
      <c r="J1929" s="9">
        <f t="shared" si="60"/>
        <v>679200</v>
      </c>
      <c r="K1929" s="9">
        <f t="shared" si="61"/>
        <v>679200</v>
      </c>
      <c r="L1929" s="11" t="s">
        <v>76</v>
      </c>
      <c r="M1929" s="11" t="s">
        <v>96</v>
      </c>
    </row>
    <row r="1930" spans="1:13" x14ac:dyDescent="0.25">
      <c r="A1930" s="6">
        <v>1886</v>
      </c>
      <c r="B1930" s="7">
        <v>45380</v>
      </c>
      <c r="C1930" s="8" t="s">
        <v>106</v>
      </c>
      <c r="D1930" s="8" t="s">
        <v>93</v>
      </c>
      <c r="E1930" s="8" t="s">
        <v>102</v>
      </c>
      <c r="F1930" s="8" t="s">
        <v>103</v>
      </c>
      <c r="G1930" s="6">
        <v>2</v>
      </c>
      <c r="H1930" s="6">
        <v>11200</v>
      </c>
      <c r="I1930" s="6">
        <v>0</v>
      </c>
      <c r="J1930" s="6">
        <f t="shared" si="60"/>
        <v>22400</v>
      </c>
      <c r="K1930" s="6">
        <f t="shared" si="61"/>
        <v>22400</v>
      </c>
      <c r="L1930" s="8" t="s">
        <v>76</v>
      </c>
      <c r="M1930" s="8" t="s">
        <v>81</v>
      </c>
    </row>
    <row r="1931" spans="1:13" x14ac:dyDescent="0.25">
      <c r="A1931" s="9">
        <v>1887</v>
      </c>
      <c r="B1931" s="10">
        <v>45517</v>
      </c>
      <c r="C1931" s="11" t="s">
        <v>124</v>
      </c>
      <c r="D1931" s="11" t="s">
        <v>93</v>
      </c>
      <c r="E1931" s="11" t="s">
        <v>84</v>
      </c>
      <c r="F1931" s="11" t="s">
        <v>148</v>
      </c>
      <c r="G1931" s="9">
        <v>7</v>
      </c>
      <c r="H1931" s="9">
        <v>5400</v>
      </c>
      <c r="I1931" s="9">
        <v>15</v>
      </c>
      <c r="J1931" s="9">
        <f t="shared" si="60"/>
        <v>37800</v>
      </c>
      <c r="K1931" s="9">
        <f t="shared" si="61"/>
        <v>32130</v>
      </c>
      <c r="L1931" s="11" t="s">
        <v>86</v>
      </c>
      <c r="M1931" s="11" t="s">
        <v>96</v>
      </c>
    </row>
    <row r="1932" spans="1:13" x14ac:dyDescent="0.25">
      <c r="A1932" s="6">
        <v>1888</v>
      </c>
      <c r="B1932" s="8" t="s">
        <v>505</v>
      </c>
      <c r="C1932" s="8" t="s">
        <v>97</v>
      </c>
      <c r="D1932" s="8" t="s">
        <v>117</v>
      </c>
      <c r="E1932" s="8" t="s">
        <v>84</v>
      </c>
      <c r="F1932" s="8" t="s">
        <v>128</v>
      </c>
      <c r="G1932" s="6">
        <v>11</v>
      </c>
      <c r="H1932" s="6">
        <v>4000</v>
      </c>
      <c r="I1932" s="6">
        <v>15</v>
      </c>
      <c r="J1932" s="6">
        <f t="shared" si="60"/>
        <v>44000</v>
      </c>
      <c r="K1932" s="6">
        <f t="shared" si="61"/>
        <v>37400</v>
      </c>
      <c r="L1932" s="8" t="s">
        <v>76</v>
      </c>
      <c r="M1932" s="8" t="s">
        <v>96</v>
      </c>
    </row>
    <row r="1933" spans="1:13" x14ac:dyDescent="0.25">
      <c r="A1933" s="9">
        <v>1889</v>
      </c>
      <c r="B1933" s="10">
        <v>45177</v>
      </c>
      <c r="C1933" s="11" t="s">
        <v>448</v>
      </c>
      <c r="D1933" s="11" t="s">
        <v>93</v>
      </c>
      <c r="E1933" s="11" t="s">
        <v>84</v>
      </c>
      <c r="F1933" s="11" t="s">
        <v>200</v>
      </c>
      <c r="G1933" s="9">
        <v>20</v>
      </c>
      <c r="H1933" s="9">
        <v>3300</v>
      </c>
      <c r="I1933" s="9">
        <v>5</v>
      </c>
      <c r="J1933" s="9">
        <f t="shared" si="60"/>
        <v>66000</v>
      </c>
      <c r="K1933" s="9">
        <f t="shared" si="61"/>
        <v>62700</v>
      </c>
      <c r="L1933" s="11" t="s">
        <v>229</v>
      </c>
      <c r="M1933" s="11" t="s">
        <v>77</v>
      </c>
    </row>
    <row r="1934" spans="1:13" x14ac:dyDescent="0.25">
      <c r="A1934" s="6">
        <v>1890</v>
      </c>
      <c r="B1934" s="7">
        <v>45587</v>
      </c>
      <c r="C1934" s="8" t="s">
        <v>224</v>
      </c>
      <c r="D1934" s="8" t="s">
        <v>83</v>
      </c>
      <c r="E1934" s="8" t="s">
        <v>84</v>
      </c>
      <c r="F1934" s="8" t="s">
        <v>128</v>
      </c>
      <c r="G1934" s="12">
        <v>-19</v>
      </c>
      <c r="H1934" s="6">
        <v>4600</v>
      </c>
      <c r="I1934" s="6">
        <v>10</v>
      </c>
      <c r="J1934" s="6">
        <f t="shared" si="60"/>
        <v>-87400</v>
      </c>
      <c r="K1934" s="6">
        <f t="shared" si="61"/>
        <v>-78660</v>
      </c>
      <c r="L1934" s="8" t="s">
        <v>76</v>
      </c>
      <c r="M1934" s="8" t="s">
        <v>77</v>
      </c>
    </row>
    <row r="1935" spans="1:13" x14ac:dyDescent="0.25">
      <c r="A1935" s="9">
        <v>1891</v>
      </c>
      <c r="B1935" s="10">
        <v>45267</v>
      </c>
      <c r="C1935" s="11" t="s">
        <v>101</v>
      </c>
      <c r="D1935" s="11" t="s">
        <v>117</v>
      </c>
      <c r="E1935" s="11" t="s">
        <v>102</v>
      </c>
      <c r="F1935" s="11" t="s">
        <v>197</v>
      </c>
      <c r="G1935" s="9">
        <v>47</v>
      </c>
      <c r="H1935" s="9">
        <v>4000</v>
      </c>
      <c r="I1935" s="9">
        <v>10</v>
      </c>
      <c r="J1935" s="9">
        <f t="shared" si="60"/>
        <v>188000</v>
      </c>
      <c r="K1935" s="9">
        <f t="shared" si="61"/>
        <v>169200</v>
      </c>
      <c r="L1935" s="11" t="s">
        <v>174</v>
      </c>
      <c r="M1935" s="11" t="s">
        <v>91</v>
      </c>
    </row>
    <row r="1936" spans="1:13" x14ac:dyDescent="0.25">
      <c r="A1936" s="6">
        <v>1892</v>
      </c>
      <c r="B1936" s="7">
        <v>45523</v>
      </c>
      <c r="C1936" s="8" t="s">
        <v>119</v>
      </c>
      <c r="D1936" s="8" t="s">
        <v>73</v>
      </c>
      <c r="E1936" s="8" t="s">
        <v>173</v>
      </c>
      <c r="F1936" s="8" t="s">
        <v>128</v>
      </c>
      <c r="G1936" s="6">
        <v>11</v>
      </c>
      <c r="H1936" s="6">
        <v>4200</v>
      </c>
      <c r="I1936" s="6">
        <v>15</v>
      </c>
      <c r="J1936" s="6">
        <f t="shared" si="60"/>
        <v>46200</v>
      </c>
      <c r="K1936" s="6">
        <f t="shared" si="61"/>
        <v>39270</v>
      </c>
      <c r="L1936" s="8" t="s">
        <v>76</v>
      </c>
      <c r="M1936" s="8" t="s">
        <v>81</v>
      </c>
    </row>
    <row r="1937" spans="1:13" x14ac:dyDescent="0.25">
      <c r="A1937" s="9">
        <v>1893</v>
      </c>
      <c r="B1937" s="10">
        <v>45537</v>
      </c>
      <c r="C1937" s="11" t="s">
        <v>194</v>
      </c>
      <c r="D1937" s="11" t="s">
        <v>93</v>
      </c>
      <c r="E1937" s="11" t="s">
        <v>111</v>
      </c>
      <c r="F1937" s="11" t="s">
        <v>112</v>
      </c>
      <c r="G1937" s="9">
        <v>46</v>
      </c>
      <c r="H1937" s="9">
        <v>62000</v>
      </c>
      <c r="I1937" s="9">
        <v>0</v>
      </c>
      <c r="J1937" s="9">
        <f t="shared" si="60"/>
        <v>2852000</v>
      </c>
      <c r="K1937" s="9">
        <f t="shared" si="61"/>
        <v>2852000</v>
      </c>
      <c r="L1937" s="11" t="s">
        <v>107</v>
      </c>
      <c r="M1937" s="11" t="s">
        <v>96</v>
      </c>
    </row>
    <row r="1938" spans="1:13" x14ac:dyDescent="0.25">
      <c r="A1938" s="6">
        <v>1894</v>
      </c>
      <c r="B1938" s="7">
        <v>45520</v>
      </c>
      <c r="C1938" s="8" t="s">
        <v>237</v>
      </c>
      <c r="D1938" s="8" t="s">
        <v>93</v>
      </c>
      <c r="E1938" s="8" t="s">
        <v>84</v>
      </c>
      <c r="F1938" s="8" t="s">
        <v>128</v>
      </c>
      <c r="G1938" s="6">
        <v>44</v>
      </c>
      <c r="H1938" s="6">
        <v>3900</v>
      </c>
      <c r="I1938" s="6">
        <v>0</v>
      </c>
      <c r="J1938" s="6">
        <f t="shared" si="60"/>
        <v>171600</v>
      </c>
      <c r="K1938" s="6">
        <f t="shared" si="61"/>
        <v>171600</v>
      </c>
      <c r="L1938" s="8" t="s">
        <v>86</v>
      </c>
      <c r="M1938" s="8" t="s">
        <v>77</v>
      </c>
    </row>
    <row r="1939" spans="1:13" x14ac:dyDescent="0.25">
      <c r="A1939" s="9">
        <v>1895</v>
      </c>
      <c r="B1939" s="10">
        <v>45300</v>
      </c>
      <c r="C1939" s="11" t="s">
        <v>114</v>
      </c>
      <c r="D1939" s="11" t="s">
        <v>73</v>
      </c>
      <c r="E1939" s="11" t="s">
        <v>102</v>
      </c>
      <c r="F1939" s="11" t="s">
        <v>181</v>
      </c>
      <c r="G1939" s="9">
        <v>3</v>
      </c>
      <c r="H1939" s="9">
        <v>4200</v>
      </c>
      <c r="I1939" s="9">
        <v>10</v>
      </c>
      <c r="J1939" s="9">
        <f t="shared" si="60"/>
        <v>12600</v>
      </c>
      <c r="K1939" s="9">
        <f t="shared" si="61"/>
        <v>11340</v>
      </c>
      <c r="L1939" s="11" t="s">
        <v>164</v>
      </c>
      <c r="M1939" s="11" t="s">
        <v>91</v>
      </c>
    </row>
    <row r="1940" spans="1:13" x14ac:dyDescent="0.25">
      <c r="A1940" s="6">
        <v>1896</v>
      </c>
      <c r="B1940" s="7">
        <v>45629</v>
      </c>
      <c r="C1940" s="8" t="s">
        <v>119</v>
      </c>
      <c r="D1940" s="8" t="s">
        <v>93</v>
      </c>
      <c r="E1940" s="8" t="s">
        <v>102</v>
      </c>
      <c r="F1940" s="8" t="s">
        <v>197</v>
      </c>
      <c r="G1940" s="6">
        <v>14</v>
      </c>
      <c r="H1940" s="6">
        <v>3800</v>
      </c>
      <c r="I1940" s="6">
        <v>15</v>
      </c>
      <c r="J1940" s="6">
        <f t="shared" si="60"/>
        <v>53200</v>
      </c>
      <c r="K1940" s="6">
        <f t="shared" si="61"/>
        <v>45220</v>
      </c>
      <c r="L1940" s="8" t="s">
        <v>86</v>
      </c>
      <c r="M1940" s="8" t="s">
        <v>96</v>
      </c>
    </row>
    <row r="1941" spans="1:13" x14ac:dyDescent="0.25">
      <c r="A1941" s="9">
        <v>1897</v>
      </c>
      <c r="B1941" s="10">
        <v>45453</v>
      </c>
      <c r="C1941" s="11" t="s">
        <v>88</v>
      </c>
      <c r="D1941" s="11" t="s">
        <v>109</v>
      </c>
      <c r="E1941" s="11" t="s">
        <v>162</v>
      </c>
      <c r="F1941" s="11" t="s">
        <v>148</v>
      </c>
      <c r="G1941" s="9">
        <v>49</v>
      </c>
      <c r="H1941" s="9">
        <v>5400</v>
      </c>
      <c r="I1941" s="9">
        <v>0</v>
      </c>
      <c r="J1941" s="9">
        <f t="shared" si="60"/>
        <v>264600</v>
      </c>
      <c r="K1941" s="9">
        <f t="shared" si="61"/>
        <v>264600</v>
      </c>
      <c r="L1941" s="11" t="s">
        <v>86</v>
      </c>
      <c r="M1941" s="11" t="s">
        <v>77</v>
      </c>
    </row>
    <row r="1942" spans="1:13" x14ac:dyDescent="0.25">
      <c r="A1942" s="6">
        <v>1898</v>
      </c>
      <c r="B1942" s="7">
        <v>44944</v>
      </c>
      <c r="C1942" s="8" t="s">
        <v>95</v>
      </c>
      <c r="D1942" s="8" t="s">
        <v>117</v>
      </c>
      <c r="E1942" s="8" t="s">
        <v>84</v>
      </c>
      <c r="F1942" s="8" t="s">
        <v>148</v>
      </c>
      <c r="G1942" s="6">
        <v>37</v>
      </c>
      <c r="H1942" s="6">
        <v>5100</v>
      </c>
      <c r="I1942" s="6">
        <v>0</v>
      </c>
      <c r="J1942" s="6">
        <f t="shared" si="60"/>
        <v>188700</v>
      </c>
      <c r="K1942" s="6">
        <f t="shared" si="61"/>
        <v>188700</v>
      </c>
      <c r="L1942" s="8" t="s">
        <v>107</v>
      </c>
      <c r="M1942" s="8" t="s">
        <v>96</v>
      </c>
    </row>
    <row r="1943" spans="1:13" x14ac:dyDescent="0.25">
      <c r="A1943" s="9">
        <v>1899</v>
      </c>
      <c r="B1943" s="10">
        <v>45398</v>
      </c>
      <c r="C1943" s="11" t="s">
        <v>97</v>
      </c>
      <c r="D1943" s="11" t="s">
        <v>117</v>
      </c>
      <c r="E1943" s="11" t="s">
        <v>84</v>
      </c>
      <c r="F1943" s="11" t="s">
        <v>90</v>
      </c>
      <c r="G1943" s="9">
        <v>37</v>
      </c>
      <c r="H1943" s="9">
        <v>2000</v>
      </c>
      <c r="I1943" s="9">
        <v>0</v>
      </c>
      <c r="J1943" s="9">
        <f t="shared" si="60"/>
        <v>74000</v>
      </c>
      <c r="K1943" s="9">
        <f t="shared" si="61"/>
        <v>74000</v>
      </c>
      <c r="L1943" s="11" t="s">
        <v>189</v>
      </c>
      <c r="M1943" s="11" t="s">
        <v>77</v>
      </c>
    </row>
    <row r="1944" spans="1:13" x14ac:dyDescent="0.25">
      <c r="A1944" s="6">
        <v>1900</v>
      </c>
      <c r="B1944" s="7">
        <v>45079</v>
      </c>
      <c r="C1944" s="8" t="s">
        <v>124</v>
      </c>
      <c r="D1944" s="8" t="s">
        <v>109</v>
      </c>
      <c r="E1944" s="8" t="s">
        <v>102</v>
      </c>
      <c r="F1944" s="8" t="s">
        <v>157</v>
      </c>
      <c r="G1944" s="6">
        <v>6</v>
      </c>
      <c r="H1944" s="6">
        <v>12800</v>
      </c>
      <c r="I1944" s="6">
        <v>0</v>
      </c>
      <c r="J1944" s="6">
        <f t="shared" si="60"/>
        <v>76800</v>
      </c>
      <c r="K1944" s="6">
        <f t="shared" si="61"/>
        <v>76800</v>
      </c>
      <c r="L1944" s="8" t="s">
        <v>76</v>
      </c>
      <c r="M1944" s="8" t="s">
        <v>91</v>
      </c>
    </row>
    <row r="1945" spans="1:13" x14ac:dyDescent="0.25">
      <c r="A1945" s="9">
        <v>1901</v>
      </c>
      <c r="B1945" s="10">
        <v>45596</v>
      </c>
      <c r="C1945" s="11" t="s">
        <v>82</v>
      </c>
      <c r="D1945" s="11" t="s">
        <v>109</v>
      </c>
      <c r="E1945" s="11" t="s">
        <v>79</v>
      </c>
      <c r="F1945" s="11" t="s">
        <v>80</v>
      </c>
      <c r="G1945" s="9">
        <v>37</v>
      </c>
      <c r="H1945" s="9">
        <v>9600</v>
      </c>
      <c r="I1945" s="9">
        <v>0</v>
      </c>
      <c r="J1945" s="9">
        <f t="shared" si="60"/>
        <v>355200</v>
      </c>
      <c r="K1945" s="9">
        <f t="shared" si="61"/>
        <v>355200</v>
      </c>
      <c r="L1945" s="11" t="s">
        <v>76</v>
      </c>
      <c r="M1945" s="11" t="s">
        <v>91</v>
      </c>
    </row>
    <row r="1946" spans="1:13" x14ac:dyDescent="0.25">
      <c r="A1946" s="6">
        <v>1902</v>
      </c>
      <c r="B1946" s="7">
        <v>45142</v>
      </c>
      <c r="C1946" s="8" t="s">
        <v>124</v>
      </c>
      <c r="D1946" s="8" t="s">
        <v>83</v>
      </c>
      <c r="E1946" s="8" t="s">
        <v>79</v>
      </c>
      <c r="F1946" s="8" t="s">
        <v>131</v>
      </c>
      <c r="G1946" s="6">
        <v>4</v>
      </c>
      <c r="H1946" s="6">
        <v>112400</v>
      </c>
      <c r="I1946" s="6">
        <v>0</v>
      </c>
      <c r="J1946" s="6">
        <f t="shared" si="60"/>
        <v>449600</v>
      </c>
      <c r="K1946" s="6">
        <f t="shared" si="61"/>
        <v>449600</v>
      </c>
      <c r="L1946" s="8" t="s">
        <v>76</v>
      </c>
      <c r="M1946" s="8" t="s">
        <v>81</v>
      </c>
    </row>
    <row r="1947" spans="1:13" x14ac:dyDescent="0.25">
      <c r="A1947" s="9">
        <v>1903</v>
      </c>
      <c r="B1947" s="10">
        <v>45139</v>
      </c>
      <c r="C1947" s="11" t="s">
        <v>108</v>
      </c>
      <c r="D1947" s="11" t="s">
        <v>73</v>
      </c>
      <c r="E1947" s="11" t="s">
        <v>111</v>
      </c>
      <c r="F1947" s="11" t="s">
        <v>165</v>
      </c>
      <c r="G1947" s="9">
        <v>43</v>
      </c>
      <c r="H1947" s="9">
        <v>18300</v>
      </c>
      <c r="I1947" s="9">
        <v>10</v>
      </c>
      <c r="J1947" s="9">
        <f t="shared" si="60"/>
        <v>786900</v>
      </c>
      <c r="K1947" s="9">
        <f t="shared" si="61"/>
        <v>708210</v>
      </c>
      <c r="L1947" s="11" t="s">
        <v>76</v>
      </c>
      <c r="M1947" s="11" t="s">
        <v>77</v>
      </c>
    </row>
    <row r="1948" spans="1:13" x14ac:dyDescent="0.25">
      <c r="A1948" s="6">
        <v>1904</v>
      </c>
      <c r="B1948" s="7">
        <v>45616</v>
      </c>
      <c r="C1948" s="8" t="s">
        <v>97</v>
      </c>
      <c r="D1948" s="8" t="s">
        <v>73</v>
      </c>
      <c r="E1948" s="8" t="s">
        <v>79</v>
      </c>
      <c r="F1948" s="8" t="s">
        <v>115</v>
      </c>
      <c r="G1948" s="6">
        <v>9</v>
      </c>
      <c r="H1948" s="6">
        <v>9000</v>
      </c>
      <c r="I1948" s="6">
        <v>0</v>
      </c>
      <c r="J1948" s="6">
        <f t="shared" si="60"/>
        <v>81000</v>
      </c>
      <c r="K1948" s="6">
        <f t="shared" si="61"/>
        <v>81000</v>
      </c>
      <c r="L1948" s="8" t="s">
        <v>107</v>
      </c>
      <c r="M1948" s="8" t="s">
        <v>77</v>
      </c>
    </row>
    <row r="1949" spans="1:13" x14ac:dyDescent="0.25">
      <c r="A1949" s="9">
        <v>1905</v>
      </c>
      <c r="B1949" s="10">
        <v>45559</v>
      </c>
      <c r="C1949" s="11" t="s">
        <v>78</v>
      </c>
      <c r="D1949" s="11" t="s">
        <v>83</v>
      </c>
      <c r="E1949" s="11" t="s">
        <v>84</v>
      </c>
      <c r="F1949" s="11" t="s">
        <v>200</v>
      </c>
      <c r="G1949" s="9">
        <v>34</v>
      </c>
      <c r="H1949" s="9">
        <v>3400</v>
      </c>
      <c r="I1949" s="9">
        <v>0</v>
      </c>
      <c r="J1949" s="9">
        <f t="shared" si="60"/>
        <v>115600</v>
      </c>
      <c r="K1949" s="9">
        <f t="shared" si="61"/>
        <v>115600</v>
      </c>
      <c r="L1949" s="11" t="s">
        <v>86</v>
      </c>
      <c r="M1949" s="11" t="s">
        <v>81</v>
      </c>
    </row>
    <row r="1950" spans="1:13" x14ac:dyDescent="0.25">
      <c r="A1950" s="6">
        <v>1906</v>
      </c>
      <c r="B1950" s="7">
        <v>45564</v>
      </c>
      <c r="C1950" s="8" t="s">
        <v>106</v>
      </c>
      <c r="D1950" s="8" t="s">
        <v>73</v>
      </c>
      <c r="E1950" s="8" t="s">
        <v>74</v>
      </c>
      <c r="F1950" s="8" t="s">
        <v>75</v>
      </c>
      <c r="G1950" s="6">
        <v>22</v>
      </c>
      <c r="H1950" s="6">
        <v>22200</v>
      </c>
      <c r="I1950" s="6">
        <v>15</v>
      </c>
      <c r="J1950" s="6">
        <f t="shared" si="60"/>
        <v>488400</v>
      </c>
      <c r="K1950" s="6">
        <f t="shared" si="61"/>
        <v>415140</v>
      </c>
      <c r="L1950" s="8" t="s">
        <v>76</v>
      </c>
      <c r="M1950" s="8" t="s">
        <v>77</v>
      </c>
    </row>
    <row r="1951" spans="1:13" x14ac:dyDescent="0.25">
      <c r="A1951" s="9">
        <v>1907</v>
      </c>
      <c r="B1951" s="10">
        <v>45110</v>
      </c>
      <c r="C1951" s="11" t="s">
        <v>119</v>
      </c>
      <c r="D1951" s="11" t="s">
        <v>117</v>
      </c>
      <c r="E1951" s="11" t="s">
        <v>102</v>
      </c>
      <c r="F1951" s="11" t="s">
        <v>137</v>
      </c>
      <c r="G1951" s="9">
        <v>19</v>
      </c>
      <c r="H1951" s="9">
        <v>2100</v>
      </c>
      <c r="I1951" s="9"/>
      <c r="J1951" s="9">
        <f t="shared" si="60"/>
        <v>39900</v>
      </c>
      <c r="K1951" s="9">
        <f t="shared" si="61"/>
        <v>39900</v>
      </c>
      <c r="L1951" s="11" t="s">
        <v>76</v>
      </c>
      <c r="M1951" s="11" t="s">
        <v>77</v>
      </c>
    </row>
    <row r="1952" spans="1:13" x14ac:dyDescent="0.25">
      <c r="A1952" s="6">
        <v>1908</v>
      </c>
      <c r="B1952" s="7">
        <v>44950</v>
      </c>
      <c r="C1952" s="8" t="s">
        <v>82</v>
      </c>
      <c r="D1952" s="8" t="s">
        <v>83</v>
      </c>
      <c r="E1952" s="8" t="s">
        <v>102</v>
      </c>
      <c r="F1952" s="8" t="s">
        <v>103</v>
      </c>
      <c r="G1952" s="6">
        <v>1</v>
      </c>
      <c r="H1952" s="6">
        <v>11100</v>
      </c>
      <c r="I1952" s="6">
        <v>0</v>
      </c>
      <c r="J1952" s="6">
        <f t="shared" si="60"/>
        <v>11100</v>
      </c>
      <c r="K1952" s="6">
        <f t="shared" si="61"/>
        <v>11100</v>
      </c>
      <c r="L1952" s="8" t="s">
        <v>76</v>
      </c>
      <c r="M1952" s="8" t="s">
        <v>96</v>
      </c>
    </row>
    <row r="1953" spans="1:13" x14ac:dyDescent="0.25">
      <c r="A1953" s="9">
        <v>1909</v>
      </c>
      <c r="B1953" s="10">
        <v>45080</v>
      </c>
      <c r="C1953" s="11" t="s">
        <v>124</v>
      </c>
      <c r="D1953" s="11" t="s">
        <v>313</v>
      </c>
      <c r="E1953" s="11" t="s">
        <v>111</v>
      </c>
      <c r="F1953" s="11" t="s">
        <v>166</v>
      </c>
      <c r="G1953" s="9">
        <v>38</v>
      </c>
      <c r="H1953" s="9">
        <v>25300</v>
      </c>
      <c r="I1953" s="9">
        <v>0</v>
      </c>
      <c r="J1953" s="9">
        <f t="shared" si="60"/>
        <v>961400</v>
      </c>
      <c r="K1953" s="9">
        <f t="shared" si="61"/>
        <v>961400</v>
      </c>
      <c r="L1953" s="11" t="s">
        <v>76</v>
      </c>
      <c r="M1953" s="11" t="s">
        <v>96</v>
      </c>
    </row>
    <row r="1954" spans="1:13" x14ac:dyDescent="0.25">
      <c r="A1954" s="6">
        <v>1910</v>
      </c>
      <c r="B1954" s="8" t="s">
        <v>637</v>
      </c>
      <c r="C1954" s="8" t="s">
        <v>97</v>
      </c>
      <c r="D1954" s="8" t="s">
        <v>73</v>
      </c>
      <c r="E1954" s="8" t="s">
        <v>84</v>
      </c>
      <c r="F1954" s="8" t="s">
        <v>200</v>
      </c>
      <c r="G1954" s="6">
        <v>45</v>
      </c>
      <c r="H1954" s="6">
        <v>3000</v>
      </c>
      <c r="I1954" s="6">
        <v>20</v>
      </c>
      <c r="J1954" s="6">
        <f t="shared" si="60"/>
        <v>135000</v>
      </c>
      <c r="K1954" s="6">
        <f t="shared" si="61"/>
        <v>108000</v>
      </c>
      <c r="L1954" s="8" t="s">
        <v>76</v>
      </c>
      <c r="M1954" s="8" t="s">
        <v>77</v>
      </c>
    </row>
    <row r="1955" spans="1:13" x14ac:dyDescent="0.25">
      <c r="A1955" s="9">
        <v>1911</v>
      </c>
      <c r="B1955" s="10">
        <v>45026</v>
      </c>
      <c r="C1955" s="11" t="s">
        <v>106</v>
      </c>
      <c r="D1955" s="11" t="s">
        <v>83</v>
      </c>
      <c r="E1955" s="11" t="s">
        <v>79</v>
      </c>
      <c r="F1955" s="11" t="s">
        <v>122</v>
      </c>
      <c r="G1955" s="9">
        <v>28</v>
      </c>
      <c r="H1955" s="9">
        <v>17400</v>
      </c>
      <c r="I1955" s="9">
        <v>10</v>
      </c>
      <c r="J1955" s="9">
        <f t="shared" si="60"/>
        <v>487200</v>
      </c>
      <c r="K1955" s="9">
        <f t="shared" si="61"/>
        <v>438480</v>
      </c>
      <c r="L1955" s="11" t="s">
        <v>125</v>
      </c>
      <c r="M1955" s="11" t="s">
        <v>96</v>
      </c>
    </row>
    <row r="1956" spans="1:13" x14ac:dyDescent="0.25">
      <c r="A1956" s="6">
        <v>1912</v>
      </c>
      <c r="B1956" s="8" t="s">
        <v>357</v>
      </c>
      <c r="C1956" s="8" t="s">
        <v>223</v>
      </c>
      <c r="D1956" s="8" t="s">
        <v>117</v>
      </c>
      <c r="E1956" s="8" t="s">
        <v>84</v>
      </c>
      <c r="F1956" s="8" t="s">
        <v>90</v>
      </c>
      <c r="G1956" s="6">
        <v>17</v>
      </c>
      <c r="H1956" s="6" t="s">
        <v>638</v>
      </c>
      <c r="I1956" s="6">
        <v>0</v>
      </c>
      <c r="J1956" s="6">
        <f t="shared" si="60"/>
        <v>34000</v>
      </c>
      <c r="K1956" s="6">
        <f t="shared" si="61"/>
        <v>34000</v>
      </c>
      <c r="L1956" s="8" t="s">
        <v>125</v>
      </c>
      <c r="M1956" s="8" t="s">
        <v>81</v>
      </c>
    </row>
    <row r="1957" spans="1:13" x14ac:dyDescent="0.25">
      <c r="A1957" s="9">
        <v>1913</v>
      </c>
      <c r="B1957" s="10">
        <v>45071</v>
      </c>
      <c r="C1957" s="11" t="s">
        <v>119</v>
      </c>
      <c r="D1957" s="11" t="s">
        <v>73</v>
      </c>
      <c r="E1957" s="11" t="s">
        <v>111</v>
      </c>
      <c r="F1957" s="11" t="s">
        <v>112</v>
      </c>
      <c r="G1957" s="9">
        <v>11</v>
      </c>
      <c r="H1957" s="9">
        <v>64400</v>
      </c>
      <c r="I1957" s="9">
        <v>0</v>
      </c>
      <c r="J1957" s="9">
        <f t="shared" si="60"/>
        <v>708400</v>
      </c>
      <c r="K1957" s="9">
        <f t="shared" si="61"/>
        <v>708400</v>
      </c>
      <c r="L1957" s="11" t="s">
        <v>76</v>
      </c>
      <c r="M1957" s="11" t="s">
        <v>91</v>
      </c>
    </row>
    <row r="1958" spans="1:13" x14ac:dyDescent="0.25">
      <c r="A1958" s="6">
        <v>1914</v>
      </c>
      <c r="B1958" s="7">
        <v>44988</v>
      </c>
      <c r="C1958" s="8" t="s">
        <v>108</v>
      </c>
      <c r="D1958" s="8" t="s">
        <v>93</v>
      </c>
      <c r="E1958" s="8" t="s">
        <v>102</v>
      </c>
      <c r="F1958" s="8" t="s">
        <v>138</v>
      </c>
      <c r="G1958" s="6">
        <v>47</v>
      </c>
      <c r="H1958" s="6">
        <v>6600</v>
      </c>
      <c r="I1958" s="6">
        <v>5</v>
      </c>
      <c r="J1958" s="6">
        <f t="shared" si="60"/>
        <v>310200</v>
      </c>
      <c r="K1958" s="6">
        <f t="shared" si="61"/>
        <v>294690</v>
      </c>
      <c r="L1958" s="8" t="s">
        <v>125</v>
      </c>
      <c r="M1958" s="8" t="s">
        <v>91</v>
      </c>
    </row>
    <row r="1959" spans="1:13" x14ac:dyDescent="0.25">
      <c r="A1959" s="9">
        <v>1915</v>
      </c>
      <c r="B1959" s="10">
        <v>45531</v>
      </c>
      <c r="C1959" s="11" t="s">
        <v>199</v>
      </c>
      <c r="D1959" s="11" t="s">
        <v>83</v>
      </c>
      <c r="E1959" s="11" t="s">
        <v>84</v>
      </c>
      <c r="F1959" s="11" t="s">
        <v>128</v>
      </c>
      <c r="G1959" s="9">
        <v>19</v>
      </c>
      <c r="H1959" s="9">
        <v>3900</v>
      </c>
      <c r="I1959" s="9">
        <v>0</v>
      </c>
      <c r="J1959" s="9">
        <f t="shared" si="60"/>
        <v>74100</v>
      </c>
      <c r="K1959" s="9">
        <f t="shared" si="61"/>
        <v>74100</v>
      </c>
      <c r="L1959" s="11" t="s">
        <v>76</v>
      </c>
      <c r="M1959" s="11" t="s">
        <v>77</v>
      </c>
    </row>
    <row r="1960" spans="1:13" x14ac:dyDescent="0.25">
      <c r="A1960" s="6">
        <v>1916</v>
      </c>
      <c r="B1960" s="7">
        <v>45254</v>
      </c>
      <c r="C1960" s="8" t="s">
        <v>95</v>
      </c>
      <c r="D1960" s="8" t="s">
        <v>109</v>
      </c>
      <c r="E1960" s="8" t="s">
        <v>79</v>
      </c>
      <c r="F1960" s="8" t="s">
        <v>80</v>
      </c>
      <c r="G1960" s="6">
        <v>19</v>
      </c>
      <c r="H1960" s="6">
        <v>9100</v>
      </c>
      <c r="I1960" s="6">
        <v>0</v>
      </c>
      <c r="J1960" s="6">
        <f t="shared" si="60"/>
        <v>172900</v>
      </c>
      <c r="K1960" s="6">
        <f t="shared" si="61"/>
        <v>172900</v>
      </c>
      <c r="L1960" s="8" t="s">
        <v>76</v>
      </c>
      <c r="M1960" s="8" t="s">
        <v>77</v>
      </c>
    </row>
    <row r="1961" spans="1:13" x14ac:dyDescent="0.25">
      <c r="A1961" s="9">
        <v>1917</v>
      </c>
      <c r="B1961" s="10">
        <v>44944</v>
      </c>
      <c r="C1961" s="11" t="s">
        <v>124</v>
      </c>
      <c r="D1961" s="11" t="s">
        <v>117</v>
      </c>
      <c r="E1961" s="11" t="s">
        <v>111</v>
      </c>
      <c r="F1961" s="11" t="s">
        <v>159</v>
      </c>
      <c r="G1961" s="9">
        <v>50</v>
      </c>
      <c r="H1961" s="9">
        <v>12500</v>
      </c>
      <c r="I1961" s="9">
        <v>5</v>
      </c>
      <c r="J1961" s="9">
        <f t="shared" si="60"/>
        <v>625000</v>
      </c>
      <c r="K1961" s="9">
        <f t="shared" si="61"/>
        <v>593750</v>
      </c>
      <c r="L1961" s="11" t="s">
        <v>76</v>
      </c>
      <c r="M1961" s="11" t="s">
        <v>96</v>
      </c>
    </row>
    <row r="1962" spans="1:13" x14ac:dyDescent="0.25">
      <c r="A1962" s="6">
        <v>1918</v>
      </c>
      <c r="B1962" s="8" t="s">
        <v>639</v>
      </c>
      <c r="C1962" s="8" t="s">
        <v>124</v>
      </c>
      <c r="D1962" s="8" t="s">
        <v>73</v>
      </c>
      <c r="E1962" s="8" t="s">
        <v>74</v>
      </c>
      <c r="F1962" s="8" t="s">
        <v>99</v>
      </c>
      <c r="G1962" s="6">
        <v>50</v>
      </c>
      <c r="H1962" s="6">
        <v>3700</v>
      </c>
      <c r="I1962" s="6">
        <v>0</v>
      </c>
      <c r="J1962" s="6">
        <f t="shared" si="60"/>
        <v>185000</v>
      </c>
      <c r="K1962" s="6">
        <f t="shared" si="61"/>
        <v>185000</v>
      </c>
      <c r="L1962" s="8" t="s">
        <v>218</v>
      </c>
      <c r="M1962" s="8" t="s">
        <v>96</v>
      </c>
    </row>
    <row r="1963" spans="1:13" x14ac:dyDescent="0.25">
      <c r="A1963" s="9">
        <v>1919</v>
      </c>
      <c r="B1963" s="10">
        <v>45362</v>
      </c>
      <c r="C1963" s="11" t="s">
        <v>108</v>
      </c>
      <c r="D1963" s="11" t="s">
        <v>249</v>
      </c>
      <c r="E1963" s="11" t="s">
        <v>74</v>
      </c>
      <c r="F1963" s="11" t="s">
        <v>99</v>
      </c>
      <c r="G1963" s="9">
        <v>9</v>
      </c>
      <c r="H1963" s="9">
        <v>3900</v>
      </c>
      <c r="I1963" s="9">
        <v>5</v>
      </c>
      <c r="J1963" s="9">
        <f t="shared" si="60"/>
        <v>35100</v>
      </c>
      <c r="K1963" s="9">
        <f t="shared" si="61"/>
        <v>33345</v>
      </c>
      <c r="L1963" s="11" t="s">
        <v>86</v>
      </c>
      <c r="M1963" s="11" t="s">
        <v>96</v>
      </c>
    </row>
    <row r="1964" spans="1:13" x14ac:dyDescent="0.25">
      <c r="A1964" s="6">
        <v>1920</v>
      </c>
      <c r="B1964" s="8" t="s">
        <v>640</v>
      </c>
      <c r="C1964" s="8" t="s">
        <v>78</v>
      </c>
      <c r="D1964" s="8" t="s">
        <v>73</v>
      </c>
      <c r="E1964" s="8" t="s">
        <v>79</v>
      </c>
      <c r="F1964" s="8" t="s">
        <v>136</v>
      </c>
      <c r="G1964" s="6">
        <v>33</v>
      </c>
      <c r="H1964" s="6">
        <v>92800</v>
      </c>
      <c r="I1964" s="6">
        <v>0</v>
      </c>
      <c r="J1964" s="6">
        <f t="shared" si="60"/>
        <v>3062400</v>
      </c>
      <c r="K1964" s="6">
        <f t="shared" si="61"/>
        <v>3062400</v>
      </c>
      <c r="L1964" s="8" t="s">
        <v>76</v>
      </c>
      <c r="M1964" s="8" t="s">
        <v>81</v>
      </c>
    </row>
    <row r="1965" spans="1:13" x14ac:dyDescent="0.25">
      <c r="A1965" s="9">
        <v>1921</v>
      </c>
      <c r="B1965" s="11" t="s">
        <v>641</v>
      </c>
      <c r="C1965" s="11" t="s">
        <v>82</v>
      </c>
      <c r="D1965" s="11" t="s">
        <v>178</v>
      </c>
      <c r="E1965" s="11" t="s">
        <v>79</v>
      </c>
      <c r="F1965" s="11" t="s">
        <v>172</v>
      </c>
      <c r="G1965" s="9">
        <v>49</v>
      </c>
      <c r="H1965" s="9">
        <v>25000</v>
      </c>
      <c r="I1965" s="9">
        <v>0</v>
      </c>
      <c r="J1965" s="9">
        <f t="shared" si="60"/>
        <v>1225000</v>
      </c>
      <c r="K1965" s="9">
        <f t="shared" si="61"/>
        <v>1225000</v>
      </c>
      <c r="L1965" s="11" t="s">
        <v>123</v>
      </c>
      <c r="M1965" s="11" t="s">
        <v>91</v>
      </c>
    </row>
    <row r="1966" spans="1:13" x14ac:dyDescent="0.25">
      <c r="A1966" s="6">
        <v>1922</v>
      </c>
      <c r="B1966" s="7">
        <v>45360</v>
      </c>
      <c r="C1966" s="8" t="s">
        <v>82</v>
      </c>
      <c r="D1966" s="8" t="s">
        <v>73</v>
      </c>
      <c r="E1966" s="8" t="s">
        <v>102</v>
      </c>
      <c r="F1966" s="8" t="s">
        <v>138</v>
      </c>
      <c r="G1966" s="6">
        <v>47</v>
      </c>
      <c r="H1966" s="6">
        <v>6700</v>
      </c>
      <c r="I1966" s="6">
        <v>0</v>
      </c>
      <c r="J1966" s="6">
        <f t="shared" si="60"/>
        <v>314900</v>
      </c>
      <c r="K1966" s="6">
        <f t="shared" si="61"/>
        <v>314900</v>
      </c>
      <c r="L1966" s="8" t="s">
        <v>86</v>
      </c>
      <c r="M1966" s="8" t="s">
        <v>91</v>
      </c>
    </row>
    <row r="1967" spans="1:13" x14ac:dyDescent="0.25">
      <c r="A1967" s="9">
        <v>1923</v>
      </c>
      <c r="B1967" s="10">
        <v>45078</v>
      </c>
      <c r="C1967" s="11" t="s">
        <v>124</v>
      </c>
      <c r="D1967" s="11" t="s">
        <v>73</v>
      </c>
      <c r="E1967" s="11" t="s">
        <v>79</v>
      </c>
      <c r="F1967" s="11" t="s">
        <v>120</v>
      </c>
      <c r="G1967" s="9">
        <v>30</v>
      </c>
      <c r="H1967" s="9">
        <v>6500</v>
      </c>
      <c r="I1967" s="9">
        <v>5</v>
      </c>
      <c r="J1967" s="9">
        <f t="shared" si="60"/>
        <v>195000</v>
      </c>
      <c r="K1967" s="9">
        <f t="shared" si="61"/>
        <v>185250</v>
      </c>
      <c r="L1967" s="11" t="s">
        <v>76</v>
      </c>
      <c r="M1967" s="11" t="s">
        <v>77</v>
      </c>
    </row>
    <row r="1968" spans="1:13" x14ac:dyDescent="0.25">
      <c r="A1968" s="6">
        <v>1924</v>
      </c>
      <c r="B1968" s="7">
        <v>45390</v>
      </c>
      <c r="C1968" s="8" t="s">
        <v>97</v>
      </c>
      <c r="D1968" s="8" t="s">
        <v>109</v>
      </c>
      <c r="E1968" s="8" t="s">
        <v>79</v>
      </c>
      <c r="F1968" s="8" t="s">
        <v>172</v>
      </c>
      <c r="G1968" s="6">
        <v>22</v>
      </c>
      <c r="H1968" s="6">
        <v>27000</v>
      </c>
      <c r="I1968" s="6">
        <v>20</v>
      </c>
      <c r="J1968" s="6">
        <f t="shared" si="60"/>
        <v>594000</v>
      </c>
      <c r="K1968" s="6">
        <f t="shared" si="61"/>
        <v>475200</v>
      </c>
      <c r="L1968" s="8" t="s">
        <v>76</v>
      </c>
      <c r="M1968" s="8" t="s">
        <v>77</v>
      </c>
    </row>
    <row r="1969" spans="1:13" x14ac:dyDescent="0.25">
      <c r="A1969" s="9">
        <v>143</v>
      </c>
      <c r="B1969" s="10">
        <v>44934</v>
      </c>
      <c r="C1969" s="11" t="s">
        <v>119</v>
      </c>
      <c r="D1969" s="11" t="s">
        <v>83</v>
      </c>
      <c r="E1969" s="11" t="s">
        <v>84</v>
      </c>
      <c r="F1969" s="11" t="s">
        <v>128</v>
      </c>
      <c r="G1969" s="9">
        <v>46</v>
      </c>
      <c r="H1969" s="9">
        <v>4200</v>
      </c>
      <c r="I1969" s="9">
        <v>0</v>
      </c>
      <c r="J1969" s="9">
        <f t="shared" si="60"/>
        <v>193200</v>
      </c>
      <c r="K1969" s="9">
        <f t="shared" si="61"/>
        <v>193200</v>
      </c>
      <c r="L1969" s="11" t="s">
        <v>76</v>
      </c>
      <c r="M1969" s="11" t="s">
        <v>96</v>
      </c>
    </row>
    <row r="1970" spans="1:13" x14ac:dyDescent="0.25">
      <c r="A1970" s="6">
        <v>1925</v>
      </c>
      <c r="B1970" s="7">
        <v>45221</v>
      </c>
      <c r="C1970" s="8" t="s">
        <v>88</v>
      </c>
      <c r="D1970" s="8" t="s">
        <v>93</v>
      </c>
      <c r="E1970" s="8" t="s">
        <v>74</v>
      </c>
      <c r="F1970" s="8" t="s">
        <v>99</v>
      </c>
      <c r="G1970" s="6">
        <v>26</v>
      </c>
      <c r="H1970" s="6">
        <v>3400</v>
      </c>
      <c r="I1970" s="6">
        <v>0</v>
      </c>
      <c r="J1970" s="6">
        <f t="shared" si="60"/>
        <v>88400</v>
      </c>
      <c r="K1970" s="6">
        <f t="shared" si="61"/>
        <v>88400</v>
      </c>
      <c r="L1970" s="8" t="s">
        <v>76</v>
      </c>
      <c r="M1970" s="8" t="s">
        <v>81</v>
      </c>
    </row>
    <row r="1971" spans="1:13" x14ac:dyDescent="0.25">
      <c r="A1971" s="9">
        <v>1926</v>
      </c>
      <c r="B1971" s="10">
        <v>44944</v>
      </c>
      <c r="C1971" s="11" t="s">
        <v>124</v>
      </c>
      <c r="D1971" s="11" t="s">
        <v>186</v>
      </c>
      <c r="E1971" s="11" t="s">
        <v>84</v>
      </c>
      <c r="F1971" s="11" t="s">
        <v>200</v>
      </c>
      <c r="G1971" s="9">
        <v>34</v>
      </c>
      <c r="H1971" s="9">
        <v>3300</v>
      </c>
      <c r="I1971" s="9">
        <v>5</v>
      </c>
      <c r="J1971" s="9">
        <f t="shared" si="60"/>
        <v>112200</v>
      </c>
      <c r="K1971" s="9">
        <f t="shared" si="61"/>
        <v>106590</v>
      </c>
      <c r="L1971" s="11" t="s">
        <v>86</v>
      </c>
      <c r="M1971" s="11" t="s">
        <v>91</v>
      </c>
    </row>
    <row r="1972" spans="1:13" x14ac:dyDescent="0.25">
      <c r="A1972" s="6">
        <v>1927</v>
      </c>
      <c r="B1972" s="7">
        <v>45647</v>
      </c>
      <c r="C1972" s="8" t="s">
        <v>114</v>
      </c>
      <c r="D1972" s="8" t="s">
        <v>93</v>
      </c>
      <c r="E1972" s="8" t="s">
        <v>74</v>
      </c>
      <c r="F1972" s="8" t="s">
        <v>99</v>
      </c>
      <c r="G1972" s="6">
        <v>8</v>
      </c>
      <c r="H1972" s="6">
        <v>3200</v>
      </c>
      <c r="I1972" s="6">
        <v>0</v>
      </c>
      <c r="J1972" s="6">
        <f t="shared" si="60"/>
        <v>25600</v>
      </c>
      <c r="K1972" s="6">
        <f t="shared" si="61"/>
        <v>25600</v>
      </c>
      <c r="L1972" s="8" t="s">
        <v>76</v>
      </c>
      <c r="M1972" s="8" t="s">
        <v>96</v>
      </c>
    </row>
    <row r="1973" spans="1:13" x14ac:dyDescent="0.25">
      <c r="A1973" s="9">
        <v>1928</v>
      </c>
      <c r="B1973" s="10">
        <v>45614</v>
      </c>
      <c r="C1973" s="11" t="s">
        <v>251</v>
      </c>
      <c r="D1973" s="11" t="s">
        <v>93</v>
      </c>
      <c r="E1973" s="11" t="s">
        <v>111</v>
      </c>
      <c r="F1973" s="11" t="s">
        <v>166</v>
      </c>
      <c r="G1973" s="9">
        <v>29</v>
      </c>
      <c r="H1973" s="9">
        <v>31000</v>
      </c>
      <c r="I1973" s="9">
        <v>5</v>
      </c>
      <c r="J1973" s="9">
        <f t="shared" si="60"/>
        <v>899000</v>
      </c>
      <c r="K1973" s="9">
        <f t="shared" si="61"/>
        <v>854050</v>
      </c>
      <c r="L1973" s="11" t="s">
        <v>107</v>
      </c>
      <c r="M1973" s="11" t="s">
        <v>91</v>
      </c>
    </row>
    <row r="1974" spans="1:13" x14ac:dyDescent="0.25">
      <c r="A1974" s="6">
        <v>1929</v>
      </c>
      <c r="B1974" s="8" t="s">
        <v>642</v>
      </c>
      <c r="C1974" s="8" t="s">
        <v>108</v>
      </c>
      <c r="D1974" s="8" t="s">
        <v>73</v>
      </c>
      <c r="E1974" s="8" t="s">
        <v>74</v>
      </c>
      <c r="F1974" s="8" t="s">
        <v>118</v>
      </c>
      <c r="G1974" s="6">
        <v>9</v>
      </c>
      <c r="H1974" s="6">
        <v>28900</v>
      </c>
      <c r="I1974" s="6">
        <v>0</v>
      </c>
      <c r="J1974" s="6">
        <f t="shared" si="60"/>
        <v>260100</v>
      </c>
      <c r="K1974" s="6">
        <f t="shared" si="61"/>
        <v>260100</v>
      </c>
      <c r="L1974" s="8" t="s">
        <v>86</v>
      </c>
      <c r="M1974" s="8"/>
    </row>
    <row r="1975" spans="1:13" x14ac:dyDescent="0.25">
      <c r="A1975" s="9">
        <v>1930</v>
      </c>
      <c r="B1975" s="11" t="s">
        <v>643</v>
      </c>
      <c r="C1975" s="11" t="s">
        <v>78</v>
      </c>
      <c r="D1975" s="11" t="s">
        <v>117</v>
      </c>
      <c r="E1975" s="11" t="s">
        <v>111</v>
      </c>
      <c r="F1975" s="11" t="s">
        <v>165</v>
      </c>
      <c r="G1975" s="9">
        <v>20</v>
      </c>
      <c r="H1975" s="9">
        <v>18100</v>
      </c>
      <c r="I1975" s="9">
        <v>20</v>
      </c>
      <c r="J1975" s="9">
        <f t="shared" si="60"/>
        <v>362000</v>
      </c>
      <c r="K1975" s="9">
        <f t="shared" si="61"/>
        <v>289600</v>
      </c>
      <c r="L1975" s="11" t="s">
        <v>125</v>
      </c>
      <c r="M1975" s="11" t="s">
        <v>77</v>
      </c>
    </row>
    <row r="1976" spans="1:13" x14ac:dyDescent="0.25">
      <c r="A1976" s="6">
        <v>1931</v>
      </c>
      <c r="B1976" s="7">
        <v>44996</v>
      </c>
      <c r="C1976" s="8" t="s">
        <v>97</v>
      </c>
      <c r="D1976" s="8" t="s">
        <v>73</v>
      </c>
      <c r="E1976" s="8" t="s">
        <v>111</v>
      </c>
      <c r="F1976" s="8" t="s">
        <v>159</v>
      </c>
      <c r="G1976" s="6">
        <v>8</v>
      </c>
      <c r="H1976" s="6">
        <v>12800</v>
      </c>
      <c r="I1976" s="6">
        <v>0</v>
      </c>
      <c r="J1976" s="6">
        <f t="shared" si="60"/>
        <v>102400</v>
      </c>
      <c r="K1976" s="6">
        <f t="shared" si="61"/>
        <v>102400</v>
      </c>
      <c r="L1976" s="8" t="s">
        <v>107</v>
      </c>
      <c r="M1976" s="8" t="s">
        <v>77</v>
      </c>
    </row>
    <row r="1977" spans="1:13" x14ac:dyDescent="0.25">
      <c r="A1977" s="9">
        <v>1932</v>
      </c>
      <c r="B1977" s="10">
        <v>45597</v>
      </c>
      <c r="C1977" s="11" t="s">
        <v>101</v>
      </c>
      <c r="D1977" s="11" t="s">
        <v>93</v>
      </c>
      <c r="E1977" s="11" t="s">
        <v>162</v>
      </c>
      <c r="F1977" s="11" t="s">
        <v>150</v>
      </c>
      <c r="G1977" s="9">
        <v>37</v>
      </c>
      <c r="H1977" s="9">
        <v>6100</v>
      </c>
      <c r="I1977" s="9">
        <v>10</v>
      </c>
      <c r="J1977" s="9">
        <f t="shared" si="60"/>
        <v>225700</v>
      </c>
      <c r="K1977" s="9">
        <f t="shared" si="61"/>
        <v>203130</v>
      </c>
      <c r="L1977" s="11" t="s">
        <v>86</v>
      </c>
      <c r="M1977" s="11" t="s">
        <v>96</v>
      </c>
    </row>
    <row r="1978" spans="1:13" x14ac:dyDescent="0.25">
      <c r="A1978" s="6">
        <v>1933</v>
      </c>
      <c r="B1978" s="7">
        <v>44930</v>
      </c>
      <c r="C1978" s="8" t="s">
        <v>88</v>
      </c>
      <c r="D1978" s="8" t="s">
        <v>109</v>
      </c>
      <c r="E1978" s="8" t="s">
        <v>79</v>
      </c>
      <c r="F1978" s="8" t="s">
        <v>120</v>
      </c>
      <c r="G1978" s="6">
        <v>3</v>
      </c>
      <c r="H1978" s="6">
        <v>6600</v>
      </c>
      <c r="I1978" s="6">
        <v>20</v>
      </c>
      <c r="J1978" s="6">
        <f t="shared" si="60"/>
        <v>19800</v>
      </c>
      <c r="K1978" s="6">
        <f t="shared" si="61"/>
        <v>15840</v>
      </c>
      <c r="L1978" s="8" t="s">
        <v>76</v>
      </c>
      <c r="M1978" s="8" t="s">
        <v>77</v>
      </c>
    </row>
    <row r="1979" spans="1:13" x14ac:dyDescent="0.25">
      <c r="A1979" s="9">
        <v>1934</v>
      </c>
      <c r="B1979" s="10">
        <v>45530</v>
      </c>
      <c r="C1979" s="11" t="s">
        <v>101</v>
      </c>
      <c r="D1979" s="11" t="s">
        <v>93</v>
      </c>
      <c r="E1979" s="11" t="s">
        <v>111</v>
      </c>
      <c r="F1979" s="11" t="s">
        <v>165</v>
      </c>
      <c r="G1979" s="9">
        <v>34</v>
      </c>
      <c r="H1979" s="9">
        <v>19700</v>
      </c>
      <c r="I1979" s="9">
        <v>15</v>
      </c>
      <c r="J1979" s="9">
        <f t="shared" si="60"/>
        <v>669800</v>
      </c>
      <c r="K1979" s="9">
        <f t="shared" si="61"/>
        <v>569330</v>
      </c>
      <c r="L1979" s="11" t="s">
        <v>125</v>
      </c>
      <c r="M1979" s="11" t="s">
        <v>81</v>
      </c>
    </row>
    <row r="1980" spans="1:13" x14ac:dyDescent="0.25">
      <c r="A1980" s="6">
        <v>1935</v>
      </c>
      <c r="B1980" s="7">
        <v>44993</v>
      </c>
      <c r="C1980" s="8" t="s">
        <v>106</v>
      </c>
      <c r="D1980" s="8" t="s">
        <v>83</v>
      </c>
      <c r="E1980" s="8" t="s">
        <v>102</v>
      </c>
      <c r="F1980" s="8" t="s">
        <v>197</v>
      </c>
      <c r="G1980" s="6">
        <v>27</v>
      </c>
      <c r="H1980" s="6">
        <v>4100</v>
      </c>
      <c r="I1980" s="6">
        <v>0</v>
      </c>
      <c r="J1980" s="6">
        <f t="shared" si="60"/>
        <v>110700</v>
      </c>
      <c r="K1980" s="6">
        <f t="shared" si="61"/>
        <v>110700</v>
      </c>
      <c r="L1980" s="8" t="s">
        <v>76</v>
      </c>
      <c r="M1980" s="8" t="s">
        <v>96</v>
      </c>
    </row>
    <row r="1981" spans="1:13" x14ac:dyDescent="0.25">
      <c r="A1981" s="9">
        <v>1936</v>
      </c>
      <c r="B1981" s="10">
        <v>45347</v>
      </c>
      <c r="C1981" s="11" t="s">
        <v>114</v>
      </c>
      <c r="D1981" s="11" t="s">
        <v>73</v>
      </c>
      <c r="E1981" s="11" t="s">
        <v>84</v>
      </c>
      <c r="F1981" s="11" t="s">
        <v>90</v>
      </c>
      <c r="G1981" s="9">
        <v>4</v>
      </c>
      <c r="H1981" s="9">
        <v>1800</v>
      </c>
      <c r="I1981" s="9"/>
      <c r="J1981" s="9">
        <f t="shared" si="60"/>
        <v>7200</v>
      </c>
      <c r="K1981" s="9">
        <f t="shared" si="61"/>
        <v>7200</v>
      </c>
      <c r="L1981" s="11" t="s">
        <v>76</v>
      </c>
      <c r="M1981" s="11" t="s">
        <v>96</v>
      </c>
    </row>
    <row r="1982" spans="1:13" x14ac:dyDescent="0.25">
      <c r="A1982" s="6">
        <v>1937</v>
      </c>
      <c r="B1982" s="7">
        <v>45165</v>
      </c>
      <c r="C1982" s="8" t="s">
        <v>108</v>
      </c>
      <c r="D1982" s="8" t="s">
        <v>117</v>
      </c>
      <c r="E1982" s="8" t="s">
        <v>111</v>
      </c>
      <c r="F1982" s="8" t="s">
        <v>166</v>
      </c>
      <c r="G1982" s="6">
        <v>45</v>
      </c>
      <c r="H1982" s="6">
        <v>26700</v>
      </c>
      <c r="I1982" s="6">
        <v>10</v>
      </c>
      <c r="J1982" s="6">
        <f t="shared" si="60"/>
        <v>1201500</v>
      </c>
      <c r="K1982" s="6">
        <f t="shared" si="61"/>
        <v>1081350</v>
      </c>
      <c r="L1982" s="8" t="s">
        <v>125</v>
      </c>
      <c r="M1982" s="8" t="s">
        <v>96</v>
      </c>
    </row>
    <row r="1983" spans="1:13" x14ac:dyDescent="0.25">
      <c r="A1983" s="9">
        <v>252</v>
      </c>
      <c r="B1983" s="10">
        <v>45591</v>
      </c>
      <c r="C1983" s="11" t="s">
        <v>88</v>
      </c>
      <c r="D1983" s="11" t="s">
        <v>117</v>
      </c>
      <c r="E1983" s="11" t="s">
        <v>74</v>
      </c>
      <c r="F1983" s="11" t="s">
        <v>212</v>
      </c>
      <c r="G1983" s="9">
        <v>32</v>
      </c>
      <c r="H1983" s="9">
        <v>8200</v>
      </c>
      <c r="I1983" s="9">
        <v>20</v>
      </c>
      <c r="J1983" s="9">
        <f t="shared" si="60"/>
        <v>262400</v>
      </c>
      <c r="K1983" s="9">
        <f t="shared" si="61"/>
        <v>209920</v>
      </c>
      <c r="L1983" s="11" t="s">
        <v>76</v>
      </c>
      <c r="M1983" s="11" t="s">
        <v>91</v>
      </c>
    </row>
    <row r="1984" spans="1:13" x14ac:dyDescent="0.25">
      <c r="A1984" s="6">
        <v>1938</v>
      </c>
      <c r="B1984" s="7">
        <v>45509</v>
      </c>
      <c r="C1984" s="8" t="s">
        <v>216</v>
      </c>
      <c r="D1984" s="8" t="s">
        <v>93</v>
      </c>
      <c r="E1984" s="8" t="s">
        <v>111</v>
      </c>
      <c r="F1984" s="8" t="s">
        <v>192</v>
      </c>
      <c r="G1984" s="6">
        <v>17</v>
      </c>
      <c r="H1984" s="6">
        <v>87100</v>
      </c>
      <c r="I1984" s="6">
        <v>20</v>
      </c>
      <c r="J1984" s="6">
        <f t="shared" si="60"/>
        <v>1480700</v>
      </c>
      <c r="K1984" s="6">
        <f t="shared" si="61"/>
        <v>1184560</v>
      </c>
      <c r="L1984" s="8" t="s">
        <v>76</v>
      </c>
      <c r="M1984" s="8" t="s">
        <v>91</v>
      </c>
    </row>
    <row r="1985" spans="1:13" x14ac:dyDescent="0.25">
      <c r="A1985" s="9">
        <v>1939</v>
      </c>
      <c r="B1985" s="10">
        <v>45603</v>
      </c>
      <c r="C1985" s="11" t="s">
        <v>108</v>
      </c>
      <c r="D1985" s="11" t="s">
        <v>73</v>
      </c>
      <c r="E1985" s="11" t="s">
        <v>84</v>
      </c>
      <c r="F1985" s="11" t="s">
        <v>85</v>
      </c>
      <c r="G1985" s="9">
        <v>30</v>
      </c>
      <c r="H1985" s="9" t="s">
        <v>644</v>
      </c>
      <c r="I1985" s="9">
        <v>0</v>
      </c>
      <c r="J1985" s="9">
        <f t="shared" si="60"/>
        <v>147000</v>
      </c>
      <c r="K1985" s="9">
        <f t="shared" si="61"/>
        <v>147000</v>
      </c>
      <c r="L1985" s="11" t="s">
        <v>187</v>
      </c>
      <c r="M1985" s="11" t="s">
        <v>81</v>
      </c>
    </row>
    <row r="1986" spans="1:13" x14ac:dyDescent="0.25">
      <c r="A1986" s="6">
        <v>1940</v>
      </c>
      <c r="B1986" s="8" t="s">
        <v>645</v>
      </c>
      <c r="C1986" s="8" t="s">
        <v>114</v>
      </c>
      <c r="D1986" s="8" t="s">
        <v>73</v>
      </c>
      <c r="E1986" s="8" t="s">
        <v>84</v>
      </c>
      <c r="F1986" s="8" t="s">
        <v>206</v>
      </c>
      <c r="G1986" s="6">
        <v>43</v>
      </c>
      <c r="H1986" s="6">
        <v>14800</v>
      </c>
      <c r="I1986" s="6">
        <v>20</v>
      </c>
      <c r="J1986" s="6">
        <f t="shared" ref="J1986:J2046" si="62">G1986*H1986</f>
        <v>636400</v>
      </c>
      <c r="K1986" s="6">
        <f t="shared" ref="K1986:K2046" si="63">J1986*(1-I1986/100)</f>
        <v>509120</v>
      </c>
      <c r="L1986" s="8" t="s">
        <v>76</v>
      </c>
      <c r="M1986" s="8" t="s">
        <v>77</v>
      </c>
    </row>
    <row r="1987" spans="1:13" x14ac:dyDescent="0.25">
      <c r="A1987" s="9">
        <v>1941</v>
      </c>
      <c r="B1987" s="11" t="s">
        <v>646</v>
      </c>
      <c r="C1987" s="11" t="s">
        <v>97</v>
      </c>
      <c r="D1987" s="11" t="s">
        <v>109</v>
      </c>
      <c r="E1987" s="11" t="s">
        <v>74</v>
      </c>
      <c r="F1987" s="11" t="s">
        <v>99</v>
      </c>
      <c r="G1987" s="9">
        <v>8</v>
      </c>
      <c r="H1987" s="9">
        <v>3900</v>
      </c>
      <c r="I1987" s="9">
        <v>0</v>
      </c>
      <c r="J1987" s="9">
        <f t="shared" si="62"/>
        <v>31200</v>
      </c>
      <c r="K1987" s="9">
        <f t="shared" si="63"/>
        <v>31200</v>
      </c>
      <c r="L1987" s="11" t="s">
        <v>76</v>
      </c>
      <c r="M1987" s="11" t="s">
        <v>91</v>
      </c>
    </row>
    <row r="1988" spans="1:13" x14ac:dyDescent="0.25">
      <c r="A1988" s="6">
        <v>1942</v>
      </c>
      <c r="B1988" s="7">
        <v>45477</v>
      </c>
      <c r="C1988" s="8" t="s">
        <v>82</v>
      </c>
      <c r="D1988" s="8" t="s">
        <v>93</v>
      </c>
      <c r="E1988" s="8" t="s">
        <v>74</v>
      </c>
      <c r="F1988" s="8" t="s">
        <v>94</v>
      </c>
      <c r="G1988" s="6">
        <v>5</v>
      </c>
      <c r="H1988" s="6" t="s">
        <v>647</v>
      </c>
      <c r="I1988" s="6">
        <v>0</v>
      </c>
      <c r="J1988" s="6" t="e">
        <f t="shared" si="62"/>
        <v>#VALUE!</v>
      </c>
      <c r="K1988" s="6" t="e">
        <f t="shared" si="63"/>
        <v>#VALUE!</v>
      </c>
      <c r="L1988" s="8" t="s">
        <v>125</v>
      </c>
      <c r="M1988" s="8" t="s">
        <v>91</v>
      </c>
    </row>
    <row r="1989" spans="1:13" x14ac:dyDescent="0.25">
      <c r="A1989" s="9">
        <v>1943</v>
      </c>
      <c r="B1989" s="10">
        <v>45238</v>
      </c>
      <c r="C1989" s="11" t="s">
        <v>237</v>
      </c>
      <c r="D1989" s="11" t="s">
        <v>109</v>
      </c>
      <c r="E1989" s="11" t="s">
        <v>84</v>
      </c>
      <c r="F1989" s="11" t="s">
        <v>150</v>
      </c>
      <c r="G1989" s="9">
        <v>23</v>
      </c>
      <c r="H1989" s="9">
        <v>5600</v>
      </c>
      <c r="I1989" s="9">
        <v>10</v>
      </c>
      <c r="J1989" s="9">
        <f t="shared" si="62"/>
        <v>128800</v>
      </c>
      <c r="K1989" s="9">
        <f t="shared" si="63"/>
        <v>115920</v>
      </c>
      <c r="L1989" s="11" t="s">
        <v>76</v>
      </c>
      <c r="M1989" s="11" t="s">
        <v>81</v>
      </c>
    </row>
    <row r="1990" spans="1:13" x14ac:dyDescent="0.25">
      <c r="A1990" s="6">
        <v>1944</v>
      </c>
      <c r="B1990" s="7">
        <v>45377</v>
      </c>
      <c r="C1990" s="8" t="s">
        <v>82</v>
      </c>
      <c r="D1990" s="8" t="s">
        <v>117</v>
      </c>
      <c r="E1990" s="8" t="s">
        <v>111</v>
      </c>
      <c r="F1990" s="8" t="s">
        <v>192</v>
      </c>
      <c r="G1990" s="6">
        <v>4</v>
      </c>
      <c r="H1990" s="6">
        <v>98300</v>
      </c>
      <c r="I1990" s="6">
        <v>10</v>
      </c>
      <c r="J1990" s="6">
        <f t="shared" si="62"/>
        <v>393200</v>
      </c>
      <c r="K1990" s="6">
        <f t="shared" si="63"/>
        <v>353880</v>
      </c>
      <c r="L1990" s="8" t="s">
        <v>86</v>
      </c>
      <c r="M1990" s="8" t="s">
        <v>96</v>
      </c>
    </row>
    <row r="1991" spans="1:13" x14ac:dyDescent="0.25">
      <c r="A1991" s="9">
        <v>1945</v>
      </c>
      <c r="B1991" s="10">
        <v>44974</v>
      </c>
      <c r="C1991" s="11" t="s">
        <v>114</v>
      </c>
      <c r="D1991" s="11" t="s">
        <v>83</v>
      </c>
      <c r="E1991" s="11" t="s">
        <v>74</v>
      </c>
      <c r="F1991" s="11" t="s">
        <v>99</v>
      </c>
      <c r="G1991" s="9">
        <v>12</v>
      </c>
      <c r="H1991" s="9">
        <v>3700</v>
      </c>
      <c r="I1991" s="9">
        <v>10</v>
      </c>
      <c r="J1991" s="9">
        <f t="shared" si="62"/>
        <v>44400</v>
      </c>
      <c r="K1991" s="9">
        <f t="shared" si="63"/>
        <v>39960</v>
      </c>
      <c r="L1991" s="11" t="s">
        <v>86</v>
      </c>
      <c r="M1991" s="11" t="s">
        <v>91</v>
      </c>
    </row>
    <row r="1992" spans="1:13" x14ac:dyDescent="0.25">
      <c r="A1992" s="6">
        <v>1946</v>
      </c>
      <c r="B1992" s="7">
        <v>45014</v>
      </c>
      <c r="C1992" s="8" t="s">
        <v>101</v>
      </c>
      <c r="D1992" s="8" t="s">
        <v>93</v>
      </c>
      <c r="E1992" s="8" t="s">
        <v>111</v>
      </c>
      <c r="F1992" s="8" t="s">
        <v>112</v>
      </c>
      <c r="G1992" s="6">
        <v>43</v>
      </c>
      <c r="H1992" s="6">
        <v>70900</v>
      </c>
      <c r="I1992" s="6">
        <v>10</v>
      </c>
      <c r="J1992" s="6">
        <f t="shared" si="62"/>
        <v>3048700</v>
      </c>
      <c r="K1992" s="6">
        <f t="shared" si="63"/>
        <v>2743830</v>
      </c>
      <c r="L1992" s="8" t="s">
        <v>76</v>
      </c>
      <c r="M1992" s="8" t="s">
        <v>81</v>
      </c>
    </row>
    <row r="1993" spans="1:13" x14ac:dyDescent="0.25">
      <c r="A1993" s="9">
        <v>1947</v>
      </c>
      <c r="B1993" s="10">
        <v>45438</v>
      </c>
      <c r="C1993" s="11" t="s">
        <v>124</v>
      </c>
      <c r="D1993" s="11" t="s">
        <v>117</v>
      </c>
      <c r="E1993" s="11" t="s">
        <v>84</v>
      </c>
      <c r="F1993" s="11" t="s">
        <v>148</v>
      </c>
      <c r="G1993" s="9">
        <v>33</v>
      </c>
      <c r="H1993" s="9">
        <v>5000</v>
      </c>
      <c r="I1993" s="9">
        <v>10</v>
      </c>
      <c r="J1993" s="9">
        <f t="shared" si="62"/>
        <v>165000</v>
      </c>
      <c r="K1993" s="9">
        <f t="shared" si="63"/>
        <v>148500</v>
      </c>
      <c r="L1993" s="11" t="s">
        <v>76</v>
      </c>
      <c r="M1993" s="11" t="s">
        <v>91</v>
      </c>
    </row>
    <row r="1994" spans="1:13" x14ac:dyDescent="0.25">
      <c r="A1994" s="6">
        <v>1948</v>
      </c>
      <c r="B1994" s="7">
        <v>45613</v>
      </c>
      <c r="C1994" s="8" t="s">
        <v>119</v>
      </c>
      <c r="D1994" s="8" t="s">
        <v>73</v>
      </c>
      <c r="E1994" s="8" t="s">
        <v>74</v>
      </c>
      <c r="F1994" s="8" t="s">
        <v>94</v>
      </c>
      <c r="G1994" s="6">
        <v>15</v>
      </c>
      <c r="H1994" s="6">
        <v>36700</v>
      </c>
      <c r="I1994" s="6">
        <v>20</v>
      </c>
      <c r="J1994" s="6">
        <f t="shared" si="62"/>
        <v>550500</v>
      </c>
      <c r="K1994" s="6">
        <f t="shared" si="63"/>
        <v>440400</v>
      </c>
      <c r="L1994" s="8" t="s">
        <v>86</v>
      </c>
      <c r="M1994" s="8" t="s">
        <v>96</v>
      </c>
    </row>
    <row r="1995" spans="1:13" x14ac:dyDescent="0.25">
      <c r="A1995" s="9">
        <v>1949</v>
      </c>
      <c r="B1995" s="10">
        <v>45017</v>
      </c>
      <c r="C1995" s="11" t="s">
        <v>238</v>
      </c>
      <c r="D1995" s="11" t="s">
        <v>83</v>
      </c>
      <c r="E1995" s="11" t="s">
        <v>79</v>
      </c>
      <c r="F1995" s="11" t="s">
        <v>120</v>
      </c>
      <c r="G1995" s="9">
        <v>32</v>
      </c>
      <c r="H1995" s="9">
        <v>6000</v>
      </c>
      <c r="I1995" s="9">
        <v>0</v>
      </c>
      <c r="J1995" s="9">
        <f t="shared" si="62"/>
        <v>192000</v>
      </c>
      <c r="K1995" s="9">
        <f t="shared" si="63"/>
        <v>192000</v>
      </c>
      <c r="L1995" s="11" t="s">
        <v>107</v>
      </c>
      <c r="M1995" s="11" t="s">
        <v>81</v>
      </c>
    </row>
    <row r="1996" spans="1:13" x14ac:dyDescent="0.25">
      <c r="A1996" s="6">
        <v>1950</v>
      </c>
      <c r="B1996" s="7">
        <v>45426</v>
      </c>
      <c r="C1996" s="8" t="s">
        <v>101</v>
      </c>
      <c r="D1996" s="8" t="s">
        <v>93</v>
      </c>
      <c r="E1996" s="8" t="s">
        <v>102</v>
      </c>
      <c r="F1996" s="8" t="s">
        <v>181</v>
      </c>
      <c r="G1996" s="6">
        <v>25</v>
      </c>
      <c r="H1996" s="6">
        <v>4400</v>
      </c>
      <c r="I1996" s="6">
        <v>10</v>
      </c>
      <c r="J1996" s="6">
        <f t="shared" si="62"/>
        <v>110000</v>
      </c>
      <c r="K1996" s="6">
        <f t="shared" si="63"/>
        <v>99000</v>
      </c>
      <c r="L1996" s="8" t="s">
        <v>76</v>
      </c>
      <c r="M1996" s="8" t="s">
        <v>91</v>
      </c>
    </row>
    <row r="1997" spans="1:13" x14ac:dyDescent="0.25">
      <c r="A1997" s="9">
        <v>1951</v>
      </c>
      <c r="B1997" s="11" t="s">
        <v>648</v>
      </c>
      <c r="C1997" s="11" t="s">
        <v>114</v>
      </c>
      <c r="D1997" s="11" t="s">
        <v>109</v>
      </c>
      <c r="E1997" s="11" t="s">
        <v>74</v>
      </c>
      <c r="F1997" s="11" t="s">
        <v>94</v>
      </c>
      <c r="G1997" s="9">
        <v>27</v>
      </c>
      <c r="H1997" s="9">
        <v>39200</v>
      </c>
      <c r="I1997" s="9">
        <v>20</v>
      </c>
      <c r="J1997" s="9">
        <f t="shared" si="62"/>
        <v>1058400</v>
      </c>
      <c r="K1997" s="9">
        <f t="shared" si="63"/>
        <v>846720</v>
      </c>
      <c r="L1997" s="11" t="s">
        <v>86</v>
      </c>
      <c r="M1997" s="11" t="s">
        <v>96</v>
      </c>
    </row>
    <row r="1998" spans="1:13" x14ac:dyDescent="0.25">
      <c r="A1998" s="6">
        <v>1952</v>
      </c>
      <c r="B1998" s="7">
        <v>45551</v>
      </c>
      <c r="C1998" s="8" t="s">
        <v>114</v>
      </c>
      <c r="D1998" s="8" t="s">
        <v>83</v>
      </c>
      <c r="E1998" s="8" t="s">
        <v>102</v>
      </c>
      <c r="F1998" s="8" t="s">
        <v>181</v>
      </c>
      <c r="G1998" s="6">
        <v>40</v>
      </c>
      <c r="H1998" s="6" t="s">
        <v>644</v>
      </c>
      <c r="I1998" s="6">
        <v>5</v>
      </c>
      <c r="J1998" s="6">
        <f t="shared" si="62"/>
        <v>196000</v>
      </c>
      <c r="K1998" s="6">
        <f t="shared" si="63"/>
        <v>186200</v>
      </c>
      <c r="L1998" s="8" t="s">
        <v>76</v>
      </c>
      <c r="M1998" s="8" t="s">
        <v>96</v>
      </c>
    </row>
    <row r="1999" spans="1:13" x14ac:dyDescent="0.25">
      <c r="A1999" s="9">
        <v>1953</v>
      </c>
      <c r="B1999" s="10">
        <v>45450</v>
      </c>
      <c r="C1999" s="11" t="s">
        <v>101</v>
      </c>
      <c r="D1999" s="11" t="s">
        <v>109</v>
      </c>
      <c r="E1999" s="11" t="s">
        <v>79</v>
      </c>
      <c r="F1999" s="11" t="s">
        <v>172</v>
      </c>
      <c r="G1999" s="9">
        <v>36</v>
      </c>
      <c r="H1999" s="9">
        <v>22600</v>
      </c>
      <c r="I1999" s="9">
        <v>0</v>
      </c>
      <c r="J1999" s="9">
        <f t="shared" si="62"/>
        <v>813600</v>
      </c>
      <c r="K1999" s="9">
        <f t="shared" si="63"/>
        <v>813600</v>
      </c>
      <c r="L1999" s="11" t="s">
        <v>76</v>
      </c>
      <c r="M1999" s="11" t="s">
        <v>91</v>
      </c>
    </row>
    <row r="2000" spans="1:13" x14ac:dyDescent="0.25">
      <c r="A2000" s="6">
        <v>1954</v>
      </c>
      <c r="B2000" s="7">
        <v>45090</v>
      </c>
      <c r="C2000" s="8" t="s">
        <v>88</v>
      </c>
      <c r="D2000" s="8" t="s">
        <v>93</v>
      </c>
      <c r="E2000" s="8" t="s">
        <v>84</v>
      </c>
      <c r="F2000" s="8" t="s">
        <v>148</v>
      </c>
      <c r="G2000" s="6">
        <v>35</v>
      </c>
      <c r="H2000" s="6">
        <v>4700</v>
      </c>
      <c r="I2000" s="6">
        <v>0</v>
      </c>
      <c r="J2000" s="6">
        <f t="shared" si="62"/>
        <v>164500</v>
      </c>
      <c r="K2000" s="6">
        <f t="shared" si="63"/>
        <v>164500</v>
      </c>
      <c r="L2000" s="8" t="s">
        <v>76</v>
      </c>
      <c r="M2000" s="8" t="s">
        <v>81</v>
      </c>
    </row>
    <row r="2001" spans="1:13" x14ac:dyDescent="0.25">
      <c r="A2001" s="9">
        <v>1955</v>
      </c>
      <c r="B2001" s="10">
        <v>45474</v>
      </c>
      <c r="C2001" s="11" t="s">
        <v>114</v>
      </c>
      <c r="D2001" s="11" t="s">
        <v>93</v>
      </c>
      <c r="E2001" s="11" t="s">
        <v>102</v>
      </c>
      <c r="F2001" s="11" t="s">
        <v>181</v>
      </c>
      <c r="G2001" s="9">
        <v>28</v>
      </c>
      <c r="H2001" s="9">
        <v>4700</v>
      </c>
      <c r="I2001" s="9">
        <v>5</v>
      </c>
      <c r="J2001" s="9">
        <f t="shared" si="62"/>
        <v>131600</v>
      </c>
      <c r="K2001" s="9">
        <f t="shared" si="63"/>
        <v>125020</v>
      </c>
      <c r="L2001" s="11" t="s">
        <v>76</v>
      </c>
      <c r="M2001" s="11" t="s">
        <v>96</v>
      </c>
    </row>
    <row r="2002" spans="1:13" x14ac:dyDescent="0.25">
      <c r="A2002" s="6">
        <v>1956</v>
      </c>
      <c r="B2002" s="7">
        <v>45418</v>
      </c>
      <c r="C2002" s="8" t="s">
        <v>153</v>
      </c>
      <c r="D2002" s="8" t="s">
        <v>93</v>
      </c>
      <c r="E2002" s="8" t="s">
        <v>111</v>
      </c>
      <c r="F2002" s="8" t="s">
        <v>112</v>
      </c>
      <c r="G2002" s="6">
        <v>40</v>
      </c>
      <c r="H2002" s="6">
        <v>65400</v>
      </c>
      <c r="I2002" s="6">
        <v>0</v>
      </c>
      <c r="J2002" s="6">
        <f t="shared" si="62"/>
        <v>2616000</v>
      </c>
      <c r="K2002" s="6">
        <f t="shared" si="63"/>
        <v>2616000</v>
      </c>
      <c r="L2002" s="8" t="s">
        <v>86</v>
      </c>
      <c r="M2002" s="8" t="s">
        <v>77</v>
      </c>
    </row>
    <row r="2003" spans="1:13" x14ac:dyDescent="0.25">
      <c r="A2003" s="9">
        <v>1957</v>
      </c>
      <c r="B2003" s="10">
        <v>45002</v>
      </c>
      <c r="C2003" s="11" t="s">
        <v>106</v>
      </c>
      <c r="D2003" s="11" t="s">
        <v>73</v>
      </c>
      <c r="E2003" s="11" t="s">
        <v>102</v>
      </c>
      <c r="F2003" s="11" t="s">
        <v>181</v>
      </c>
      <c r="G2003" s="9">
        <v>49</v>
      </c>
      <c r="H2003" s="9">
        <v>4500</v>
      </c>
      <c r="I2003" s="9">
        <v>20</v>
      </c>
      <c r="J2003" s="9">
        <f t="shared" si="62"/>
        <v>220500</v>
      </c>
      <c r="K2003" s="9">
        <f t="shared" si="63"/>
        <v>176400</v>
      </c>
      <c r="L2003" s="11" t="s">
        <v>125</v>
      </c>
      <c r="M2003" s="11" t="s">
        <v>81</v>
      </c>
    </row>
    <row r="2004" spans="1:13" x14ac:dyDescent="0.25">
      <c r="A2004" s="6">
        <v>1958</v>
      </c>
      <c r="B2004" s="8" t="s">
        <v>649</v>
      </c>
      <c r="C2004" s="8" t="s">
        <v>114</v>
      </c>
      <c r="D2004" s="8" t="s">
        <v>73</v>
      </c>
      <c r="E2004" s="8" t="s">
        <v>84</v>
      </c>
      <c r="F2004" s="8" t="s">
        <v>90</v>
      </c>
      <c r="G2004" s="6">
        <v>27</v>
      </c>
      <c r="H2004" s="6">
        <v>1800</v>
      </c>
      <c r="I2004" s="6">
        <v>0</v>
      </c>
      <c r="J2004" s="6">
        <f t="shared" si="62"/>
        <v>48600</v>
      </c>
      <c r="K2004" s="6">
        <f t="shared" si="63"/>
        <v>48600</v>
      </c>
      <c r="L2004" s="8" t="s">
        <v>107</v>
      </c>
      <c r="M2004" s="8" t="s">
        <v>96</v>
      </c>
    </row>
    <row r="2005" spans="1:13" x14ac:dyDescent="0.25">
      <c r="A2005" s="9">
        <v>1959</v>
      </c>
      <c r="B2005" s="10">
        <v>45181</v>
      </c>
      <c r="C2005" s="11" t="s">
        <v>78</v>
      </c>
      <c r="D2005" s="11" t="s">
        <v>117</v>
      </c>
      <c r="E2005" s="11" t="s">
        <v>74</v>
      </c>
      <c r="F2005" s="11" t="s">
        <v>118</v>
      </c>
      <c r="G2005" s="9">
        <v>50</v>
      </c>
      <c r="H2005" s="9">
        <v>28000</v>
      </c>
      <c r="I2005" s="9">
        <v>0</v>
      </c>
      <c r="J2005" s="9">
        <f t="shared" si="62"/>
        <v>1400000</v>
      </c>
      <c r="K2005" s="9">
        <f t="shared" si="63"/>
        <v>1400000</v>
      </c>
      <c r="L2005" s="11" t="s">
        <v>86</v>
      </c>
      <c r="M2005" s="11" t="s">
        <v>77</v>
      </c>
    </row>
    <row r="2006" spans="1:13" x14ac:dyDescent="0.25">
      <c r="A2006" s="6">
        <v>1960</v>
      </c>
      <c r="B2006" s="7">
        <v>45295</v>
      </c>
      <c r="C2006" s="8" t="s">
        <v>101</v>
      </c>
      <c r="D2006" s="8" t="s">
        <v>117</v>
      </c>
      <c r="E2006" s="8" t="s">
        <v>111</v>
      </c>
      <c r="F2006" s="8" t="s">
        <v>166</v>
      </c>
      <c r="G2006" s="6">
        <v>40</v>
      </c>
      <c r="H2006" s="6">
        <v>27000</v>
      </c>
      <c r="I2006" s="6">
        <v>15</v>
      </c>
      <c r="J2006" s="6">
        <f t="shared" si="62"/>
        <v>1080000</v>
      </c>
      <c r="K2006" s="6">
        <f t="shared" si="63"/>
        <v>918000</v>
      </c>
      <c r="L2006" s="8" t="s">
        <v>76</v>
      </c>
      <c r="M2006" s="8" t="s">
        <v>96</v>
      </c>
    </row>
    <row r="2007" spans="1:13" x14ac:dyDescent="0.25">
      <c r="A2007" s="9">
        <v>1961</v>
      </c>
      <c r="B2007" s="10">
        <v>44959</v>
      </c>
      <c r="C2007" s="11" t="s">
        <v>106</v>
      </c>
      <c r="D2007" s="11" t="s">
        <v>117</v>
      </c>
      <c r="E2007" s="11" t="s">
        <v>74</v>
      </c>
      <c r="F2007" s="11" t="s">
        <v>94</v>
      </c>
      <c r="G2007" s="9">
        <v>27</v>
      </c>
      <c r="H2007" s="9">
        <v>38400</v>
      </c>
      <c r="I2007" s="9">
        <v>5</v>
      </c>
      <c r="J2007" s="9">
        <f t="shared" si="62"/>
        <v>1036800</v>
      </c>
      <c r="K2007" s="9">
        <f t="shared" si="63"/>
        <v>984960</v>
      </c>
      <c r="L2007" s="11" t="s">
        <v>76</v>
      </c>
      <c r="M2007" s="11" t="s">
        <v>77</v>
      </c>
    </row>
    <row r="2008" spans="1:13" x14ac:dyDescent="0.25">
      <c r="A2008" s="6">
        <v>1962</v>
      </c>
      <c r="B2008" s="7">
        <v>45422</v>
      </c>
      <c r="C2008" s="8" t="s">
        <v>97</v>
      </c>
      <c r="D2008" s="8" t="s">
        <v>93</v>
      </c>
      <c r="E2008" s="8" t="s">
        <v>84</v>
      </c>
      <c r="F2008" s="8" t="s">
        <v>134</v>
      </c>
      <c r="G2008" s="6">
        <v>37</v>
      </c>
      <c r="H2008" s="6">
        <v>10100</v>
      </c>
      <c r="I2008" s="6">
        <v>10</v>
      </c>
      <c r="J2008" s="6">
        <f t="shared" si="62"/>
        <v>373700</v>
      </c>
      <c r="K2008" s="6">
        <f t="shared" si="63"/>
        <v>336330</v>
      </c>
      <c r="L2008" s="8" t="s">
        <v>86</v>
      </c>
      <c r="M2008" s="8" t="s">
        <v>77</v>
      </c>
    </row>
    <row r="2009" spans="1:13" x14ac:dyDescent="0.25">
      <c r="A2009" s="9">
        <v>1963</v>
      </c>
      <c r="B2009" s="10">
        <v>45481</v>
      </c>
      <c r="C2009" s="11" t="s">
        <v>256</v>
      </c>
      <c r="D2009" s="11" t="s">
        <v>83</v>
      </c>
      <c r="E2009" s="11" t="s">
        <v>111</v>
      </c>
      <c r="F2009" s="11" t="s">
        <v>166</v>
      </c>
      <c r="G2009" s="9">
        <v>6</v>
      </c>
      <c r="H2009" s="9">
        <v>25900</v>
      </c>
      <c r="I2009" s="9">
        <v>10</v>
      </c>
      <c r="J2009" s="9">
        <f t="shared" si="62"/>
        <v>155400</v>
      </c>
      <c r="K2009" s="9">
        <f t="shared" si="63"/>
        <v>139860</v>
      </c>
      <c r="L2009" s="11" t="s">
        <v>76</v>
      </c>
      <c r="M2009" s="11" t="s">
        <v>91</v>
      </c>
    </row>
    <row r="2010" spans="1:13" x14ac:dyDescent="0.25">
      <c r="A2010" s="6">
        <v>1964</v>
      </c>
      <c r="B2010" s="7">
        <v>45034</v>
      </c>
      <c r="C2010" s="8" t="s">
        <v>106</v>
      </c>
      <c r="D2010" s="8" t="s">
        <v>117</v>
      </c>
      <c r="E2010" s="8" t="s">
        <v>102</v>
      </c>
      <c r="F2010" s="8" t="s">
        <v>103</v>
      </c>
      <c r="G2010" s="6">
        <v>41</v>
      </c>
      <c r="H2010" s="6">
        <v>11100</v>
      </c>
      <c r="I2010" s="6">
        <v>10</v>
      </c>
      <c r="J2010" s="6">
        <f t="shared" si="62"/>
        <v>455100</v>
      </c>
      <c r="K2010" s="6">
        <f t="shared" si="63"/>
        <v>409590</v>
      </c>
      <c r="L2010" s="8" t="s">
        <v>76</v>
      </c>
      <c r="M2010" s="8" t="s">
        <v>96</v>
      </c>
    </row>
    <row r="2011" spans="1:13" x14ac:dyDescent="0.25">
      <c r="A2011" s="9">
        <v>1965</v>
      </c>
      <c r="B2011" s="10">
        <v>45359</v>
      </c>
      <c r="C2011" s="11" t="s">
        <v>124</v>
      </c>
      <c r="D2011" s="11" t="s">
        <v>93</v>
      </c>
      <c r="E2011" s="11" t="s">
        <v>203</v>
      </c>
      <c r="F2011" s="11" t="s">
        <v>181</v>
      </c>
      <c r="G2011" s="9">
        <v>38</v>
      </c>
      <c r="H2011" s="9">
        <v>4800</v>
      </c>
      <c r="I2011" s="9">
        <v>0</v>
      </c>
      <c r="J2011" s="9">
        <f t="shared" si="62"/>
        <v>182400</v>
      </c>
      <c r="K2011" s="9">
        <f t="shared" si="63"/>
        <v>182400</v>
      </c>
      <c r="L2011" s="11" t="s">
        <v>129</v>
      </c>
      <c r="M2011" s="11" t="s">
        <v>91</v>
      </c>
    </row>
    <row r="2012" spans="1:13" x14ac:dyDescent="0.25">
      <c r="A2012" s="6">
        <v>1966</v>
      </c>
      <c r="B2012" s="8" t="s">
        <v>650</v>
      </c>
      <c r="C2012" s="8" t="s">
        <v>114</v>
      </c>
      <c r="D2012" s="8" t="s">
        <v>93</v>
      </c>
      <c r="E2012" s="8" t="s">
        <v>74</v>
      </c>
      <c r="F2012" s="8" t="s">
        <v>118</v>
      </c>
      <c r="G2012" s="6">
        <v>38</v>
      </c>
      <c r="H2012" s="6">
        <v>27500</v>
      </c>
      <c r="I2012" s="6">
        <v>20</v>
      </c>
      <c r="J2012" s="6">
        <f t="shared" si="62"/>
        <v>1045000</v>
      </c>
      <c r="K2012" s="6">
        <f t="shared" si="63"/>
        <v>836000</v>
      </c>
      <c r="L2012" s="8" t="s">
        <v>76</v>
      </c>
      <c r="M2012" s="8" t="s">
        <v>96</v>
      </c>
    </row>
    <row r="2013" spans="1:13" x14ac:dyDescent="0.25">
      <c r="A2013" s="9">
        <v>1967</v>
      </c>
      <c r="B2013" s="10">
        <v>45602</v>
      </c>
      <c r="C2013" s="11" t="s">
        <v>256</v>
      </c>
      <c r="D2013" s="11" t="s">
        <v>73</v>
      </c>
      <c r="E2013" s="11" t="s">
        <v>79</v>
      </c>
      <c r="F2013" s="11" t="s">
        <v>122</v>
      </c>
      <c r="G2013" s="9">
        <v>44</v>
      </c>
      <c r="H2013" s="9">
        <v>19500</v>
      </c>
      <c r="I2013" s="9">
        <v>0</v>
      </c>
      <c r="J2013" s="9">
        <f t="shared" si="62"/>
        <v>858000</v>
      </c>
      <c r="K2013" s="9">
        <f t="shared" si="63"/>
        <v>858000</v>
      </c>
      <c r="L2013" s="11" t="s">
        <v>164</v>
      </c>
      <c r="M2013" s="11" t="s">
        <v>91</v>
      </c>
    </row>
    <row r="2014" spans="1:13" x14ac:dyDescent="0.25">
      <c r="A2014" s="6">
        <v>1968</v>
      </c>
      <c r="B2014" s="7">
        <v>45179</v>
      </c>
      <c r="C2014" s="8" t="s">
        <v>414</v>
      </c>
      <c r="D2014" s="8" t="s">
        <v>73</v>
      </c>
      <c r="E2014" s="8" t="s">
        <v>74</v>
      </c>
      <c r="F2014" s="8" t="s">
        <v>118</v>
      </c>
      <c r="G2014" s="6">
        <v>6</v>
      </c>
      <c r="H2014" s="6">
        <v>25700</v>
      </c>
      <c r="I2014" s="6">
        <v>0</v>
      </c>
      <c r="J2014" s="6">
        <f t="shared" si="62"/>
        <v>154200</v>
      </c>
      <c r="K2014" s="6">
        <f t="shared" si="63"/>
        <v>154200</v>
      </c>
      <c r="L2014" s="8" t="s">
        <v>76</v>
      </c>
      <c r="M2014" s="8" t="s">
        <v>77</v>
      </c>
    </row>
    <row r="2015" spans="1:13" x14ac:dyDescent="0.25">
      <c r="A2015" s="9">
        <v>1969</v>
      </c>
      <c r="B2015" s="11" t="s">
        <v>651</v>
      </c>
      <c r="C2015" s="11" t="s">
        <v>246</v>
      </c>
      <c r="D2015" s="11" t="s">
        <v>93</v>
      </c>
      <c r="E2015" s="11" t="s">
        <v>111</v>
      </c>
      <c r="F2015" s="11" t="s">
        <v>156</v>
      </c>
      <c r="G2015" s="9">
        <v>16</v>
      </c>
      <c r="H2015" s="9">
        <v>42200</v>
      </c>
      <c r="I2015" s="9">
        <v>0</v>
      </c>
      <c r="J2015" s="9">
        <f t="shared" si="62"/>
        <v>675200</v>
      </c>
      <c r="K2015" s="9">
        <f t="shared" si="63"/>
        <v>675200</v>
      </c>
      <c r="L2015" s="11" t="s">
        <v>76</v>
      </c>
      <c r="M2015" s="11" t="s">
        <v>81</v>
      </c>
    </row>
    <row r="2016" spans="1:13" x14ac:dyDescent="0.25">
      <c r="A2016" s="6">
        <v>1970</v>
      </c>
      <c r="B2016" s="7">
        <v>45454</v>
      </c>
      <c r="C2016" s="8" t="s">
        <v>124</v>
      </c>
      <c r="D2016" s="8" t="s">
        <v>117</v>
      </c>
      <c r="E2016" s="8" t="s">
        <v>74</v>
      </c>
      <c r="F2016" s="8" t="s">
        <v>212</v>
      </c>
      <c r="G2016" s="6">
        <v>25</v>
      </c>
      <c r="H2016" s="6">
        <v>8400</v>
      </c>
      <c r="I2016" s="6">
        <v>0</v>
      </c>
      <c r="J2016" s="6">
        <f t="shared" si="62"/>
        <v>210000</v>
      </c>
      <c r="K2016" s="6">
        <f t="shared" si="63"/>
        <v>210000</v>
      </c>
      <c r="L2016" s="8" t="s">
        <v>76</v>
      </c>
      <c r="M2016" s="8" t="s">
        <v>77</v>
      </c>
    </row>
    <row r="2017" spans="1:13" x14ac:dyDescent="0.25">
      <c r="A2017" s="9">
        <v>1971</v>
      </c>
      <c r="B2017" s="10">
        <v>45535</v>
      </c>
      <c r="C2017" s="11" t="s">
        <v>124</v>
      </c>
      <c r="D2017" s="11" t="s">
        <v>117</v>
      </c>
      <c r="E2017" s="11" t="s">
        <v>162</v>
      </c>
      <c r="F2017" s="11" t="s">
        <v>134</v>
      </c>
      <c r="G2017" s="9">
        <v>38</v>
      </c>
      <c r="H2017" s="9">
        <v>9900</v>
      </c>
      <c r="I2017" s="9">
        <v>0</v>
      </c>
      <c r="J2017" s="9">
        <f t="shared" si="62"/>
        <v>376200</v>
      </c>
      <c r="K2017" s="9">
        <f t="shared" si="63"/>
        <v>376200</v>
      </c>
      <c r="L2017" s="11" t="s">
        <v>76</v>
      </c>
      <c r="M2017" s="11" t="s">
        <v>77</v>
      </c>
    </row>
    <row r="2018" spans="1:13" x14ac:dyDescent="0.25">
      <c r="A2018" s="6">
        <v>1972</v>
      </c>
      <c r="B2018" s="8" t="s">
        <v>652</v>
      </c>
      <c r="C2018" s="8" t="s">
        <v>114</v>
      </c>
      <c r="D2018" s="8" t="s">
        <v>117</v>
      </c>
      <c r="E2018" s="8" t="s">
        <v>102</v>
      </c>
      <c r="F2018" s="8" t="s">
        <v>151</v>
      </c>
      <c r="G2018" s="6">
        <v>27</v>
      </c>
      <c r="H2018" s="6">
        <v>7600</v>
      </c>
      <c r="I2018" s="6">
        <v>0</v>
      </c>
      <c r="J2018" s="6">
        <f t="shared" si="62"/>
        <v>205200</v>
      </c>
      <c r="K2018" s="6">
        <f t="shared" si="63"/>
        <v>205200</v>
      </c>
      <c r="L2018" s="8" t="s">
        <v>76</v>
      </c>
      <c r="M2018" s="8" t="s">
        <v>91</v>
      </c>
    </row>
    <row r="2019" spans="1:13" x14ac:dyDescent="0.25">
      <c r="A2019" s="9">
        <v>1973</v>
      </c>
      <c r="B2019" s="10">
        <v>45092</v>
      </c>
      <c r="C2019" s="11" t="s">
        <v>78</v>
      </c>
      <c r="D2019" s="11" t="s">
        <v>117</v>
      </c>
      <c r="E2019" s="11" t="s">
        <v>270</v>
      </c>
      <c r="F2019" s="11" t="s">
        <v>140</v>
      </c>
      <c r="G2019" s="9">
        <v>32</v>
      </c>
      <c r="H2019" s="9">
        <v>5000</v>
      </c>
      <c r="I2019" s="9">
        <v>10</v>
      </c>
      <c r="J2019" s="9">
        <f t="shared" si="62"/>
        <v>160000</v>
      </c>
      <c r="K2019" s="9">
        <f t="shared" si="63"/>
        <v>144000</v>
      </c>
      <c r="L2019" s="11" t="s">
        <v>86</v>
      </c>
      <c r="M2019" s="11" t="s">
        <v>96</v>
      </c>
    </row>
    <row r="2020" spans="1:13" x14ac:dyDescent="0.25">
      <c r="A2020" s="6">
        <v>1974</v>
      </c>
      <c r="B2020" s="8" t="s">
        <v>556</v>
      </c>
      <c r="C2020" s="8" t="s">
        <v>124</v>
      </c>
      <c r="D2020" s="8" t="s">
        <v>83</v>
      </c>
      <c r="E2020" s="8" t="s">
        <v>74</v>
      </c>
      <c r="F2020" s="8" t="s">
        <v>212</v>
      </c>
      <c r="G2020" s="6">
        <v>13</v>
      </c>
      <c r="H2020" s="6">
        <v>9100</v>
      </c>
      <c r="I2020" s="6">
        <v>5</v>
      </c>
      <c r="J2020" s="6">
        <f t="shared" si="62"/>
        <v>118300</v>
      </c>
      <c r="K2020" s="6">
        <f t="shared" si="63"/>
        <v>112385</v>
      </c>
      <c r="L2020" s="8" t="s">
        <v>86</v>
      </c>
      <c r="M2020" s="8" t="s">
        <v>77</v>
      </c>
    </row>
    <row r="2021" spans="1:13" x14ac:dyDescent="0.25">
      <c r="A2021" s="9">
        <v>1975</v>
      </c>
      <c r="B2021" s="10">
        <v>45060</v>
      </c>
      <c r="C2021" s="11" t="s">
        <v>106</v>
      </c>
      <c r="D2021" s="11" t="s">
        <v>117</v>
      </c>
      <c r="E2021" s="11" t="s">
        <v>74</v>
      </c>
      <c r="F2021" s="11" t="s">
        <v>140</v>
      </c>
      <c r="G2021" s="9">
        <v>9</v>
      </c>
      <c r="H2021" s="9">
        <v>5000</v>
      </c>
      <c r="I2021" s="9">
        <v>20</v>
      </c>
      <c r="J2021" s="9">
        <f t="shared" si="62"/>
        <v>45000</v>
      </c>
      <c r="K2021" s="9">
        <f t="shared" si="63"/>
        <v>36000</v>
      </c>
      <c r="L2021" s="11" t="s">
        <v>107</v>
      </c>
      <c r="M2021" s="11" t="s">
        <v>81</v>
      </c>
    </row>
    <row r="2022" spans="1:13" x14ac:dyDescent="0.25">
      <c r="A2022" s="6">
        <v>1976</v>
      </c>
      <c r="B2022" s="7">
        <v>45355</v>
      </c>
      <c r="C2022" s="8" t="s">
        <v>88</v>
      </c>
      <c r="D2022" s="8" t="s">
        <v>117</v>
      </c>
      <c r="E2022" s="8" t="s">
        <v>79</v>
      </c>
      <c r="F2022" s="8" t="s">
        <v>131</v>
      </c>
      <c r="G2022" s="6">
        <v>22</v>
      </c>
      <c r="H2022" s="6">
        <v>119900</v>
      </c>
      <c r="I2022" s="6">
        <v>0</v>
      </c>
      <c r="J2022" s="6">
        <f t="shared" si="62"/>
        <v>2637800</v>
      </c>
      <c r="K2022" s="6">
        <f t="shared" si="63"/>
        <v>2637800</v>
      </c>
      <c r="L2022" s="8" t="s">
        <v>76</v>
      </c>
      <c r="M2022" s="8" t="s">
        <v>96</v>
      </c>
    </row>
    <row r="2023" spans="1:13" x14ac:dyDescent="0.25">
      <c r="A2023" s="9">
        <v>1977</v>
      </c>
      <c r="B2023" s="10">
        <v>44981</v>
      </c>
      <c r="C2023" s="11" t="s">
        <v>78</v>
      </c>
      <c r="D2023" s="11" t="s">
        <v>83</v>
      </c>
      <c r="E2023" s="11" t="s">
        <v>84</v>
      </c>
      <c r="F2023" s="11" t="s">
        <v>128</v>
      </c>
      <c r="G2023" s="9">
        <v>10</v>
      </c>
      <c r="H2023" s="9">
        <v>3900</v>
      </c>
      <c r="I2023" s="9">
        <v>5</v>
      </c>
      <c r="J2023" s="9">
        <f t="shared" si="62"/>
        <v>39000</v>
      </c>
      <c r="K2023" s="9">
        <f t="shared" si="63"/>
        <v>37050</v>
      </c>
      <c r="L2023" s="11" t="s">
        <v>76</v>
      </c>
      <c r="M2023" s="11" t="s">
        <v>91</v>
      </c>
    </row>
    <row r="2024" spans="1:13" x14ac:dyDescent="0.25">
      <c r="A2024" s="6">
        <v>1978</v>
      </c>
      <c r="B2024" s="7">
        <v>45416</v>
      </c>
      <c r="C2024" s="8" t="s">
        <v>119</v>
      </c>
      <c r="D2024" s="8" t="s">
        <v>117</v>
      </c>
      <c r="E2024" s="8" t="s">
        <v>111</v>
      </c>
      <c r="F2024" s="8" t="s">
        <v>166</v>
      </c>
      <c r="G2024" s="6">
        <v>40</v>
      </c>
      <c r="H2024" s="6">
        <v>30500</v>
      </c>
      <c r="I2024" s="6">
        <v>0</v>
      </c>
      <c r="J2024" s="6">
        <f t="shared" si="62"/>
        <v>1220000</v>
      </c>
      <c r="K2024" s="6">
        <f t="shared" si="63"/>
        <v>1220000</v>
      </c>
      <c r="L2024" s="8" t="s">
        <v>76</v>
      </c>
      <c r="M2024" s="8" t="s">
        <v>77</v>
      </c>
    </row>
    <row r="2025" spans="1:13" x14ac:dyDescent="0.25">
      <c r="A2025" s="9">
        <v>1979</v>
      </c>
      <c r="B2025" s="11" t="s">
        <v>653</v>
      </c>
      <c r="C2025" s="11" t="s">
        <v>108</v>
      </c>
      <c r="D2025" s="11" t="s">
        <v>117</v>
      </c>
      <c r="E2025" s="11" t="s">
        <v>79</v>
      </c>
      <c r="F2025" s="11" t="s">
        <v>131</v>
      </c>
      <c r="G2025" s="9">
        <v>33</v>
      </c>
      <c r="H2025" s="9">
        <v>119200</v>
      </c>
      <c r="I2025" s="9">
        <v>10</v>
      </c>
      <c r="J2025" s="9">
        <f t="shared" si="62"/>
        <v>3933600</v>
      </c>
      <c r="K2025" s="9">
        <f t="shared" si="63"/>
        <v>3540240</v>
      </c>
      <c r="L2025" s="11" t="s">
        <v>86</v>
      </c>
      <c r="M2025" s="11" t="s">
        <v>96</v>
      </c>
    </row>
    <row r="2026" spans="1:13" x14ac:dyDescent="0.25">
      <c r="A2026" s="6">
        <v>1980</v>
      </c>
      <c r="B2026" s="7">
        <v>45456</v>
      </c>
      <c r="C2026" s="8" t="s">
        <v>114</v>
      </c>
      <c r="D2026" s="8" t="s">
        <v>73</v>
      </c>
      <c r="E2026" s="8" t="s">
        <v>79</v>
      </c>
      <c r="F2026" s="8" t="s">
        <v>136</v>
      </c>
      <c r="G2026" s="6">
        <v>38</v>
      </c>
      <c r="H2026" s="6">
        <v>78800</v>
      </c>
      <c r="I2026" s="6">
        <v>5</v>
      </c>
      <c r="J2026" s="6">
        <f t="shared" si="62"/>
        <v>2994400</v>
      </c>
      <c r="K2026" s="6">
        <f t="shared" si="63"/>
        <v>2844680</v>
      </c>
      <c r="L2026" s="8" t="s">
        <v>76</v>
      </c>
      <c r="M2026" s="8" t="s">
        <v>91</v>
      </c>
    </row>
    <row r="2027" spans="1:13" x14ac:dyDescent="0.25">
      <c r="A2027" s="9">
        <v>1981</v>
      </c>
      <c r="B2027" s="10">
        <v>45655</v>
      </c>
      <c r="C2027" s="11" t="s">
        <v>119</v>
      </c>
      <c r="D2027" s="11" t="s">
        <v>93</v>
      </c>
      <c r="E2027" s="11" t="s">
        <v>84</v>
      </c>
      <c r="F2027" s="11" t="s">
        <v>90</v>
      </c>
      <c r="G2027" s="9">
        <v>12</v>
      </c>
      <c r="H2027" s="9">
        <v>2000</v>
      </c>
      <c r="I2027" s="9">
        <v>5</v>
      </c>
      <c r="J2027" s="9">
        <f t="shared" si="62"/>
        <v>24000</v>
      </c>
      <c r="K2027" s="9">
        <f t="shared" si="63"/>
        <v>22800</v>
      </c>
      <c r="L2027" s="11" t="s">
        <v>76</v>
      </c>
      <c r="M2027" s="11" t="s">
        <v>96</v>
      </c>
    </row>
    <row r="2028" spans="1:13" x14ac:dyDescent="0.25">
      <c r="A2028" s="6">
        <v>1982</v>
      </c>
      <c r="B2028" s="7">
        <v>44940</v>
      </c>
      <c r="C2028" s="8" t="s">
        <v>169</v>
      </c>
      <c r="D2028" s="8" t="s">
        <v>83</v>
      </c>
      <c r="E2028" s="8" t="s">
        <v>84</v>
      </c>
      <c r="F2028" s="8" t="s">
        <v>148</v>
      </c>
      <c r="G2028" s="6">
        <v>11</v>
      </c>
      <c r="H2028" s="6">
        <v>5300</v>
      </c>
      <c r="I2028" s="6">
        <v>0</v>
      </c>
      <c r="J2028" s="6">
        <f t="shared" si="62"/>
        <v>58300</v>
      </c>
      <c r="K2028" s="6">
        <f t="shared" si="63"/>
        <v>58300</v>
      </c>
      <c r="L2028" s="8" t="s">
        <v>76</v>
      </c>
      <c r="M2028" s="8" t="s">
        <v>91</v>
      </c>
    </row>
    <row r="2029" spans="1:13" x14ac:dyDescent="0.25">
      <c r="A2029" s="9">
        <v>1983</v>
      </c>
      <c r="B2029" s="10">
        <v>45077</v>
      </c>
      <c r="C2029" s="11" t="s">
        <v>97</v>
      </c>
      <c r="D2029" s="11" t="s">
        <v>109</v>
      </c>
      <c r="E2029" s="11" t="s">
        <v>79</v>
      </c>
      <c r="F2029" s="11" t="s">
        <v>80</v>
      </c>
      <c r="G2029" s="9">
        <v>15</v>
      </c>
      <c r="H2029" s="9">
        <v>8800</v>
      </c>
      <c r="I2029" s="9">
        <v>0</v>
      </c>
      <c r="J2029" s="9">
        <f t="shared" si="62"/>
        <v>132000</v>
      </c>
      <c r="K2029" s="9">
        <f t="shared" si="63"/>
        <v>132000</v>
      </c>
      <c r="L2029" s="11" t="s">
        <v>86</v>
      </c>
      <c r="M2029" s="11" t="s">
        <v>91</v>
      </c>
    </row>
    <row r="2030" spans="1:13" x14ac:dyDescent="0.25">
      <c r="A2030" s="6">
        <v>1984</v>
      </c>
      <c r="B2030" s="7">
        <v>45160</v>
      </c>
      <c r="C2030" s="8" t="s">
        <v>114</v>
      </c>
      <c r="D2030" s="8" t="s">
        <v>117</v>
      </c>
      <c r="E2030" s="8" t="s">
        <v>102</v>
      </c>
      <c r="F2030" s="8" t="s">
        <v>151</v>
      </c>
      <c r="G2030" s="6">
        <v>35</v>
      </c>
      <c r="H2030" s="6">
        <v>8400</v>
      </c>
      <c r="I2030" s="6">
        <v>20</v>
      </c>
      <c r="J2030" s="6">
        <f t="shared" si="62"/>
        <v>294000</v>
      </c>
      <c r="K2030" s="6">
        <f t="shared" si="63"/>
        <v>235200</v>
      </c>
      <c r="L2030" s="8" t="s">
        <v>76</v>
      </c>
      <c r="M2030" s="8" t="s">
        <v>96</v>
      </c>
    </row>
    <row r="2031" spans="1:13" x14ac:dyDescent="0.25">
      <c r="A2031" s="9">
        <v>1985</v>
      </c>
      <c r="B2031" s="10">
        <v>45577</v>
      </c>
      <c r="C2031" s="11" t="s">
        <v>108</v>
      </c>
      <c r="D2031" s="11" t="s">
        <v>117</v>
      </c>
      <c r="E2031" s="11" t="s">
        <v>74</v>
      </c>
      <c r="F2031" s="11" t="s">
        <v>142</v>
      </c>
      <c r="G2031" s="9">
        <v>8</v>
      </c>
      <c r="H2031" s="9">
        <v>11700</v>
      </c>
      <c r="I2031" s="9">
        <v>10</v>
      </c>
      <c r="J2031" s="9">
        <f t="shared" si="62"/>
        <v>93600</v>
      </c>
      <c r="K2031" s="9">
        <f t="shared" si="63"/>
        <v>84240</v>
      </c>
      <c r="L2031" s="11" t="s">
        <v>86</v>
      </c>
      <c r="M2031" s="11" t="s">
        <v>81</v>
      </c>
    </row>
    <row r="2032" spans="1:13" x14ac:dyDescent="0.25">
      <c r="A2032" s="6">
        <v>1986</v>
      </c>
      <c r="B2032" s="7">
        <v>45259</v>
      </c>
      <c r="C2032" s="8" t="s">
        <v>101</v>
      </c>
      <c r="D2032" s="8" t="s">
        <v>117</v>
      </c>
      <c r="E2032" s="8" t="s">
        <v>74</v>
      </c>
      <c r="F2032" s="8" t="s">
        <v>94</v>
      </c>
      <c r="G2032" s="6">
        <v>28</v>
      </c>
      <c r="H2032" s="6">
        <v>31800</v>
      </c>
      <c r="I2032" s="6">
        <v>0</v>
      </c>
      <c r="J2032" s="6">
        <f t="shared" si="62"/>
        <v>890400</v>
      </c>
      <c r="K2032" s="6">
        <f t="shared" si="63"/>
        <v>890400</v>
      </c>
      <c r="L2032" s="8" t="s">
        <v>76</v>
      </c>
      <c r="M2032" s="8" t="s">
        <v>96</v>
      </c>
    </row>
    <row r="2033" spans="1:13" x14ac:dyDescent="0.25">
      <c r="A2033" s="9">
        <v>1987</v>
      </c>
      <c r="B2033" s="10">
        <v>45594</v>
      </c>
      <c r="C2033" s="11" t="s">
        <v>119</v>
      </c>
      <c r="D2033" s="11" t="s">
        <v>117</v>
      </c>
      <c r="E2033" s="11" t="s">
        <v>173</v>
      </c>
      <c r="F2033" s="11" t="s">
        <v>90</v>
      </c>
      <c r="G2033" s="9">
        <v>5</v>
      </c>
      <c r="H2033" s="9">
        <v>2000</v>
      </c>
      <c r="I2033" s="9">
        <v>0</v>
      </c>
      <c r="J2033" s="9">
        <f t="shared" si="62"/>
        <v>10000</v>
      </c>
      <c r="K2033" s="9">
        <f t="shared" si="63"/>
        <v>10000</v>
      </c>
      <c r="L2033" s="11" t="s">
        <v>76</v>
      </c>
      <c r="M2033" s="11" t="s">
        <v>81</v>
      </c>
    </row>
    <row r="2034" spans="1:13" x14ac:dyDescent="0.25">
      <c r="A2034" s="6">
        <v>1988</v>
      </c>
      <c r="B2034" s="7">
        <v>45657</v>
      </c>
      <c r="C2034" s="8" t="s">
        <v>119</v>
      </c>
      <c r="D2034" s="8" t="s">
        <v>117</v>
      </c>
      <c r="E2034" s="8" t="s">
        <v>102</v>
      </c>
      <c r="F2034" s="8" t="s">
        <v>197</v>
      </c>
      <c r="G2034" s="6">
        <v>40</v>
      </c>
      <c r="H2034" s="6">
        <v>4100</v>
      </c>
      <c r="I2034" s="6">
        <v>5</v>
      </c>
      <c r="J2034" s="6">
        <f t="shared" si="62"/>
        <v>164000</v>
      </c>
      <c r="K2034" s="6">
        <f t="shared" si="63"/>
        <v>155800</v>
      </c>
      <c r="L2034" s="8" t="s">
        <v>187</v>
      </c>
      <c r="M2034" s="8" t="s">
        <v>77</v>
      </c>
    </row>
    <row r="2035" spans="1:13" x14ac:dyDescent="0.25">
      <c r="A2035" s="9">
        <v>1989</v>
      </c>
      <c r="B2035" s="10">
        <v>45375</v>
      </c>
      <c r="C2035" s="11" t="s">
        <v>114</v>
      </c>
      <c r="D2035" s="11" t="s">
        <v>109</v>
      </c>
      <c r="E2035" s="11" t="s">
        <v>84</v>
      </c>
      <c r="F2035" s="11" t="s">
        <v>134</v>
      </c>
      <c r="G2035" s="9">
        <v>44</v>
      </c>
      <c r="H2035" s="9">
        <v>10200</v>
      </c>
      <c r="I2035" s="9">
        <v>0</v>
      </c>
      <c r="J2035" s="9">
        <f t="shared" si="62"/>
        <v>448800</v>
      </c>
      <c r="K2035" s="9">
        <f t="shared" si="63"/>
        <v>448800</v>
      </c>
      <c r="L2035" s="11" t="s">
        <v>86</v>
      </c>
      <c r="M2035" s="11" t="s">
        <v>91</v>
      </c>
    </row>
    <row r="2036" spans="1:13" x14ac:dyDescent="0.25">
      <c r="A2036" s="6">
        <v>1990</v>
      </c>
      <c r="B2036" s="7">
        <v>44958</v>
      </c>
      <c r="C2036" s="8" t="s">
        <v>106</v>
      </c>
      <c r="D2036" s="8" t="s">
        <v>93</v>
      </c>
      <c r="E2036" s="8" t="s">
        <v>102</v>
      </c>
      <c r="F2036" s="8" t="s">
        <v>151</v>
      </c>
      <c r="G2036" s="6">
        <v>5</v>
      </c>
      <c r="H2036" s="6">
        <v>8000</v>
      </c>
      <c r="I2036" s="6">
        <v>15</v>
      </c>
      <c r="J2036" s="6">
        <f t="shared" si="62"/>
        <v>40000</v>
      </c>
      <c r="K2036" s="6">
        <f t="shared" si="63"/>
        <v>34000</v>
      </c>
      <c r="L2036" s="8" t="s">
        <v>107</v>
      </c>
      <c r="M2036" s="8" t="s">
        <v>96</v>
      </c>
    </row>
    <row r="2037" spans="1:13" x14ac:dyDescent="0.25">
      <c r="A2037" s="9">
        <v>1991</v>
      </c>
      <c r="B2037" s="10">
        <v>44939</v>
      </c>
      <c r="C2037" s="11" t="s">
        <v>82</v>
      </c>
      <c r="D2037" s="11" t="s">
        <v>73</v>
      </c>
      <c r="E2037" s="11" t="s">
        <v>79</v>
      </c>
      <c r="F2037" s="11" t="s">
        <v>115</v>
      </c>
      <c r="G2037" s="9">
        <v>3</v>
      </c>
      <c r="H2037" s="9">
        <v>10300</v>
      </c>
      <c r="I2037" s="9">
        <v>0</v>
      </c>
      <c r="J2037" s="9">
        <f t="shared" si="62"/>
        <v>30900</v>
      </c>
      <c r="K2037" s="9">
        <f t="shared" si="63"/>
        <v>30900</v>
      </c>
      <c r="L2037" s="11" t="s">
        <v>76</v>
      </c>
      <c r="M2037" s="11" t="s">
        <v>81</v>
      </c>
    </row>
    <row r="2038" spans="1:13" x14ac:dyDescent="0.25">
      <c r="A2038" s="6">
        <v>1992</v>
      </c>
      <c r="B2038" s="7">
        <v>45322</v>
      </c>
      <c r="C2038" s="8" t="s">
        <v>124</v>
      </c>
      <c r="D2038" s="8" t="s">
        <v>109</v>
      </c>
      <c r="E2038" s="8" t="s">
        <v>74</v>
      </c>
      <c r="F2038" s="8" t="s">
        <v>142</v>
      </c>
      <c r="G2038" s="6">
        <v>15</v>
      </c>
      <c r="H2038" s="6">
        <v>11600</v>
      </c>
      <c r="I2038" s="6">
        <v>0</v>
      </c>
      <c r="J2038" s="6">
        <f t="shared" si="62"/>
        <v>174000</v>
      </c>
      <c r="K2038" s="6">
        <f t="shared" si="63"/>
        <v>174000</v>
      </c>
      <c r="L2038" s="8" t="s">
        <v>76</v>
      </c>
      <c r="M2038" s="8" t="s">
        <v>81</v>
      </c>
    </row>
    <row r="2039" spans="1:13" x14ac:dyDescent="0.25">
      <c r="A2039" s="9">
        <v>1993</v>
      </c>
      <c r="B2039" s="10">
        <v>44939</v>
      </c>
      <c r="C2039" s="11" t="s">
        <v>78</v>
      </c>
      <c r="D2039" s="11"/>
      <c r="E2039" s="11" t="s">
        <v>102</v>
      </c>
      <c r="F2039" s="11" t="s">
        <v>137</v>
      </c>
      <c r="G2039" s="9">
        <v>26</v>
      </c>
      <c r="H2039" s="9" t="s">
        <v>654</v>
      </c>
      <c r="I2039" s="9">
        <v>10</v>
      </c>
      <c r="J2039" s="9" t="e">
        <f t="shared" si="62"/>
        <v>#VALUE!</v>
      </c>
      <c r="K2039" s="9" t="e">
        <f t="shared" si="63"/>
        <v>#VALUE!</v>
      </c>
      <c r="L2039" s="11" t="s">
        <v>76</v>
      </c>
      <c r="M2039" s="11" t="s">
        <v>96</v>
      </c>
    </row>
    <row r="2040" spans="1:13" x14ac:dyDescent="0.25">
      <c r="A2040" s="6">
        <v>1994</v>
      </c>
      <c r="B2040" s="7">
        <v>44995</v>
      </c>
      <c r="C2040" s="8" t="s">
        <v>114</v>
      </c>
      <c r="D2040" s="8" t="s">
        <v>117</v>
      </c>
      <c r="E2040" s="8" t="s">
        <v>84</v>
      </c>
      <c r="F2040" s="8" t="s">
        <v>134</v>
      </c>
      <c r="G2040" s="6">
        <v>43</v>
      </c>
      <c r="H2040" s="6">
        <v>9200</v>
      </c>
      <c r="I2040" s="6">
        <v>0</v>
      </c>
      <c r="J2040" s="6">
        <f t="shared" si="62"/>
        <v>395600</v>
      </c>
      <c r="K2040" s="6">
        <f t="shared" si="63"/>
        <v>395600</v>
      </c>
      <c r="L2040" s="8" t="s">
        <v>125</v>
      </c>
      <c r="M2040" s="8" t="s">
        <v>96</v>
      </c>
    </row>
    <row r="2041" spans="1:13" x14ac:dyDescent="0.25">
      <c r="A2041" s="9">
        <v>1995</v>
      </c>
      <c r="B2041" s="10">
        <v>45364</v>
      </c>
      <c r="C2041" s="11" t="s">
        <v>443</v>
      </c>
      <c r="D2041" s="11" t="s">
        <v>93</v>
      </c>
      <c r="E2041" s="11" t="s">
        <v>84</v>
      </c>
      <c r="F2041" s="11" t="s">
        <v>200</v>
      </c>
      <c r="G2041" s="9">
        <v>31</v>
      </c>
      <c r="H2041" s="9">
        <v>3400</v>
      </c>
      <c r="I2041" s="9">
        <v>5</v>
      </c>
      <c r="J2041" s="9">
        <f t="shared" si="62"/>
        <v>105400</v>
      </c>
      <c r="K2041" s="9">
        <f t="shared" si="63"/>
        <v>100130</v>
      </c>
      <c r="L2041" s="11" t="s">
        <v>76</v>
      </c>
      <c r="M2041" s="11" t="s">
        <v>81</v>
      </c>
    </row>
    <row r="2042" spans="1:13" x14ac:dyDescent="0.25">
      <c r="A2042" s="6">
        <v>1996</v>
      </c>
      <c r="B2042" s="7">
        <v>45648</v>
      </c>
      <c r="C2042" s="8" t="s">
        <v>82</v>
      </c>
      <c r="D2042" s="8" t="s">
        <v>73</v>
      </c>
      <c r="E2042" s="8" t="s">
        <v>79</v>
      </c>
      <c r="F2042" s="8" t="s">
        <v>120</v>
      </c>
      <c r="G2042" s="6">
        <v>39</v>
      </c>
      <c r="H2042" s="6">
        <v>5800</v>
      </c>
      <c r="I2042" s="6">
        <v>10</v>
      </c>
      <c r="J2042" s="6">
        <f t="shared" si="62"/>
        <v>226200</v>
      </c>
      <c r="K2042" s="6">
        <f t="shared" si="63"/>
        <v>203580</v>
      </c>
      <c r="L2042" s="8" t="s">
        <v>76</v>
      </c>
      <c r="M2042" s="8" t="s">
        <v>91</v>
      </c>
    </row>
    <row r="2043" spans="1:13" x14ac:dyDescent="0.25">
      <c r="A2043" s="9">
        <v>1997</v>
      </c>
      <c r="B2043" s="10">
        <v>45451</v>
      </c>
      <c r="C2043" s="11" t="s">
        <v>101</v>
      </c>
      <c r="D2043" s="11"/>
      <c r="E2043" s="11" t="s">
        <v>111</v>
      </c>
      <c r="F2043" s="11" t="s">
        <v>165</v>
      </c>
      <c r="G2043" s="9">
        <v>34</v>
      </c>
      <c r="H2043" s="9">
        <v>20600</v>
      </c>
      <c r="I2043" s="9">
        <v>20</v>
      </c>
      <c r="J2043" s="9">
        <f t="shared" si="62"/>
        <v>700400</v>
      </c>
      <c r="K2043" s="9">
        <f t="shared" si="63"/>
        <v>560320</v>
      </c>
      <c r="L2043" s="11" t="s">
        <v>76</v>
      </c>
      <c r="M2043" s="11" t="s">
        <v>81</v>
      </c>
    </row>
    <row r="2044" spans="1:13" x14ac:dyDescent="0.25">
      <c r="A2044" s="6">
        <v>1998</v>
      </c>
      <c r="B2044" s="7">
        <v>45634</v>
      </c>
      <c r="C2044" s="8" t="s">
        <v>214</v>
      </c>
      <c r="D2044" s="8" t="s">
        <v>73</v>
      </c>
      <c r="E2044" s="8" t="s">
        <v>74</v>
      </c>
      <c r="F2044" s="8" t="s">
        <v>212</v>
      </c>
      <c r="G2044" s="6">
        <v>45</v>
      </c>
      <c r="H2044" s="6">
        <v>8200</v>
      </c>
      <c r="I2044" s="6">
        <v>0</v>
      </c>
      <c r="J2044" s="6">
        <f t="shared" si="62"/>
        <v>369000</v>
      </c>
      <c r="K2044" s="6">
        <f t="shared" si="63"/>
        <v>369000</v>
      </c>
      <c r="L2044" s="8" t="s">
        <v>76</v>
      </c>
      <c r="M2044" s="8" t="s">
        <v>91</v>
      </c>
    </row>
    <row r="2045" spans="1:13" x14ac:dyDescent="0.25">
      <c r="A2045" s="9">
        <v>1999</v>
      </c>
      <c r="B2045" s="10">
        <v>45207</v>
      </c>
      <c r="C2045" s="11" t="s">
        <v>119</v>
      </c>
      <c r="D2045" s="11" t="s">
        <v>109</v>
      </c>
      <c r="E2045" s="11" t="s">
        <v>74</v>
      </c>
      <c r="F2045" s="11" t="s">
        <v>140</v>
      </c>
      <c r="G2045" s="9">
        <v>6</v>
      </c>
      <c r="H2045" s="9">
        <v>4300</v>
      </c>
      <c r="I2045" s="9">
        <v>15</v>
      </c>
      <c r="J2045" s="9">
        <f t="shared" si="62"/>
        <v>25800</v>
      </c>
      <c r="K2045" s="9">
        <f t="shared" si="63"/>
        <v>21930</v>
      </c>
      <c r="L2045" s="11" t="s">
        <v>305</v>
      </c>
      <c r="M2045" s="11"/>
    </row>
    <row r="2046" spans="1:13" x14ac:dyDescent="0.25">
      <c r="A2046" s="6">
        <v>2000</v>
      </c>
      <c r="B2046" s="7">
        <v>45185</v>
      </c>
      <c r="C2046" s="8" t="s">
        <v>108</v>
      </c>
      <c r="D2046" s="8" t="s">
        <v>117</v>
      </c>
      <c r="E2046" s="8" t="s">
        <v>176</v>
      </c>
      <c r="F2046" s="8" t="s">
        <v>90</v>
      </c>
      <c r="G2046" s="6">
        <v>42</v>
      </c>
      <c r="H2046" s="6">
        <v>2000</v>
      </c>
      <c r="I2046" s="6">
        <v>0</v>
      </c>
      <c r="J2046" s="6">
        <f t="shared" si="62"/>
        <v>84000</v>
      </c>
      <c r="K2046" s="6">
        <f t="shared" si="63"/>
        <v>84000</v>
      </c>
      <c r="L2046" s="8" t="s">
        <v>76</v>
      </c>
      <c r="M2046" s="8" t="s">
        <v>91</v>
      </c>
    </row>
  </sheetData>
  <autoFilter ref="A1:M2046" xr:uid="{00000000-0001-0000-0100-000000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4A7A-B95F-4F18-A694-CFA9FD9D4C18}">
  <dimension ref="A2:F17"/>
  <sheetViews>
    <sheetView workbookViewId="0">
      <selection activeCell="F13" sqref="F13"/>
    </sheetView>
  </sheetViews>
  <sheetFormatPr baseColWidth="10" defaultRowHeight="15" x14ac:dyDescent="0.25"/>
  <cols>
    <col min="1" max="1" width="31.5703125" bestFit="1" customWidth="1"/>
    <col min="2" max="2" width="37.140625" bestFit="1" customWidth="1"/>
    <col min="3" max="3" width="40" bestFit="1" customWidth="1"/>
    <col min="4" max="4" width="23" bestFit="1" customWidth="1"/>
    <col min="5" max="5" width="26.42578125" bestFit="1" customWidth="1"/>
  </cols>
  <sheetData>
    <row r="2" spans="1:6" ht="15.75" x14ac:dyDescent="0.25">
      <c r="A2" s="15" t="s">
        <v>661</v>
      </c>
      <c r="B2" s="15" t="s">
        <v>662</v>
      </c>
      <c r="C2" s="15" t="s">
        <v>665</v>
      </c>
      <c r="D2" s="15" t="s">
        <v>666</v>
      </c>
      <c r="E2" s="15" t="s">
        <v>663</v>
      </c>
    </row>
    <row r="3" spans="1:6" ht="15.75" x14ac:dyDescent="0.25">
      <c r="A3" s="17" t="s">
        <v>49</v>
      </c>
      <c r="B3" s="18" t="s">
        <v>680</v>
      </c>
      <c r="C3" s="18" t="s">
        <v>679</v>
      </c>
      <c r="D3" s="18">
        <v>6</v>
      </c>
      <c r="E3" s="18" t="s">
        <v>664</v>
      </c>
      <c r="F3" s="35" t="s">
        <v>740</v>
      </c>
    </row>
    <row r="4" spans="1:6" ht="15.75" x14ac:dyDescent="0.25">
      <c r="A4" s="19" t="s">
        <v>51</v>
      </c>
      <c r="B4" s="18" t="s">
        <v>671</v>
      </c>
      <c r="C4" s="18" t="s">
        <v>686</v>
      </c>
      <c r="D4" s="18">
        <v>11</v>
      </c>
      <c r="E4" s="18" t="s">
        <v>678</v>
      </c>
      <c r="F4" s="35" t="s">
        <v>740</v>
      </c>
    </row>
    <row r="5" spans="1:6" ht="15.75" x14ac:dyDescent="0.25">
      <c r="A5" s="19" t="s">
        <v>51</v>
      </c>
      <c r="B5" s="18" t="s">
        <v>671</v>
      </c>
      <c r="C5" s="18" t="s">
        <v>681</v>
      </c>
      <c r="D5" s="18">
        <v>390</v>
      </c>
      <c r="E5" s="18" t="s">
        <v>667</v>
      </c>
      <c r="F5" s="35" t="s">
        <v>740</v>
      </c>
    </row>
    <row r="6" spans="1:6" ht="15.75" x14ac:dyDescent="0.25">
      <c r="A6" s="17" t="s">
        <v>53</v>
      </c>
      <c r="B6" s="18" t="s">
        <v>672</v>
      </c>
      <c r="C6" s="18" t="s">
        <v>682</v>
      </c>
      <c r="D6" s="18">
        <v>9</v>
      </c>
      <c r="E6" s="18" t="s">
        <v>678</v>
      </c>
      <c r="F6" s="35" t="s">
        <v>740</v>
      </c>
    </row>
    <row r="7" spans="1:6" ht="15.75" x14ac:dyDescent="0.25">
      <c r="A7" s="17" t="s">
        <v>53</v>
      </c>
      <c r="B7" s="18" t="s">
        <v>671</v>
      </c>
      <c r="C7" s="18" t="s">
        <v>687</v>
      </c>
      <c r="D7" s="18">
        <v>8</v>
      </c>
      <c r="E7" s="18" t="s">
        <v>674</v>
      </c>
      <c r="F7" s="35" t="s">
        <v>740</v>
      </c>
    </row>
    <row r="8" spans="1:6" ht="15.75" x14ac:dyDescent="0.25">
      <c r="A8" s="19" t="s">
        <v>47</v>
      </c>
      <c r="B8" s="18" t="s">
        <v>693</v>
      </c>
      <c r="C8" s="20" t="s">
        <v>670</v>
      </c>
      <c r="D8" s="18">
        <v>1</v>
      </c>
      <c r="E8" s="18" t="s">
        <v>677</v>
      </c>
      <c r="F8" s="35" t="s">
        <v>740</v>
      </c>
    </row>
    <row r="9" spans="1:6" ht="15.75" x14ac:dyDescent="0.25">
      <c r="A9" s="21" t="s">
        <v>59</v>
      </c>
      <c r="B9" s="18" t="s">
        <v>668</v>
      </c>
      <c r="C9" s="18" t="s">
        <v>683</v>
      </c>
      <c r="D9" s="18">
        <v>1</v>
      </c>
      <c r="E9" s="18" t="s">
        <v>676</v>
      </c>
      <c r="F9" s="35" t="s">
        <v>740</v>
      </c>
    </row>
    <row r="10" spans="1:6" ht="15.75" x14ac:dyDescent="0.25">
      <c r="A10" s="21" t="s">
        <v>57</v>
      </c>
      <c r="B10" s="18" t="s">
        <v>669</v>
      </c>
      <c r="C10" s="18" t="s">
        <v>684</v>
      </c>
      <c r="D10" s="18">
        <v>1</v>
      </c>
      <c r="E10" s="18" t="s">
        <v>674</v>
      </c>
      <c r="F10" s="35" t="s">
        <v>740</v>
      </c>
    </row>
    <row r="11" spans="1:6" ht="15.75" x14ac:dyDescent="0.25">
      <c r="A11" s="17" t="s">
        <v>67</v>
      </c>
      <c r="B11" s="18" t="s">
        <v>673</v>
      </c>
      <c r="C11" s="18" t="s">
        <v>685</v>
      </c>
      <c r="D11" s="18">
        <v>9</v>
      </c>
      <c r="E11" s="18" t="s">
        <v>675</v>
      </c>
      <c r="F11" s="35" t="s">
        <v>740</v>
      </c>
    </row>
    <row r="12" spans="1:6" ht="15.75" x14ac:dyDescent="0.25">
      <c r="A12" s="22"/>
      <c r="B12" s="22"/>
      <c r="C12" s="22"/>
      <c r="D12" s="22"/>
      <c r="E12" s="22"/>
    </row>
    <row r="13" spans="1:6" ht="15.75" x14ac:dyDescent="0.25">
      <c r="A13" s="23" t="s">
        <v>688</v>
      </c>
      <c r="B13" s="22"/>
      <c r="C13" s="22"/>
      <c r="D13" s="22"/>
      <c r="E13" s="22"/>
    </row>
    <row r="14" spans="1:6" ht="15.75" x14ac:dyDescent="0.25">
      <c r="A14" s="22" t="s">
        <v>689</v>
      </c>
      <c r="B14" s="22">
        <v>2045</v>
      </c>
      <c r="C14" s="22"/>
      <c r="D14" s="22"/>
      <c r="E14" s="22"/>
    </row>
    <row r="15" spans="1:6" ht="15.75" x14ac:dyDescent="0.25">
      <c r="A15" s="22" t="s">
        <v>690</v>
      </c>
      <c r="B15" s="22">
        <v>13</v>
      </c>
      <c r="C15" s="22"/>
      <c r="D15" s="22"/>
      <c r="E15" s="22"/>
    </row>
    <row r="16" spans="1:6" ht="15.75" x14ac:dyDescent="0.25">
      <c r="A16" s="22" t="s">
        <v>691</v>
      </c>
      <c r="B16" s="22">
        <v>54</v>
      </c>
      <c r="C16" s="22"/>
      <c r="D16" s="22"/>
      <c r="E16" s="22"/>
    </row>
    <row r="17" spans="1:5" ht="15.75" x14ac:dyDescent="0.25">
      <c r="A17" s="22" t="s">
        <v>692</v>
      </c>
      <c r="B17" s="22" t="s">
        <v>694</v>
      </c>
      <c r="C17" s="22"/>
      <c r="D17" s="16"/>
      <c r="E17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B2:F4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70" customWidth="1"/>
  </cols>
  <sheetData>
    <row r="2" spans="2:6" ht="49.5" customHeight="1" x14ac:dyDescent="0.25">
      <c r="B2" s="82" t="s">
        <v>655</v>
      </c>
      <c r="C2" s="82"/>
      <c r="D2" s="82"/>
      <c r="E2" s="82"/>
      <c r="F2" s="82"/>
    </row>
    <row r="4" spans="2:6" ht="30" customHeight="1" x14ac:dyDescent="0.25">
      <c r="B4" s="83" t="s">
        <v>656</v>
      </c>
      <c r="C4" s="83"/>
      <c r="D4" s="83"/>
      <c r="E4" s="83"/>
      <c r="F4" s="83"/>
    </row>
  </sheetData>
  <mergeCells count="2">
    <mergeCell ref="B2:F2"/>
    <mergeCell ref="B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65C0"/>
  </sheetPr>
  <dimension ref="A1:X27"/>
  <sheetViews>
    <sheetView zoomScale="102" zoomScaleNormal="100" workbookViewId="0">
      <selection activeCell="R6" sqref="R6"/>
    </sheetView>
  </sheetViews>
  <sheetFormatPr baseColWidth="10" defaultColWidth="8.7109375" defaultRowHeight="15" x14ac:dyDescent="0.25"/>
  <cols>
    <col min="1" max="1" width="65.5703125" bestFit="1" customWidth="1"/>
    <col min="2" max="2" width="37" customWidth="1"/>
    <col min="3" max="3" width="10" bestFit="1" customWidth="1"/>
    <col min="4" max="4" width="4.5703125" customWidth="1"/>
    <col min="5" max="5" width="29.42578125" bestFit="1" customWidth="1"/>
    <col min="6" max="6" width="21.28515625" customWidth="1"/>
    <col min="7" max="7" width="13.85546875" bestFit="1" customWidth="1"/>
    <col min="8" max="8" width="15.7109375" customWidth="1"/>
    <col min="9" max="9" width="18.5703125" customWidth="1"/>
    <col min="10" max="11" width="21.140625" bestFit="1" customWidth="1"/>
    <col min="14" max="14" width="10.28515625" bestFit="1" customWidth="1"/>
    <col min="15" max="15" width="11" bestFit="1" customWidth="1"/>
    <col min="16" max="16" width="16.85546875" customWidth="1"/>
    <col min="17" max="17" width="15.28515625" customWidth="1"/>
    <col min="18" max="18" width="9.5703125" bestFit="1" customWidth="1"/>
    <col min="20" max="20" width="11.7109375" customWidth="1"/>
    <col min="21" max="21" width="10.140625" bestFit="1" customWidth="1"/>
    <col min="22" max="22" width="17.28515625" customWidth="1"/>
    <col min="23" max="23" width="16.140625" bestFit="1" customWidth="1"/>
    <col min="24" max="24" width="16.5703125" customWidth="1"/>
  </cols>
  <sheetData>
    <row r="1" spans="1:24" ht="31.5" x14ac:dyDescent="0.5">
      <c r="A1" s="84" t="s">
        <v>746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1:24" s="54" customFormat="1" ht="31.5" x14ac:dyDescent="0.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24" ht="22.5" customHeight="1" x14ac:dyDescent="0.25">
      <c r="A3" t="s">
        <v>761</v>
      </c>
      <c r="B3" s="52" t="s">
        <v>772</v>
      </c>
      <c r="C3" s="41"/>
      <c r="D3" s="41"/>
      <c r="E3" s="85" t="s">
        <v>780</v>
      </c>
      <c r="F3" s="86"/>
      <c r="H3" s="87" t="s">
        <v>781</v>
      </c>
      <c r="I3" s="88"/>
      <c r="J3" s="88"/>
      <c r="K3" s="88"/>
      <c r="L3" s="88"/>
      <c r="N3" s="87" t="s">
        <v>782</v>
      </c>
      <c r="O3" s="88"/>
      <c r="P3" s="88"/>
      <c r="Q3" s="88"/>
      <c r="R3" s="88"/>
      <c r="T3" s="87" t="s">
        <v>783</v>
      </c>
      <c r="U3" s="88"/>
      <c r="V3" s="88"/>
      <c r="W3" s="88"/>
      <c r="X3" s="88"/>
    </row>
    <row r="4" spans="1:24" x14ac:dyDescent="0.25">
      <c r="A4" s="43" t="s">
        <v>747</v>
      </c>
      <c r="B4" s="43">
        <f>COUNT(Ventes_TradeCo[ID_Commande])</f>
        <v>2000</v>
      </c>
      <c r="C4" s="44"/>
      <c r="E4" t="s">
        <v>761</v>
      </c>
      <c r="F4" t="s">
        <v>772</v>
      </c>
      <c r="H4" t="s">
        <v>49</v>
      </c>
      <c r="I4" t="s">
        <v>757</v>
      </c>
      <c r="J4" t="s">
        <v>758</v>
      </c>
      <c r="K4" t="s">
        <v>759</v>
      </c>
      <c r="L4" t="s">
        <v>760</v>
      </c>
      <c r="N4" t="s">
        <v>51</v>
      </c>
      <c r="O4" t="s">
        <v>65</v>
      </c>
      <c r="P4" t="s">
        <v>774</v>
      </c>
      <c r="Q4" t="s">
        <v>775</v>
      </c>
      <c r="R4" t="s">
        <v>773</v>
      </c>
      <c r="T4" t="s">
        <v>53</v>
      </c>
      <c r="U4" t="s">
        <v>776</v>
      </c>
      <c r="V4" t="s">
        <v>777</v>
      </c>
      <c r="W4" t="s">
        <v>778</v>
      </c>
      <c r="X4" t="s">
        <v>779</v>
      </c>
    </row>
    <row r="5" spans="1:24" ht="15.75" customHeight="1" x14ac:dyDescent="0.25">
      <c r="A5" s="43" t="s">
        <v>748</v>
      </c>
      <c r="B5" s="45">
        <f>SUM(Ventes_TradeCo[CA_Net])</f>
        <v>1139661950</v>
      </c>
      <c r="C5" s="46"/>
      <c r="D5" s="42"/>
      <c r="E5" s="49" t="s">
        <v>762</v>
      </c>
      <c r="F5" s="49">
        <f>COUNT(Ventes_TradeCo[ID_Commande])</f>
        <v>2000</v>
      </c>
      <c r="H5" s="11" t="s">
        <v>119</v>
      </c>
      <c r="I5">
        <f>SUMIF(Ventes_TradeCo[Vendeur], "Rokhaya Cissé",Ventes_TradeCo[CA_Net])</f>
        <v>145036980</v>
      </c>
      <c r="J5">
        <f>COUNTIF(Ventes_TradeCo[Vendeur], "Rokhaya Cissé")</f>
        <v>223</v>
      </c>
      <c r="K5">
        <f>TABLEAU_2[[#This Row],[CA_Net_Total ]]/TABLEAU_2[[#This Row],[ Nb_Commandes ]]</f>
        <v>650390.04484304937</v>
      </c>
      <c r="L5">
        <f>RANK(I5,TABLEAU_2[CA_Net_Total ],0)</f>
        <v>1</v>
      </c>
      <c r="N5" s="31" t="s">
        <v>73</v>
      </c>
      <c r="O5">
        <f>SUMIF(Ventes_TradeCo[Région],N5,Ventes_TradeCo[CA_Net])</f>
        <v>262620540</v>
      </c>
      <c r="P5">
        <f>COUNTIF(Ventes_TradeCo[Région], N5)</f>
        <v>371</v>
      </c>
      <c r="Q5" s="50">
        <f>SUMIF(Ventes_TradeCo[Région],N5,Ventes_TradeCo[CA_Net])/SUM(Ventes_TradeCo[CA_Net])</f>
        <v>0.23043722746030085</v>
      </c>
      <c r="R5">
        <f>RANK(O5,$O$5:$O$9,0)</f>
        <v>1</v>
      </c>
      <c r="T5" s="31" t="s">
        <v>84</v>
      </c>
      <c r="U5">
        <f>SUMIF(Ventes_TradeCo[Catégorie], T5,Ventes_TradeCo[CA_Net])</f>
        <v>61509630</v>
      </c>
      <c r="V5">
        <f>SUMIF(Ventes_TradeCo[Catégorie], T5,Ventes_TradeCo[Quantité])</f>
        <v>10908</v>
      </c>
      <c r="W5">
        <f>Tableau_4[[#This Row],[CA_NET]]/Tableau_4[[#This Row],[Quantité_totale]]</f>
        <v>5638.9466446644665</v>
      </c>
      <c r="X5" s="50">
        <f>SUMIF(Ventes_TradeCo[Catégorie],T5,Ventes_TradeCo[CA_Net])/SUM(Ventes_TradeCo[CA_Net])</f>
        <v>5.3971820327949005E-2</v>
      </c>
    </row>
    <row r="6" spans="1:24" x14ac:dyDescent="0.25">
      <c r="A6" s="43" t="s">
        <v>749</v>
      </c>
      <c r="B6" s="43">
        <f>COUNTIF(Ventes_TradeCo[Statut_Commande],"Livré")</f>
        <v>1303</v>
      </c>
      <c r="C6" s="44"/>
      <c r="E6" t="s">
        <v>763</v>
      </c>
      <c r="F6">
        <f>COUNTIF(Ventes_TradeCo[Région],"Dakar")</f>
        <v>371</v>
      </c>
      <c r="H6" s="8" t="s">
        <v>114</v>
      </c>
      <c r="I6">
        <f>SUMIF(Ventes_TradeCo[Vendeur], "Cheikh Diop",Ventes_TradeCo[CA_Net])</f>
        <v>114857455</v>
      </c>
      <c r="J6">
        <f>COUNTIF(Ventes_TradeCo[Vendeur], "Cheikh Diop")</f>
        <v>205</v>
      </c>
      <c r="K6">
        <f>TABLEAU_2[[#This Row],[CA_Net_Total ]]/TABLEAU_2[[#This Row],[ Nb_Commandes ]]</f>
        <v>560280.26829268294</v>
      </c>
      <c r="L6">
        <f>RANK(I6,TABLEAU_2[CA_Net_Total ],0)</f>
        <v>2</v>
      </c>
      <c r="N6" s="31" t="s">
        <v>93</v>
      </c>
      <c r="O6">
        <f>SUMIF(Ventes_TradeCo[Région],N6,Ventes_TradeCo[CA_Net])</f>
        <v>237491675</v>
      </c>
      <c r="P6">
        <f>COUNTIF(Ventes_TradeCo[Région], N6)</f>
        <v>386</v>
      </c>
      <c r="Q6" s="50">
        <f>SUMIF(Ventes_TradeCo[Région],N6,Ventes_TradeCo[CA_Net])/SUM(Ventes_TradeCo[CA_Net])</f>
        <v>0.20838782500372149</v>
      </c>
      <c r="R6">
        <f>RANK(O6,$O$5:$O$9,0)</f>
        <v>2</v>
      </c>
      <c r="T6" s="30" t="s">
        <v>102</v>
      </c>
      <c r="U6">
        <f>SUMIF(Ventes_TradeCo[Catégorie], T6,Ventes_TradeCo[CA_Net])</f>
        <v>84003965</v>
      </c>
      <c r="V6">
        <f>SUMIF(Ventes_TradeCo[Catégorie], T6,Ventes_TradeCo[Quantité])</f>
        <v>10032</v>
      </c>
      <c r="W6">
        <f>Tableau_4[[#This Row],[CA_NET]]/Tableau_4[[#This Row],[Quantité_totale]]</f>
        <v>8373.6009768740023</v>
      </c>
      <c r="X6" s="50">
        <f>SUMIF(Ventes_TradeCo[Catégorie],T6,Ventes_TradeCo[CA_Net])/SUM(Ventes_TradeCo[CA_Net])</f>
        <v>7.3709546063198822E-2</v>
      </c>
    </row>
    <row r="7" spans="1:24" x14ac:dyDescent="0.25">
      <c r="A7" s="43" t="s">
        <v>750</v>
      </c>
      <c r="B7" s="43">
        <f>SUMIF(Ventes_TradeCo[Statut_Commande], "Livré", Ventes_TradeCo[CA_Net])</f>
        <v>737995665</v>
      </c>
      <c r="C7" s="44"/>
      <c r="E7" t="s">
        <v>764</v>
      </c>
      <c r="F7">
        <f>COUNTIF(Ventes_TradeCo[Statut_Commande],"Livré")</f>
        <v>1303</v>
      </c>
      <c r="H7" s="11" t="s">
        <v>88</v>
      </c>
      <c r="I7">
        <f>SUMIF(Ventes_TradeCo[Vendeur], "Mariama Traoré",Ventes_TradeCo[CA_Net])</f>
        <v>113672465</v>
      </c>
      <c r="J7">
        <f>COUNTIF(Ventes_TradeCo[Vendeur], "Mariama Traoré")</f>
        <v>191</v>
      </c>
      <c r="K7">
        <f>TABLEAU_2[[#This Row],[CA_Net_Total ]]/TABLEAU_2[[#This Row],[ Nb_Commandes ]]</f>
        <v>595143.79581151833</v>
      </c>
      <c r="L7">
        <f>RANK(I7,TABLEAU_2[CA_Net_Total ],0)</f>
        <v>3</v>
      </c>
      <c r="N7" s="31" t="s">
        <v>83</v>
      </c>
      <c r="O7">
        <f>SUMIF(Ventes_TradeCo[Région],N7,Ventes_TradeCo[CA_Net])</f>
        <v>211356405</v>
      </c>
      <c r="P7">
        <f>COUNTIF(Ventes_TradeCo[Région], N7)</f>
        <v>410</v>
      </c>
      <c r="Q7" s="50">
        <f>SUMIF(Ventes_TradeCo[Région],N7,Ventes_TradeCo[CA_Net])/SUM(Ventes_TradeCo[CA_Net])</f>
        <v>0.18545534928142507</v>
      </c>
      <c r="R7">
        <f>RANK(O7,$O$5:$O$9,0)</f>
        <v>3</v>
      </c>
      <c r="T7" s="30" t="s">
        <v>79</v>
      </c>
      <c r="U7">
        <f>SUMIF(Ventes_TradeCo[Catégorie], T7,Ventes_TradeCo[CA_Net])</f>
        <v>323926160</v>
      </c>
      <c r="V7">
        <f>SUMIF(Ventes_TradeCo[Catégorie], T7,Ventes_TradeCo[Quantité])</f>
        <v>10064</v>
      </c>
      <c r="W7">
        <f>Tableau_4[[#This Row],[CA_NET]]/Tableau_4[[#This Row],[Quantité_totale]]</f>
        <v>32186.62162162162</v>
      </c>
      <c r="X7" s="50">
        <f>SUMIF(Ventes_TradeCo[Catégorie],T7,Ventes_TradeCo[CA_Net])/SUM(Ventes_TradeCo[CA_Net])</f>
        <v>0.28423003856538337</v>
      </c>
    </row>
    <row r="8" spans="1:24" x14ac:dyDescent="0.25">
      <c r="A8" s="43" t="s">
        <v>751</v>
      </c>
      <c r="B8" s="47">
        <f>(B6/B4)</f>
        <v>0.65149999999999997</v>
      </c>
      <c r="C8" s="44"/>
      <c r="E8" t="s">
        <v>765</v>
      </c>
      <c r="F8">
        <f>COUNTIFS(Ventes_TradeCo[Région],"Dakar",Ventes_TradeCo[Statut_Commande],"Livré")</f>
        <v>244</v>
      </c>
      <c r="H8" s="11" t="s">
        <v>106</v>
      </c>
      <c r="I8">
        <f>SUMIF(Ventes_TradeCo[Vendeur], "Aïssatou Ba",Ventes_TradeCo[CA_Net])</f>
        <v>112381120</v>
      </c>
      <c r="J8">
        <f>COUNTIF(Ventes_TradeCo[Vendeur], "Aïssatou Ba")</f>
        <v>187</v>
      </c>
      <c r="K8">
        <f>TABLEAU_2[[#This Row],[CA_Net_Total ]]/TABLEAU_2[[#This Row],[ Nb_Commandes ]]</f>
        <v>600968.55614973267</v>
      </c>
      <c r="L8">
        <f>RANK(I8,TABLEAU_2[CA_Net_Total ],0)</f>
        <v>4</v>
      </c>
      <c r="N8" s="31" t="s">
        <v>109</v>
      </c>
      <c r="O8">
        <f>SUMIF(Ventes_TradeCo[Région],N8,Ventes_TradeCo[CA_Net])</f>
        <v>202374380</v>
      </c>
      <c r="P8">
        <f>COUNTIF(Ventes_TradeCo[Région], N8)</f>
        <v>411</v>
      </c>
      <c r="Q8" s="50">
        <f>SUMIF(Ventes_TradeCo[Région],N8,Ventes_TradeCo[CA_Net])/SUM(Ventes_TradeCo[CA_Net])</f>
        <v>0.17757404289930009</v>
      </c>
      <c r="R8">
        <f>RANK(O8,$O$5:$O$9,0)</f>
        <v>4</v>
      </c>
      <c r="T8" s="30" t="s">
        <v>74</v>
      </c>
      <c r="U8">
        <f>SUMIF(Ventes_TradeCo[Catégorie], T8,Ventes_TradeCo[CA_Net])</f>
        <v>161036695</v>
      </c>
      <c r="V8">
        <f>SUMIF(Ventes_TradeCo[Catégorie], T8,Ventes_TradeCo[Quantité])</f>
        <v>9958</v>
      </c>
      <c r="W8">
        <f>Tableau_4[[#This Row],[CA_NET]]/Tableau_4[[#This Row],[Quantité_totale]]</f>
        <v>16171.590178750754</v>
      </c>
      <c r="X8" s="50">
        <f>SUMIF(Ventes_TradeCo[Catégorie],T8,Ventes_TradeCo[CA_Net])/SUM(Ventes_TradeCo[CA_Net])</f>
        <v>0.14130215982028707</v>
      </c>
    </row>
    <row r="9" spans="1:24" x14ac:dyDescent="0.25">
      <c r="A9" s="43" t="s">
        <v>752</v>
      </c>
      <c r="B9" s="43">
        <f>COUNTIF(Ventes_TradeCo[Statut_Commande], "Annulé")</f>
        <v>162</v>
      </c>
      <c r="C9" s="44"/>
      <c r="E9" t="s">
        <v>766</v>
      </c>
      <c r="F9">
        <f>COUNTIF(Ventes_TradeCo[Année],2024)</f>
        <v>1039</v>
      </c>
      <c r="H9" s="8" t="s">
        <v>108</v>
      </c>
      <c r="I9">
        <f>SUMIF(Ventes_TradeCo[Vendeur], "Moussa Sow",Ventes_TradeCo[CA_Net])</f>
        <v>111121845</v>
      </c>
      <c r="J9">
        <f>COUNTIF(Ventes_TradeCo[Vendeur], "Moussa Sow")</f>
        <v>191</v>
      </c>
      <c r="K9">
        <f>TABLEAU_2[[#This Row],[CA_Net_Total ]]/TABLEAU_2[[#This Row],[ Nb_Commandes ]]</f>
        <v>581789.76439790579</v>
      </c>
      <c r="L9">
        <f>RANK(I9,TABLEAU_2[CA_Net_Total ],0)</f>
        <v>5</v>
      </c>
      <c r="N9" s="30" t="s">
        <v>117</v>
      </c>
      <c r="O9">
        <f>SUMIF(Ventes_TradeCo[Région],N9,Ventes_TradeCo[CA_Net])</f>
        <v>191595290</v>
      </c>
      <c r="P9">
        <f>COUNTIF(Ventes_TradeCo[Région], N9)</f>
        <v>375</v>
      </c>
      <c r="Q9" s="50">
        <f>SUMIF(Ventes_TradeCo[Région],N9,Ventes_TradeCo[CA_Net])/SUM(Ventes_TradeCo[CA_Net])</f>
        <v>0.16811589612165256</v>
      </c>
      <c r="R9">
        <f>RANK(O9,$O$5:$O$9,0)</f>
        <v>5</v>
      </c>
      <c r="T9" s="30" t="s">
        <v>111</v>
      </c>
      <c r="U9">
        <f>SUMIF(Ventes_TradeCo[Catégorie], T9,Ventes_TradeCo[CA_Net])</f>
        <v>509185500</v>
      </c>
      <c r="V9">
        <f>SUMIF(Ventes_TradeCo[Catégorie], T9,Ventes_TradeCo[Quantité])</f>
        <v>11114</v>
      </c>
      <c r="W9">
        <f>Tableau_4[[#This Row],[CA_NET]]/Tableau_4[[#This Row],[Quantité_totale]]</f>
        <v>45814.783156379344</v>
      </c>
      <c r="X9" s="50">
        <f>SUMIF(Ventes_TradeCo[Catégorie],T9,Ventes_TradeCo[CA_Net])/SUM(Ventes_TradeCo[CA_Net])</f>
        <v>0.44678643522318173</v>
      </c>
    </row>
    <row r="10" spans="1:24" x14ac:dyDescent="0.25">
      <c r="A10" s="43" t="s">
        <v>753</v>
      </c>
      <c r="B10" s="48">
        <f>SUMIF(Ventes_TradeCo[Statut_Commande], "Annulé",Ventes_TradeCo[CA_Net])</f>
        <v>105336445</v>
      </c>
      <c r="C10" s="44"/>
      <c r="E10" t="s">
        <v>767</v>
      </c>
      <c r="F10">
        <f>SUM(Ventes_TradeCo[CA_Net])</f>
        <v>1139661950</v>
      </c>
      <c r="H10" s="11" t="s">
        <v>124</v>
      </c>
      <c r="I10">
        <f>SUMIF(Ventes_TradeCo[Vendeur], "Adja Sarr",Ventes_TradeCo[CA_Net])</f>
        <v>110677790</v>
      </c>
      <c r="J10">
        <f>COUNTIF(Ventes_TradeCo[Vendeur], "Adja Sarr")</f>
        <v>217</v>
      </c>
      <c r="K10">
        <f>TABLEAU_2[[#This Row],[CA_Net_Total ]]/TABLEAU_2[[#This Row],[ Nb_Commandes ]]</f>
        <v>510035.8986175115</v>
      </c>
      <c r="L10">
        <f>RANK(I10,TABLEAU_2[CA_Net_Total ],0)</f>
        <v>6</v>
      </c>
      <c r="N10" s="34"/>
    </row>
    <row r="11" spans="1:24" x14ac:dyDescent="0.25">
      <c r="A11" s="43" t="s">
        <v>754</v>
      </c>
      <c r="B11" s="43">
        <f>COUNTIF(Ventes_TradeCo[Année], "2023")</f>
        <v>961</v>
      </c>
      <c r="C11" s="43">
        <f>COUNTIF(Ventes_TradeCo[Année],"2024")</f>
        <v>1039</v>
      </c>
      <c r="E11" t="s">
        <v>768</v>
      </c>
      <c r="F11">
        <f>SUMIF(Ventes_TradeCo[Région],"Dakar",Ventes_TradeCo[CA_Net])</f>
        <v>262620540</v>
      </c>
      <c r="H11" s="11" t="s">
        <v>78</v>
      </c>
      <c r="I11">
        <f>SUMIF(Ventes_TradeCo[Vendeur], "Amadou Diallo",Ventes_TradeCo[CA_Net])</f>
        <v>108239840</v>
      </c>
      <c r="J11">
        <f>COUNTIF(Ventes_TradeCo[Vendeur], "Amadou Diallo")</f>
        <v>166</v>
      </c>
      <c r="K11">
        <f>TABLEAU_2[[#This Row],[CA_Net_Total ]]/TABLEAU_2[[#This Row],[ Nb_Commandes ]]</f>
        <v>652047.22891566262</v>
      </c>
      <c r="L11">
        <f>RANK(I11,TABLEAU_2[CA_Net_Total ],0)</f>
        <v>7</v>
      </c>
    </row>
    <row r="12" spans="1:24" x14ac:dyDescent="0.25">
      <c r="A12" s="43" t="s">
        <v>755</v>
      </c>
      <c r="B12" s="43">
        <f>SUMIF(Ventes_TradeCo[Année], "2023",Ventes_TradeCo[CA_Net])</f>
        <v>565175420</v>
      </c>
      <c r="C12" s="43">
        <f>SUMIF(Ventes_TradeCo[Année], "2024",Ventes_TradeCo[CA_Net])</f>
        <v>574486530</v>
      </c>
      <c r="E12" t="s">
        <v>769</v>
      </c>
      <c r="F12">
        <f>SUMIF(Ventes_TradeCo[Statut_Commande],"Livré",Ventes_TradeCo[CA_Net])</f>
        <v>737995665</v>
      </c>
      <c r="H12" s="11" t="s">
        <v>82</v>
      </c>
      <c r="I12">
        <f>SUMIF(Ventes_TradeCo[Vendeur], "Ousmane Kane",Ventes_TradeCo[CA_Net])</f>
        <v>108086075</v>
      </c>
      <c r="J12">
        <f>COUNTIF(Ventes_TradeCo[Vendeur], "Ousmane Kane")</f>
        <v>218</v>
      </c>
      <c r="K12">
        <f>TABLEAU_2[[#This Row],[CA_Net_Total ]]/TABLEAU_2[[#This Row],[ Nb_Commandes ]]</f>
        <v>495807.68348623853</v>
      </c>
      <c r="L12">
        <f>RANK(I12,TABLEAU_2[CA_Net_Total ],0)</f>
        <v>8</v>
      </c>
    </row>
    <row r="13" spans="1:24" x14ac:dyDescent="0.25">
      <c r="A13" s="48" t="s">
        <v>756</v>
      </c>
      <c r="B13" s="51">
        <f>(C12-B12)/B12</f>
        <v>1.6474725670129108E-2</v>
      </c>
      <c r="C13" s="44"/>
      <c r="E13" t="s">
        <v>770</v>
      </c>
      <c r="F13">
        <f>SUMIF(Ventes_TradeCo[Vendeur],"Amadou Diallo",Ventes_TradeCo[CA_Net])</f>
        <v>108239840</v>
      </c>
      <c r="H13" s="8" t="s">
        <v>101</v>
      </c>
      <c r="I13">
        <f>SUMIF(Ventes_TradeCo[Vendeur], "Ibrahima Fall",Ventes_TradeCo[CA_Net])</f>
        <v>108000090</v>
      </c>
      <c r="J13">
        <f>COUNTIF(Ventes_TradeCo[Vendeur], "Ibrahima Fall")</f>
        <v>210</v>
      </c>
      <c r="K13">
        <f>TABLEAU_2[[#This Row],[CA_Net_Total ]]/TABLEAU_2[[#This Row],[ Nb_Commandes ]]</f>
        <v>514286.14285714284</v>
      </c>
      <c r="L13">
        <f>RANK(I13,TABLEAU_2[CA_Net_Total ],0)</f>
        <v>9</v>
      </c>
    </row>
    <row r="14" spans="1:24" x14ac:dyDescent="0.25">
      <c r="E14" t="s">
        <v>771</v>
      </c>
      <c r="F14">
        <f>SUMIFS(Ventes_TradeCo[CA_Net],Ventes_TradeCo[Catégorie],"Électronique",Ventes_TradeCo[Année],2024)</f>
        <v>156988825</v>
      </c>
      <c r="H14" s="8" t="s">
        <v>97</v>
      </c>
      <c r="I14">
        <f>SUMIF(Ventes_TradeCo[Vendeur], "Fatou Ndiaye",Ventes_TradeCo[CA_Net])</f>
        <v>107588290</v>
      </c>
      <c r="J14">
        <f>COUNTIF(Ventes_TradeCo[Vendeur], "Fatou Ndiaye")</f>
        <v>192</v>
      </c>
      <c r="K14">
        <f>TABLEAU_2[[#This Row],[CA_Net_Total ]]/TABLEAU_2[[#This Row],[ Nb_Commandes ]]</f>
        <v>560355.67708333337</v>
      </c>
      <c r="L14">
        <f>RANK(I14,TABLEAU_2[CA_Net_Total ],0)</f>
        <v>10</v>
      </c>
    </row>
    <row r="17" spans="8:9" x14ac:dyDescent="0.25">
      <c r="H17" s="70" t="s">
        <v>49</v>
      </c>
      <c r="I17" s="70" t="s">
        <v>757</v>
      </c>
    </row>
    <row r="18" spans="8:9" x14ac:dyDescent="0.25">
      <c r="H18" s="67" t="s">
        <v>119</v>
      </c>
      <c r="I18" s="68">
        <f>SUMIF(Ventes_TradeCo[Vendeur], "Rokhaya Cissé",Ventes_TradeCo[CA_Net])</f>
        <v>145036980</v>
      </c>
    </row>
    <row r="19" spans="8:9" x14ac:dyDescent="0.25">
      <c r="H19" s="67" t="s">
        <v>114</v>
      </c>
      <c r="I19" s="69">
        <f>SUMIF(Ventes_TradeCo[Vendeur], "Cheikh Diop",Ventes_TradeCo[CA_Net])</f>
        <v>114857455</v>
      </c>
    </row>
    <row r="20" spans="8:9" x14ac:dyDescent="0.25">
      <c r="H20" s="67" t="s">
        <v>88</v>
      </c>
      <c r="I20" s="68">
        <f>SUMIF(Ventes_TradeCo[Vendeur], "Mariama Traoré",Ventes_TradeCo[CA_Net])</f>
        <v>113672465</v>
      </c>
    </row>
    <row r="21" spans="8:9" x14ac:dyDescent="0.25">
      <c r="H21" s="67" t="s">
        <v>106</v>
      </c>
      <c r="I21" s="69">
        <f>SUMIF(Ventes_TradeCo[Vendeur], "Aïssatou Ba",Ventes_TradeCo[CA_Net])</f>
        <v>112381120</v>
      </c>
    </row>
    <row r="22" spans="8:9" x14ac:dyDescent="0.25">
      <c r="H22" s="67" t="s">
        <v>108</v>
      </c>
      <c r="I22" s="68">
        <f>SUMIF(Ventes_TradeCo[Vendeur], "Moussa Sow",Ventes_TradeCo[CA_Net])</f>
        <v>111121845</v>
      </c>
    </row>
    <row r="23" spans="8:9" x14ac:dyDescent="0.25">
      <c r="H23" s="67" t="s">
        <v>124</v>
      </c>
      <c r="I23" s="69">
        <f>SUMIF(Ventes_TradeCo[Vendeur], "Adja Sarr",Ventes_TradeCo[CA_Net])</f>
        <v>110677790</v>
      </c>
    </row>
    <row r="24" spans="8:9" x14ac:dyDescent="0.25">
      <c r="H24" s="67" t="s">
        <v>78</v>
      </c>
      <c r="I24" s="68">
        <f>SUMIF(Ventes_TradeCo[Vendeur], "Amadou Diallo",Ventes_TradeCo[CA_Net])</f>
        <v>108239840</v>
      </c>
    </row>
    <row r="25" spans="8:9" x14ac:dyDescent="0.25">
      <c r="H25" s="67" t="s">
        <v>82</v>
      </c>
      <c r="I25" s="69">
        <f>SUMIF(Ventes_TradeCo[Vendeur], "Ousmane Kane",Ventes_TradeCo[CA_Net])</f>
        <v>108086075</v>
      </c>
    </row>
    <row r="26" spans="8:9" x14ac:dyDescent="0.25">
      <c r="H26" s="67" t="s">
        <v>101</v>
      </c>
      <c r="I26" s="68">
        <f>SUMIF(Ventes_TradeCo[Vendeur], "Ibrahima Fall",Ventes_TradeCo[CA_Net])</f>
        <v>108000090</v>
      </c>
    </row>
    <row r="27" spans="8:9" x14ac:dyDescent="0.25">
      <c r="H27" s="67" t="s">
        <v>97</v>
      </c>
      <c r="I27" s="69">
        <f>SUMIF(Ventes_TradeCo[Vendeur], "Fatou Ndiaye",Ventes_TradeCo[CA_Net])</f>
        <v>107588290</v>
      </c>
    </row>
  </sheetData>
  <mergeCells count="5">
    <mergeCell ref="A1:P1"/>
    <mergeCell ref="E3:F3"/>
    <mergeCell ref="H3:L3"/>
    <mergeCell ref="N3:R3"/>
    <mergeCell ref="T3:X3"/>
  </mergeCells>
  <conditionalFormatting sqref="I5:I1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{2678DE62-5C0C-41B3-BB75-52E9D181B2CA}</x14:id>
        </ext>
      </extLst>
    </cfRule>
    <cfRule type="cellIs" dxfId="2" priority="6" operator="greaterThan">
      <formula>110000000</formula>
    </cfRule>
  </conditionalFormatting>
  <conditionalFormatting sqref="O5:O9">
    <cfRule type="cellIs" dxfId="1" priority="5" operator="greaterThan">
      <formula>227107915</formula>
    </cfRule>
  </conditionalFormatting>
  <conditionalFormatting sqref="U5:U9">
    <cfRule type="cellIs" dxfId="0" priority="4" operator="greaterThan">
      <formula>285347565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5">
    <tablePart r:id="rId2"/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78DE62-5C0C-41B3-BB75-52E9D181B2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I5:I14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1B9A"/>
  </sheetPr>
  <dimension ref="B2:F4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70" customWidth="1"/>
  </cols>
  <sheetData>
    <row r="2" spans="2:6" ht="49.5" customHeight="1" x14ac:dyDescent="0.25">
      <c r="B2" s="82" t="s">
        <v>657</v>
      </c>
      <c r="C2" s="82"/>
      <c r="D2" s="82"/>
      <c r="E2" s="82"/>
      <c r="F2" s="82"/>
    </row>
    <row r="4" spans="2:6" ht="30" customHeight="1" x14ac:dyDescent="0.25">
      <c r="B4" s="83" t="s">
        <v>658</v>
      </c>
      <c r="C4" s="83"/>
      <c r="D4" s="83"/>
      <c r="E4" s="83"/>
      <c r="F4" s="83"/>
    </row>
  </sheetData>
  <mergeCells count="2">
    <mergeCell ref="B2:F2"/>
    <mergeCell ref="B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D1457"/>
  </sheetPr>
  <dimension ref="B2:CV37"/>
  <sheetViews>
    <sheetView showGridLines="0" topLeftCell="B1" zoomScale="35" zoomScaleNormal="100" workbookViewId="0">
      <selection activeCell="BE40" sqref="BE40"/>
    </sheetView>
  </sheetViews>
  <sheetFormatPr baseColWidth="10" defaultColWidth="8.7109375" defaultRowHeight="15" x14ac:dyDescent="0.25"/>
  <cols>
    <col min="1" max="1" width="3" customWidth="1"/>
    <col min="2" max="2" width="97.5703125" customWidth="1"/>
    <col min="13" max="13" width="86.42578125" customWidth="1"/>
  </cols>
  <sheetData>
    <row r="2" spans="2:6" ht="49.5" customHeight="1" x14ac:dyDescent="0.25">
      <c r="B2" s="82" t="s">
        <v>659</v>
      </c>
      <c r="C2" s="82"/>
      <c r="D2" s="82"/>
      <c r="E2" s="82"/>
      <c r="F2" s="82"/>
    </row>
    <row r="4" spans="2:6" ht="30" customHeight="1" x14ac:dyDescent="0.25">
      <c r="B4" s="83" t="s">
        <v>660</v>
      </c>
      <c r="C4" s="83"/>
      <c r="D4" s="83"/>
      <c r="E4" s="83"/>
      <c r="F4" s="83"/>
    </row>
    <row r="30" spans="13:100" ht="23.25" x14ac:dyDescent="0.25">
      <c r="CO30" s="89" t="s">
        <v>825</v>
      </c>
      <c r="CP30" s="89"/>
      <c r="CQ30" s="89"/>
      <c r="CR30" s="89"/>
      <c r="CS30" s="89"/>
      <c r="CT30" s="89"/>
      <c r="CU30" s="89"/>
      <c r="CV30" s="89"/>
    </row>
    <row r="32" spans="13:100" ht="23.25" customHeight="1" x14ac:dyDescent="0.25">
      <c r="M32" s="89" t="s">
        <v>821</v>
      </c>
      <c r="N32" s="89"/>
      <c r="O32" s="89"/>
      <c r="P32" s="89"/>
      <c r="Q32" s="89"/>
      <c r="R32" s="89"/>
      <c r="S32" s="89"/>
      <c r="T32" s="89"/>
      <c r="U32" s="89"/>
      <c r="V32" s="89"/>
      <c r="W32" s="89"/>
    </row>
    <row r="33" spans="2:90" ht="23.25" x14ac:dyDescent="0.25">
      <c r="B33" s="71" t="s">
        <v>820</v>
      </c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BL33" s="90" t="s">
        <v>824</v>
      </c>
      <c r="BM33" s="90"/>
      <c r="BN33" s="90"/>
      <c r="BO33" s="90"/>
      <c r="BP33" s="90"/>
      <c r="BQ33" s="90"/>
      <c r="BR33" s="90"/>
      <c r="BS33" s="90"/>
      <c r="BT33" s="90"/>
      <c r="BU33" s="90"/>
      <c r="BV33" s="90"/>
      <c r="BW33" s="90"/>
      <c r="BX33" s="90"/>
      <c r="BY33" s="90"/>
      <c r="BZ33" s="90"/>
      <c r="CA33" s="90"/>
      <c r="CB33" s="90"/>
      <c r="CC33" s="90"/>
      <c r="CD33" s="90"/>
      <c r="CE33" s="90"/>
      <c r="CF33" s="90"/>
      <c r="CG33" s="90"/>
      <c r="CH33" s="90"/>
      <c r="CI33" s="90"/>
      <c r="CJ33" s="90"/>
      <c r="CK33" s="90"/>
      <c r="CL33" s="90"/>
    </row>
    <row r="34" spans="2:90" ht="23.25" x14ac:dyDescent="0.25">
      <c r="AS34" s="89" t="s">
        <v>823</v>
      </c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L34" s="90"/>
      <c r="BM34" s="90"/>
      <c r="BN34" s="90"/>
      <c r="BO34" s="90"/>
      <c r="BP34" s="90"/>
      <c r="BQ34" s="90"/>
      <c r="BR34" s="90"/>
      <c r="BS34" s="90"/>
      <c r="BT34" s="90"/>
      <c r="BU34" s="90"/>
      <c r="BV34" s="90"/>
      <c r="BW34" s="90"/>
      <c r="BX34" s="90"/>
      <c r="BY34" s="90"/>
      <c r="BZ34" s="90"/>
      <c r="CA34" s="90"/>
      <c r="CB34" s="90"/>
      <c r="CC34" s="90"/>
      <c r="CD34" s="90"/>
      <c r="CE34" s="90"/>
      <c r="CF34" s="90"/>
      <c r="CG34" s="90"/>
      <c r="CH34" s="90"/>
      <c r="CI34" s="90"/>
      <c r="CJ34" s="90"/>
      <c r="CK34" s="90"/>
      <c r="CL34" s="90"/>
    </row>
    <row r="36" spans="2:90" x14ac:dyDescent="0.25">
      <c r="AA36" s="89" t="s">
        <v>822</v>
      </c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</row>
    <row r="37" spans="2:90" x14ac:dyDescent="0.25"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</row>
  </sheetData>
  <mergeCells count="7">
    <mergeCell ref="AA36:AM37"/>
    <mergeCell ref="AS34:BD34"/>
    <mergeCell ref="BL33:CL34"/>
    <mergeCell ref="CO30:CV30"/>
    <mergeCell ref="B2:F2"/>
    <mergeCell ref="B4:F4"/>
    <mergeCell ref="M32:W3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B146-6586-4331-A390-E3BB36532863}">
  <dimension ref="A3:AN50"/>
  <sheetViews>
    <sheetView topLeftCell="K1" zoomScale="73" workbookViewId="0">
      <selection activeCell="U5" sqref="U5"/>
    </sheetView>
  </sheetViews>
  <sheetFormatPr baseColWidth="10" defaultRowHeight="15" x14ac:dyDescent="0.25"/>
  <cols>
    <col min="1" max="1" width="15" bestFit="1" customWidth="1"/>
    <col min="2" max="3" width="18.140625" bestFit="1" customWidth="1"/>
    <col min="4" max="4" width="18.42578125" bestFit="1" customWidth="1"/>
    <col min="5" max="5" width="15" bestFit="1" customWidth="1"/>
    <col min="6" max="6" width="18.140625" bestFit="1" customWidth="1"/>
    <col min="7" max="7" width="25.5703125" bestFit="1" customWidth="1"/>
    <col min="8" max="8" width="16.140625" bestFit="1" customWidth="1"/>
    <col min="9" max="9" width="18.140625" bestFit="1" customWidth="1"/>
    <col min="10" max="10" width="25.5703125" bestFit="1" customWidth="1"/>
    <col min="11" max="11" width="25.7109375" customWidth="1"/>
    <col min="13" max="13" width="13" bestFit="1" customWidth="1"/>
    <col min="14" max="14" width="18.140625" bestFit="1" customWidth="1"/>
    <col min="15" max="17" width="11.85546875" bestFit="1" customWidth="1"/>
    <col min="18" max="18" width="13" bestFit="1" customWidth="1"/>
    <col min="19" max="19" width="25.5703125" bestFit="1" customWidth="1"/>
    <col min="20" max="20" width="23.85546875" bestFit="1" customWidth="1"/>
    <col min="21" max="21" width="25.5703125" bestFit="1" customWidth="1"/>
    <col min="22" max="22" width="18.140625" bestFit="1" customWidth="1"/>
    <col min="24" max="25" width="18.140625" bestFit="1" customWidth="1"/>
    <col min="26" max="26" width="29.140625" bestFit="1" customWidth="1"/>
    <col min="28" max="28" width="25.5703125" bestFit="1" customWidth="1"/>
    <col min="29" max="29" width="18.140625" bestFit="1" customWidth="1"/>
    <col min="31" max="31" width="21.85546875" bestFit="1" customWidth="1"/>
    <col min="32" max="32" width="64.42578125" customWidth="1"/>
    <col min="42" max="42" width="13" bestFit="1" customWidth="1"/>
    <col min="43" max="43" width="25.7109375" bestFit="1" customWidth="1"/>
    <col min="44" max="44" width="5.85546875" bestFit="1" customWidth="1"/>
    <col min="45" max="45" width="13" bestFit="1" customWidth="1"/>
    <col min="46" max="46" width="4.5703125" bestFit="1" customWidth="1"/>
    <col min="47" max="47" width="13" bestFit="1" customWidth="1"/>
  </cols>
  <sheetData>
    <row r="3" spans="1:40" ht="18.75" x14ac:dyDescent="0.3">
      <c r="A3" s="55" t="s">
        <v>786</v>
      </c>
      <c r="B3" t="s">
        <v>785</v>
      </c>
      <c r="C3" t="s">
        <v>787</v>
      </c>
      <c r="E3" s="55" t="s">
        <v>788</v>
      </c>
      <c r="F3" t="s">
        <v>785</v>
      </c>
      <c r="H3" s="55" t="s">
        <v>788</v>
      </c>
      <c r="I3" t="s">
        <v>785</v>
      </c>
      <c r="J3" t="s">
        <v>787</v>
      </c>
      <c r="K3" s="61" t="s">
        <v>798</v>
      </c>
      <c r="M3" s="55" t="s">
        <v>785</v>
      </c>
      <c r="N3" s="55" t="s">
        <v>790</v>
      </c>
      <c r="T3" s="55" t="s">
        <v>791</v>
      </c>
      <c r="U3" t="s">
        <v>787</v>
      </c>
      <c r="V3" t="s">
        <v>785</v>
      </c>
      <c r="X3" s="55" t="s">
        <v>792</v>
      </c>
      <c r="Y3" t="s">
        <v>785</v>
      </c>
      <c r="Z3" t="s">
        <v>793</v>
      </c>
      <c r="AB3" s="55" t="s">
        <v>794</v>
      </c>
      <c r="AC3" t="s">
        <v>785</v>
      </c>
      <c r="AE3" s="72" t="s">
        <v>795</v>
      </c>
      <c r="AF3" s="73"/>
    </row>
    <row r="4" spans="1:40" ht="18.75" x14ac:dyDescent="0.3">
      <c r="A4" s="56" t="s">
        <v>73</v>
      </c>
      <c r="B4" s="57">
        <v>262620540</v>
      </c>
      <c r="C4" s="57">
        <v>371</v>
      </c>
      <c r="E4" s="56" t="s">
        <v>119</v>
      </c>
      <c r="F4" s="57">
        <v>145036980</v>
      </c>
      <c r="H4" s="56" t="s">
        <v>119</v>
      </c>
      <c r="I4" s="57">
        <v>145036980</v>
      </c>
      <c r="J4" s="57">
        <v>223</v>
      </c>
      <c r="K4" s="59">
        <f>I4/J4</f>
        <v>650390.04484304937</v>
      </c>
      <c r="M4" s="55" t="s">
        <v>789</v>
      </c>
      <c r="N4" t="s">
        <v>735</v>
      </c>
      <c r="O4" t="s">
        <v>736</v>
      </c>
      <c r="P4" t="s">
        <v>734</v>
      </c>
      <c r="Q4" t="s">
        <v>733</v>
      </c>
      <c r="R4" t="s">
        <v>784</v>
      </c>
      <c r="T4" s="56" t="s">
        <v>107</v>
      </c>
      <c r="U4" s="57">
        <v>162</v>
      </c>
      <c r="V4" s="58">
        <v>9.242779843619417E-2</v>
      </c>
      <c r="X4" s="56" t="s">
        <v>91</v>
      </c>
      <c r="Y4" s="57">
        <v>252074895</v>
      </c>
      <c r="Z4" s="57">
        <v>472</v>
      </c>
      <c r="AB4" s="56" t="s">
        <v>135</v>
      </c>
      <c r="AC4" s="57">
        <v>178057655</v>
      </c>
      <c r="AD4" s="65"/>
      <c r="AE4" s="66"/>
      <c r="AF4" s="66"/>
      <c r="AG4" s="64"/>
    </row>
    <row r="5" spans="1:40" ht="18.75" x14ac:dyDescent="0.3">
      <c r="A5" s="56" t="s">
        <v>93</v>
      </c>
      <c r="B5" s="57">
        <v>237491675</v>
      </c>
      <c r="C5" s="57">
        <v>386</v>
      </c>
      <c r="E5" s="56" t="s">
        <v>114</v>
      </c>
      <c r="F5" s="57">
        <v>114857455</v>
      </c>
      <c r="H5" s="56" t="s">
        <v>114</v>
      </c>
      <c r="I5" s="57">
        <v>114857455</v>
      </c>
      <c r="J5" s="57">
        <v>205</v>
      </c>
      <c r="K5" s="59">
        <f t="shared" ref="K5:K13" si="0">I5/J5</f>
        <v>560280.26829268294</v>
      </c>
      <c r="M5" s="56" t="s">
        <v>84</v>
      </c>
      <c r="N5" s="57">
        <v>15262660</v>
      </c>
      <c r="O5" s="57">
        <v>16886870</v>
      </c>
      <c r="P5" s="57">
        <v>13711780</v>
      </c>
      <c r="Q5" s="57">
        <v>15648320</v>
      </c>
      <c r="R5" s="57">
        <v>61509630</v>
      </c>
      <c r="T5" s="56" t="s">
        <v>123</v>
      </c>
      <c r="U5" s="57">
        <v>157</v>
      </c>
      <c r="V5" s="58">
        <v>7.5235682826824218E-2</v>
      </c>
      <c r="X5" s="56" t="s">
        <v>77</v>
      </c>
      <c r="Y5" s="57">
        <v>294937015</v>
      </c>
      <c r="Z5" s="57">
        <v>499</v>
      </c>
      <c r="AB5" s="56" t="s">
        <v>131</v>
      </c>
      <c r="AC5" s="57">
        <v>163318870</v>
      </c>
      <c r="AE5" s="63" t="s">
        <v>796</v>
      </c>
      <c r="AF5" s="63"/>
    </row>
    <row r="6" spans="1:40" ht="18.75" x14ac:dyDescent="0.3">
      <c r="A6" s="56" t="s">
        <v>703</v>
      </c>
      <c r="B6" s="57">
        <v>34223660</v>
      </c>
      <c r="C6" s="57">
        <v>47</v>
      </c>
      <c r="E6" s="56" t="s">
        <v>88</v>
      </c>
      <c r="F6" s="57">
        <v>113672465</v>
      </c>
      <c r="H6" s="56" t="s">
        <v>88</v>
      </c>
      <c r="I6" s="57">
        <v>113672465</v>
      </c>
      <c r="J6" s="57">
        <v>191</v>
      </c>
      <c r="K6" s="59">
        <f t="shared" si="0"/>
        <v>595143.79581151833</v>
      </c>
      <c r="M6" s="56" t="s">
        <v>102</v>
      </c>
      <c r="N6" s="57">
        <v>14835515</v>
      </c>
      <c r="O6" s="57">
        <v>22946470</v>
      </c>
      <c r="P6" s="57">
        <v>19974915</v>
      </c>
      <c r="Q6" s="57">
        <v>26247065</v>
      </c>
      <c r="R6" s="57">
        <v>84003965</v>
      </c>
      <c r="T6" s="56" t="s">
        <v>187</v>
      </c>
      <c r="U6" s="57">
        <v>378</v>
      </c>
      <c r="V6" s="58">
        <v>0.18477987705038323</v>
      </c>
      <c r="X6" s="56" t="s">
        <v>81</v>
      </c>
      <c r="Y6" s="57">
        <v>289584360</v>
      </c>
      <c r="Z6" s="57">
        <v>481</v>
      </c>
      <c r="AB6" s="56" t="s">
        <v>112</v>
      </c>
      <c r="AC6" s="57">
        <v>102463025</v>
      </c>
      <c r="AE6" s="63" t="s">
        <v>797</v>
      </c>
      <c r="AF6" s="63"/>
    </row>
    <row r="7" spans="1:40" ht="18.75" x14ac:dyDescent="0.3">
      <c r="A7" s="56" t="s">
        <v>83</v>
      </c>
      <c r="B7" s="57">
        <v>211356405</v>
      </c>
      <c r="C7" s="57">
        <v>410</v>
      </c>
      <c r="E7" s="56" t="s">
        <v>106</v>
      </c>
      <c r="F7" s="57">
        <v>112381120</v>
      </c>
      <c r="H7" s="56" t="s">
        <v>106</v>
      </c>
      <c r="I7" s="57">
        <v>112381120</v>
      </c>
      <c r="J7" s="57">
        <v>187</v>
      </c>
      <c r="K7" s="59">
        <f t="shared" si="0"/>
        <v>600968.55614973267</v>
      </c>
      <c r="M7" s="56" t="s">
        <v>79</v>
      </c>
      <c r="N7" s="57">
        <v>76495590</v>
      </c>
      <c r="O7" s="57">
        <v>73842110</v>
      </c>
      <c r="P7" s="57">
        <v>89021620</v>
      </c>
      <c r="Q7" s="57">
        <v>84566840</v>
      </c>
      <c r="R7" s="57">
        <v>323926160</v>
      </c>
      <c r="T7" s="56" t="s">
        <v>76</v>
      </c>
      <c r="U7" s="57">
        <v>1303</v>
      </c>
      <c r="V7" s="58">
        <v>0.64755664168659843</v>
      </c>
      <c r="X7" s="56" t="s">
        <v>695</v>
      </c>
      <c r="Y7" s="57">
        <v>27243885</v>
      </c>
      <c r="Z7" s="57">
        <v>56</v>
      </c>
      <c r="AB7" s="56" t="s">
        <v>192</v>
      </c>
      <c r="AC7" s="57">
        <v>90619170</v>
      </c>
      <c r="AE7" s="63" t="s">
        <v>799</v>
      </c>
      <c r="AF7" s="63"/>
    </row>
    <row r="8" spans="1:40" x14ac:dyDescent="0.25">
      <c r="A8" s="56" t="s">
        <v>109</v>
      </c>
      <c r="B8" s="57">
        <v>202374380</v>
      </c>
      <c r="C8" s="57">
        <v>411</v>
      </c>
      <c r="E8" s="56" t="s">
        <v>108</v>
      </c>
      <c r="F8" s="57">
        <v>111121845</v>
      </c>
      <c r="H8" s="56" t="s">
        <v>108</v>
      </c>
      <c r="I8" s="57">
        <v>111121845</v>
      </c>
      <c r="J8" s="57">
        <v>191</v>
      </c>
      <c r="K8" s="59">
        <f t="shared" si="0"/>
        <v>581789.76439790579</v>
      </c>
      <c r="M8" s="56" t="s">
        <v>74</v>
      </c>
      <c r="N8" s="57">
        <v>51874245</v>
      </c>
      <c r="O8" s="57">
        <v>32308360</v>
      </c>
      <c r="P8" s="57">
        <v>29534170</v>
      </c>
      <c r="Q8" s="57">
        <v>47319920</v>
      </c>
      <c r="R8" s="57">
        <v>161036695</v>
      </c>
      <c r="T8" s="56" t="s">
        <v>784</v>
      </c>
      <c r="U8" s="57">
        <v>2000</v>
      </c>
      <c r="V8" s="58">
        <v>1</v>
      </c>
      <c r="X8" s="56" t="s">
        <v>96</v>
      </c>
      <c r="Y8" s="57">
        <v>275821795</v>
      </c>
      <c r="Z8" s="57">
        <v>492</v>
      </c>
      <c r="AB8" s="56" t="s">
        <v>136</v>
      </c>
      <c r="AC8" s="57">
        <v>74393085</v>
      </c>
      <c r="AE8" s="62"/>
      <c r="AF8" s="62"/>
    </row>
    <row r="9" spans="1:40" x14ac:dyDescent="0.25">
      <c r="A9" s="56" t="s">
        <v>117</v>
      </c>
      <c r="B9" s="57">
        <v>191595290</v>
      </c>
      <c r="C9" s="57">
        <v>375</v>
      </c>
      <c r="E9" s="56" t="s">
        <v>124</v>
      </c>
      <c r="F9" s="57">
        <v>110677790</v>
      </c>
      <c r="H9" s="56" t="s">
        <v>124</v>
      </c>
      <c r="I9" s="57">
        <v>110677790</v>
      </c>
      <c r="J9" s="57">
        <v>217</v>
      </c>
      <c r="K9" s="59">
        <f t="shared" si="0"/>
        <v>510035.8986175115</v>
      </c>
      <c r="M9" s="56" t="s">
        <v>111</v>
      </c>
      <c r="N9" s="57">
        <v>120219570</v>
      </c>
      <c r="O9" s="57">
        <v>121541515</v>
      </c>
      <c r="P9" s="57">
        <v>116217575</v>
      </c>
      <c r="Q9" s="57">
        <v>151206840</v>
      </c>
      <c r="R9" s="57">
        <v>509185500</v>
      </c>
      <c r="X9" s="56" t="s">
        <v>784</v>
      </c>
      <c r="Y9" s="57">
        <v>1139661950</v>
      </c>
      <c r="Z9" s="57">
        <v>2000</v>
      </c>
      <c r="AB9" s="56" t="s">
        <v>94</v>
      </c>
      <c r="AC9" s="57">
        <v>48330850</v>
      </c>
      <c r="AE9" s="62"/>
      <c r="AF9" s="62"/>
    </row>
    <row r="10" spans="1:40" x14ac:dyDescent="0.25">
      <c r="A10" s="56" t="s">
        <v>784</v>
      </c>
      <c r="B10" s="57">
        <v>1139661950</v>
      </c>
      <c r="C10" s="57">
        <v>2000</v>
      </c>
      <c r="E10" s="56" t="s">
        <v>78</v>
      </c>
      <c r="F10" s="57">
        <v>108239840</v>
      </c>
      <c r="H10" s="56" t="s">
        <v>78</v>
      </c>
      <c r="I10" s="57">
        <v>108239840</v>
      </c>
      <c r="J10" s="57">
        <v>166</v>
      </c>
      <c r="K10" s="59">
        <f t="shared" si="0"/>
        <v>652047.22891566262</v>
      </c>
      <c r="M10" s="56" t="s">
        <v>784</v>
      </c>
      <c r="N10" s="57">
        <v>278687580</v>
      </c>
      <c r="O10" s="57">
        <v>267525325</v>
      </c>
      <c r="P10" s="57">
        <v>268460060</v>
      </c>
      <c r="Q10" s="57">
        <v>324988985</v>
      </c>
      <c r="R10" s="57">
        <v>1139661950</v>
      </c>
      <c r="AB10" s="56" t="s">
        <v>156</v>
      </c>
      <c r="AC10" s="57">
        <v>47147895</v>
      </c>
    </row>
    <row r="11" spans="1:40" x14ac:dyDescent="0.25">
      <c r="E11" s="56" t="s">
        <v>82</v>
      </c>
      <c r="F11" s="57">
        <v>108086075</v>
      </c>
      <c r="H11" s="56" t="s">
        <v>82</v>
      </c>
      <c r="I11" s="57">
        <v>108086075</v>
      </c>
      <c r="J11" s="57">
        <v>218</v>
      </c>
      <c r="K11" s="59">
        <f t="shared" si="0"/>
        <v>495807.68348623853</v>
      </c>
      <c r="AB11" s="56" t="s">
        <v>166</v>
      </c>
      <c r="AC11" s="57">
        <v>42099110</v>
      </c>
    </row>
    <row r="12" spans="1:40" x14ac:dyDescent="0.25">
      <c r="E12" s="56" t="s">
        <v>101</v>
      </c>
      <c r="F12" s="57">
        <v>108000090</v>
      </c>
      <c r="H12" s="56" t="s">
        <v>101</v>
      </c>
      <c r="I12" s="57">
        <v>108000090</v>
      </c>
      <c r="J12" s="57">
        <v>210</v>
      </c>
      <c r="K12" s="59">
        <f t="shared" si="0"/>
        <v>514286.14285714284</v>
      </c>
      <c r="AB12" s="56" t="s">
        <v>172</v>
      </c>
      <c r="AC12" s="57">
        <v>31045710</v>
      </c>
    </row>
    <row r="13" spans="1:40" x14ac:dyDescent="0.25">
      <c r="E13" s="56" t="s">
        <v>97</v>
      </c>
      <c r="F13" s="57">
        <v>107588290</v>
      </c>
      <c r="H13" s="56" t="s">
        <v>97</v>
      </c>
      <c r="I13" s="57">
        <v>107588290</v>
      </c>
      <c r="J13" s="57">
        <v>192</v>
      </c>
      <c r="K13" s="59">
        <f t="shared" si="0"/>
        <v>560355.67708333337</v>
      </c>
      <c r="AB13" s="56" t="s">
        <v>110</v>
      </c>
      <c r="AC13" s="57">
        <v>29417960</v>
      </c>
    </row>
    <row r="14" spans="1:40" x14ac:dyDescent="0.25">
      <c r="E14" s="56" t="s">
        <v>784</v>
      </c>
      <c r="F14" s="57">
        <v>1139661950</v>
      </c>
      <c r="H14" s="56" t="s">
        <v>784</v>
      </c>
      <c r="I14" s="57">
        <v>1139661950</v>
      </c>
      <c r="J14" s="57">
        <v>2000</v>
      </c>
      <c r="K14" s="60">
        <f>I14/J14</f>
        <v>569830.97499999998</v>
      </c>
      <c r="AB14" s="56" t="s">
        <v>118</v>
      </c>
      <c r="AC14" s="57">
        <v>28717065</v>
      </c>
    </row>
    <row r="15" spans="1:40" x14ac:dyDescent="0.25">
      <c r="AB15" s="56" t="s">
        <v>190</v>
      </c>
      <c r="AC15" s="57">
        <v>26671475</v>
      </c>
      <c r="AI15" t="s">
        <v>813</v>
      </c>
      <c r="AJ15" t="s">
        <v>814</v>
      </c>
      <c r="AK15" t="s">
        <v>815</v>
      </c>
      <c r="AL15" t="s">
        <v>816</v>
      </c>
      <c r="AM15" t="s">
        <v>817</v>
      </c>
      <c r="AN15" t="s">
        <v>818</v>
      </c>
    </row>
    <row r="16" spans="1:40" x14ac:dyDescent="0.25">
      <c r="AB16" s="56" t="s">
        <v>165</v>
      </c>
      <c r="AC16" s="57">
        <v>25237715</v>
      </c>
      <c r="AI16">
        <v>10000</v>
      </c>
      <c r="AJ16">
        <v>20000</v>
      </c>
      <c r="AK16">
        <v>15000</v>
      </c>
      <c r="AL16">
        <v>8000</v>
      </c>
      <c r="AM16">
        <v>9000</v>
      </c>
      <c r="AN16">
        <v>16000</v>
      </c>
    </row>
    <row r="17" spans="1:29" x14ac:dyDescent="0.25">
      <c r="A17" s="55" t="s">
        <v>789</v>
      </c>
      <c r="B17" t="s">
        <v>785</v>
      </c>
      <c r="M17" s="55" t="s">
        <v>812</v>
      </c>
      <c r="N17" t="s">
        <v>785</v>
      </c>
      <c r="X17" t="s">
        <v>785</v>
      </c>
      <c r="AB17" s="56" t="s">
        <v>122</v>
      </c>
      <c r="AC17" s="57">
        <v>24004125</v>
      </c>
    </row>
    <row r="18" spans="1:29" x14ac:dyDescent="0.25">
      <c r="A18" s="56" t="s">
        <v>84</v>
      </c>
      <c r="B18" s="57">
        <v>61509630</v>
      </c>
      <c r="M18" s="56" t="s">
        <v>800</v>
      </c>
      <c r="N18" s="57">
        <v>78554965</v>
      </c>
      <c r="R18" s="55" t="s">
        <v>819</v>
      </c>
      <c r="S18" t="s">
        <v>787</v>
      </c>
      <c r="X18" s="57">
        <v>1139661950</v>
      </c>
      <c r="AB18" s="56" t="s">
        <v>75</v>
      </c>
      <c r="AC18" s="57">
        <v>21172765</v>
      </c>
    </row>
    <row r="19" spans="1:29" x14ac:dyDescent="0.25">
      <c r="A19" s="56" t="s">
        <v>102</v>
      </c>
      <c r="B19" s="57">
        <v>84003965</v>
      </c>
      <c r="E19" s="55" t="s">
        <v>786</v>
      </c>
      <c r="F19" t="s">
        <v>785</v>
      </c>
      <c r="G19" t="s">
        <v>787</v>
      </c>
      <c r="M19" s="56" t="s">
        <v>801</v>
      </c>
      <c r="N19" s="57">
        <v>78748575</v>
      </c>
      <c r="R19" s="56">
        <v>2024</v>
      </c>
      <c r="S19" s="57">
        <v>1039</v>
      </c>
      <c r="AB19" s="56" t="s">
        <v>206</v>
      </c>
      <c r="AC19" s="57">
        <v>17182020</v>
      </c>
    </row>
    <row r="20" spans="1:29" x14ac:dyDescent="0.25">
      <c r="A20" s="56" t="s">
        <v>74</v>
      </c>
      <c r="B20" s="57">
        <v>161036695</v>
      </c>
      <c r="E20" s="56" t="s">
        <v>73</v>
      </c>
      <c r="F20" s="57">
        <v>262620540</v>
      </c>
      <c r="G20" s="57">
        <v>371</v>
      </c>
      <c r="M20" s="56" t="s">
        <v>802</v>
      </c>
      <c r="N20" s="57">
        <v>121384040</v>
      </c>
      <c r="R20" s="56">
        <v>2023</v>
      </c>
      <c r="S20" s="57">
        <v>961</v>
      </c>
      <c r="AB20" s="56" t="s">
        <v>142</v>
      </c>
      <c r="AC20" s="57">
        <v>16604455</v>
      </c>
    </row>
    <row r="21" spans="1:29" x14ac:dyDescent="0.25">
      <c r="A21" s="56" t="s">
        <v>79</v>
      </c>
      <c r="B21" s="57">
        <v>323926160</v>
      </c>
      <c r="E21" s="56" t="s">
        <v>93</v>
      </c>
      <c r="F21" s="57">
        <v>237491675</v>
      </c>
      <c r="G21" s="57">
        <v>386</v>
      </c>
      <c r="M21" s="56" t="s">
        <v>803</v>
      </c>
      <c r="N21" s="57">
        <v>77021470</v>
      </c>
      <c r="R21" s="56" t="s">
        <v>784</v>
      </c>
      <c r="S21" s="57">
        <v>2000</v>
      </c>
      <c r="AB21" s="56" t="s">
        <v>157</v>
      </c>
      <c r="AC21" s="57">
        <v>15597765</v>
      </c>
    </row>
    <row r="22" spans="1:29" x14ac:dyDescent="0.25">
      <c r="A22" s="56" t="s">
        <v>111</v>
      </c>
      <c r="B22" s="57">
        <v>509185500</v>
      </c>
      <c r="E22" s="56" t="s">
        <v>703</v>
      </c>
      <c r="F22" s="57">
        <v>34223660</v>
      </c>
      <c r="G22" s="57">
        <v>47</v>
      </c>
      <c r="M22" s="56" t="s">
        <v>804</v>
      </c>
      <c r="N22" s="57">
        <v>108799130</v>
      </c>
      <c r="AB22" s="56" t="s">
        <v>134</v>
      </c>
      <c r="AC22" s="57">
        <v>13652020</v>
      </c>
    </row>
    <row r="23" spans="1:29" x14ac:dyDescent="0.25">
      <c r="A23" s="56" t="s">
        <v>784</v>
      </c>
      <c r="B23" s="57">
        <v>1139661950</v>
      </c>
      <c r="E23" s="56" t="s">
        <v>83</v>
      </c>
      <c r="F23" s="57">
        <v>211356405</v>
      </c>
      <c r="G23" s="57">
        <v>410</v>
      </c>
      <c r="M23" s="56" t="s">
        <v>805</v>
      </c>
      <c r="N23" s="57">
        <v>81704725</v>
      </c>
      <c r="AB23" s="56" t="s">
        <v>159</v>
      </c>
      <c r="AC23" s="57">
        <v>13138335</v>
      </c>
    </row>
    <row r="24" spans="1:29" x14ac:dyDescent="0.25">
      <c r="E24" s="56" t="s">
        <v>109</v>
      </c>
      <c r="F24" s="57">
        <v>202374380</v>
      </c>
      <c r="G24" s="57">
        <v>411</v>
      </c>
      <c r="M24" s="56" t="s">
        <v>806</v>
      </c>
      <c r="N24" s="57">
        <v>96210585</v>
      </c>
      <c r="S24" t="s">
        <v>787</v>
      </c>
      <c r="AB24" s="56" t="s">
        <v>80</v>
      </c>
      <c r="AC24" s="57">
        <v>10509415</v>
      </c>
    </row>
    <row r="25" spans="1:29" x14ac:dyDescent="0.25">
      <c r="E25" s="56" t="s">
        <v>117</v>
      </c>
      <c r="F25" s="57">
        <v>191595290</v>
      </c>
      <c r="G25" s="57">
        <v>375</v>
      </c>
      <c r="M25" s="56" t="s">
        <v>807</v>
      </c>
      <c r="N25" s="57">
        <v>66238655</v>
      </c>
      <c r="S25" s="57">
        <v>2000</v>
      </c>
      <c r="AB25" s="56" t="s">
        <v>132</v>
      </c>
      <c r="AC25" s="57">
        <v>10422595</v>
      </c>
    </row>
    <row r="26" spans="1:29" x14ac:dyDescent="0.25">
      <c r="E26" s="56" t="s">
        <v>784</v>
      </c>
      <c r="F26" s="57">
        <v>1139661950</v>
      </c>
      <c r="G26" s="57">
        <v>2000</v>
      </c>
      <c r="M26" s="56" t="s">
        <v>808</v>
      </c>
      <c r="N26" s="57">
        <v>106010820</v>
      </c>
      <c r="AB26" s="56" t="s">
        <v>120</v>
      </c>
      <c r="AC26" s="57">
        <v>9028335</v>
      </c>
    </row>
    <row r="27" spans="1:29" x14ac:dyDescent="0.25">
      <c r="M27" s="56" t="s">
        <v>809</v>
      </c>
      <c r="N27" s="57">
        <v>133870590</v>
      </c>
      <c r="AB27" s="56" t="s">
        <v>103</v>
      </c>
      <c r="AC27" s="57">
        <v>8962030</v>
      </c>
    </row>
    <row r="28" spans="1:29" x14ac:dyDescent="0.25">
      <c r="M28" s="56" t="s">
        <v>810</v>
      </c>
      <c r="N28" s="57">
        <v>95173780</v>
      </c>
      <c r="AB28" s="56" t="s">
        <v>115</v>
      </c>
      <c r="AC28" s="57">
        <v>8885440</v>
      </c>
    </row>
    <row r="29" spans="1:29" x14ac:dyDescent="0.25">
      <c r="M29" s="56" t="s">
        <v>811</v>
      </c>
      <c r="N29" s="57">
        <v>95944615</v>
      </c>
      <c r="AB29" s="56" t="s">
        <v>151</v>
      </c>
      <c r="AC29" s="57">
        <v>8746670</v>
      </c>
    </row>
    <row r="30" spans="1:29" x14ac:dyDescent="0.25">
      <c r="A30" s="55" t="s">
        <v>786</v>
      </c>
      <c r="B30" t="s">
        <v>793</v>
      </c>
      <c r="C30" t="s">
        <v>785</v>
      </c>
      <c r="M30" s="56" t="s">
        <v>784</v>
      </c>
      <c r="N30" s="57">
        <v>1139661950</v>
      </c>
      <c r="AB30" s="56" t="s">
        <v>138</v>
      </c>
      <c r="AC30" s="57">
        <v>8474500</v>
      </c>
    </row>
    <row r="31" spans="1:29" x14ac:dyDescent="0.25">
      <c r="A31" s="56" t="s">
        <v>73</v>
      </c>
      <c r="B31" s="57">
        <v>371</v>
      </c>
      <c r="C31" s="57">
        <v>262620540</v>
      </c>
      <c r="AB31" s="56" t="s">
        <v>212</v>
      </c>
      <c r="AC31" s="57">
        <v>8202175</v>
      </c>
    </row>
    <row r="32" spans="1:29" x14ac:dyDescent="0.25">
      <c r="A32" s="56" t="s">
        <v>93</v>
      </c>
      <c r="B32" s="57">
        <v>386</v>
      </c>
      <c r="C32" s="57">
        <v>237491675</v>
      </c>
      <c r="AB32" s="56" t="s">
        <v>148</v>
      </c>
      <c r="AC32" s="57">
        <v>7055745</v>
      </c>
    </row>
    <row r="33" spans="1:29" x14ac:dyDescent="0.25">
      <c r="A33" s="56" t="s">
        <v>703</v>
      </c>
      <c r="B33" s="57">
        <v>47</v>
      </c>
      <c r="C33" s="57">
        <v>34223660</v>
      </c>
      <c r="AB33" s="56" t="s">
        <v>181</v>
      </c>
      <c r="AC33" s="57">
        <v>6258550</v>
      </c>
    </row>
    <row r="34" spans="1:29" x14ac:dyDescent="0.25">
      <c r="A34" s="56" t="s">
        <v>83</v>
      </c>
      <c r="B34" s="57">
        <v>410</v>
      </c>
      <c r="C34" s="57">
        <v>211356405</v>
      </c>
      <c r="AB34" s="56" t="s">
        <v>85</v>
      </c>
      <c r="AC34" s="57">
        <v>6103520</v>
      </c>
    </row>
    <row r="35" spans="1:29" x14ac:dyDescent="0.25">
      <c r="A35" s="56" t="s">
        <v>109</v>
      </c>
      <c r="B35" s="57">
        <v>411</v>
      </c>
      <c r="C35" s="57">
        <v>202374380</v>
      </c>
      <c r="AB35" s="56" t="s">
        <v>140</v>
      </c>
      <c r="AC35" s="57">
        <v>5967405</v>
      </c>
    </row>
    <row r="36" spans="1:29" x14ac:dyDescent="0.25">
      <c r="A36" s="56" t="s">
        <v>117</v>
      </c>
      <c r="B36" s="57">
        <v>375</v>
      </c>
      <c r="C36" s="57">
        <v>191595290</v>
      </c>
      <c r="AB36" s="56" t="s">
        <v>128</v>
      </c>
      <c r="AC36" s="57">
        <v>5382385</v>
      </c>
    </row>
    <row r="37" spans="1:29" x14ac:dyDescent="0.25">
      <c r="A37" s="56" t="s">
        <v>784</v>
      </c>
      <c r="B37" s="57">
        <v>2000</v>
      </c>
      <c r="C37" s="57">
        <v>1139661950</v>
      </c>
      <c r="AB37" s="56" t="s">
        <v>99</v>
      </c>
      <c r="AC37" s="57">
        <v>5370505</v>
      </c>
    </row>
    <row r="38" spans="1:29" x14ac:dyDescent="0.25">
      <c r="AB38" s="56" t="s">
        <v>150</v>
      </c>
      <c r="AC38" s="57">
        <v>5050595</v>
      </c>
    </row>
    <row r="39" spans="1:29" x14ac:dyDescent="0.25">
      <c r="AB39" s="56" t="s">
        <v>197</v>
      </c>
      <c r="AC39" s="57">
        <v>4313485</v>
      </c>
    </row>
    <row r="40" spans="1:29" x14ac:dyDescent="0.25">
      <c r="AB40" s="56" t="s">
        <v>200</v>
      </c>
      <c r="AC40" s="57">
        <v>3932115</v>
      </c>
    </row>
    <row r="41" spans="1:29" x14ac:dyDescent="0.25">
      <c r="AB41" s="56" t="s">
        <v>90</v>
      </c>
      <c r="AC41" s="57">
        <v>3151230</v>
      </c>
    </row>
    <row r="42" spans="1:29" x14ac:dyDescent="0.25">
      <c r="AB42" s="56" t="s">
        <v>179</v>
      </c>
      <c r="AC42" s="57">
        <v>2741180</v>
      </c>
    </row>
    <row r="43" spans="1:29" x14ac:dyDescent="0.25">
      <c r="A43" s="55" t="s">
        <v>786</v>
      </c>
      <c r="B43" t="s">
        <v>785</v>
      </c>
      <c r="AB43" s="56" t="s">
        <v>137</v>
      </c>
      <c r="AC43" s="57">
        <v>2233005</v>
      </c>
    </row>
    <row r="44" spans="1:29" x14ac:dyDescent="0.25">
      <c r="A44" s="56" t="s">
        <v>73</v>
      </c>
      <c r="B44" s="57">
        <v>262620540</v>
      </c>
      <c r="AB44" s="56" t="s">
        <v>784</v>
      </c>
      <c r="AC44" s="57">
        <v>1139661950</v>
      </c>
    </row>
    <row r="45" spans="1:29" x14ac:dyDescent="0.25">
      <c r="A45" s="56" t="s">
        <v>93</v>
      </c>
      <c r="B45" s="57">
        <v>237491675</v>
      </c>
    </row>
    <row r="46" spans="1:29" x14ac:dyDescent="0.25">
      <c r="A46" s="56" t="s">
        <v>83</v>
      </c>
      <c r="B46" s="57">
        <v>211356405</v>
      </c>
    </row>
    <row r="47" spans="1:29" x14ac:dyDescent="0.25">
      <c r="A47" s="56" t="s">
        <v>109</v>
      </c>
      <c r="B47" s="57">
        <v>202374380</v>
      </c>
    </row>
    <row r="48" spans="1:29" x14ac:dyDescent="0.25">
      <c r="A48" s="56" t="s">
        <v>117</v>
      </c>
      <c r="B48" s="57">
        <v>191595290</v>
      </c>
    </row>
    <row r="49" spans="1:2" x14ac:dyDescent="0.25">
      <c r="A49" s="56" t="s">
        <v>703</v>
      </c>
      <c r="B49" s="57">
        <v>34223660</v>
      </c>
    </row>
    <row r="50" spans="1:2" x14ac:dyDescent="0.25">
      <c r="A50" s="56" t="s">
        <v>784</v>
      </c>
      <c r="B50" s="57">
        <v>1139661950</v>
      </c>
    </row>
  </sheetData>
  <mergeCells count="1">
    <mergeCell ref="AE3:AF3"/>
  </mergeCells>
  <phoneticPr fontId="25" type="noConversion"/>
  <conditionalFormatting pivot="1" sqref="AC4:AC43">
    <cfRule type="cellIs" dxfId="50" priority="1" operator="greaterThan">
      <formula>$AC$9</formula>
    </cfRule>
  </conditionalFormatting>
  <pageMargins left="0.7" right="0.7" top="0.75" bottom="0.75" header="0.3" footer="0.3"/>
  <drawing r:id="rId16"/>
  <tableParts count="1">
    <tablePart r:id="rId17"/>
  </tableParts>
  <extLst>
    <ext xmlns:x14="http://schemas.microsoft.com/office/spreadsheetml/2009/9/main" uri="{A8765BA9-456A-4dab-B4F3-ACF838C121DE}">
      <x14:slicerList>
        <x14:slicer r:id="rId18"/>
      </x14:slicerList>
    </ext>
    <ext xmlns:x15="http://schemas.microsoft.com/office/spreadsheetml/2010/11/main" uri="{7E03D99C-DC04-49d9-9315-930204A7B6E9}">
      <x15:timelineRefs>
        <x15:timelineRef r:id="rId19"/>
      </x15:timeline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A237E"/>
  </sheetPr>
  <dimension ref="A1:AJ37"/>
  <sheetViews>
    <sheetView showGridLines="0" tabSelected="1" topLeftCell="M1" zoomScale="98" zoomScaleNormal="80" workbookViewId="0">
      <selection activeCell="N8" sqref="N8:P8"/>
    </sheetView>
  </sheetViews>
  <sheetFormatPr baseColWidth="10" defaultColWidth="8.7109375" defaultRowHeight="15" x14ac:dyDescent="0.25"/>
  <cols>
    <col min="1" max="1" width="3" customWidth="1"/>
    <col min="2" max="2" width="14.42578125" bestFit="1" customWidth="1"/>
    <col min="3" max="3" width="28.28515625" bestFit="1" customWidth="1"/>
    <col min="4" max="4" width="17.7109375" bestFit="1" customWidth="1"/>
    <col min="36" max="36" width="13.140625" bestFit="1" customWidth="1"/>
    <col min="37" max="37" width="29.5703125" bestFit="1" customWidth="1"/>
    <col min="38" max="38" width="18.42578125" bestFit="1" customWidth="1"/>
  </cols>
  <sheetData>
    <row r="1" spans="1:36" x14ac:dyDescent="0.25">
      <c r="A1" s="95" t="s">
        <v>831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1" t="s">
        <v>832</v>
      </c>
      <c r="AH1" s="91"/>
      <c r="AI1" s="91"/>
      <c r="AJ1" s="91"/>
    </row>
    <row r="2" spans="1:36" ht="49.5" customHeight="1" x14ac:dyDescent="0.25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1"/>
      <c r="AH2" s="91"/>
      <c r="AI2" s="91"/>
      <c r="AJ2" s="91"/>
    </row>
    <row r="3" spans="1:36" ht="21" x14ac:dyDescent="0.35">
      <c r="A3" s="97">
        <f ca="1">TODAY()</f>
        <v>46257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</row>
    <row r="4" spans="1:36" ht="30" customHeight="1" x14ac:dyDescent="0.25">
      <c r="B4" s="92">
        <f>GETPIVOTDATA("CA_Net",'📊 TCD'!$X$17)</f>
        <v>1139661950</v>
      </c>
      <c r="C4" s="92"/>
      <c r="D4" s="92"/>
      <c r="E4" s="42"/>
      <c r="F4" s="94">
        <f>GETPIVOTDATA("ID_Commande",'📊 TCD'!$S$24)</f>
        <v>2000</v>
      </c>
      <c r="G4" s="94"/>
      <c r="H4" s="94"/>
      <c r="I4" s="54"/>
      <c r="J4" s="99">
        <f>B4/F4</f>
        <v>569830.97499999998</v>
      </c>
      <c r="K4" s="99"/>
      <c r="L4" s="99"/>
      <c r="N4" s="100">
        <f>_xlfn.XLOOKUP("Livré",'📊 TCD'!T4:T7,'📊 TCD'!U4:U7)/F4</f>
        <v>0.65149999999999997</v>
      </c>
      <c r="O4" s="100"/>
      <c r="P4" s="100"/>
      <c r="R4" s="99" t="str">
        <f>'📊 TCD'!A44</f>
        <v>Dakar</v>
      </c>
      <c r="S4" s="99"/>
      <c r="T4" s="99"/>
    </row>
    <row r="5" spans="1:36" x14ac:dyDescent="0.25">
      <c r="B5" s="92"/>
      <c r="C5" s="92"/>
      <c r="D5" s="92"/>
      <c r="F5" s="94"/>
      <c r="G5" s="94"/>
      <c r="H5" s="94"/>
      <c r="J5" s="99"/>
      <c r="K5" s="99"/>
      <c r="L5" s="99"/>
      <c r="N5" s="100"/>
      <c r="O5" s="100"/>
      <c r="P5" s="100"/>
      <c r="R5" s="99"/>
      <c r="S5" s="99"/>
      <c r="T5" s="99"/>
    </row>
    <row r="6" spans="1:36" x14ac:dyDescent="0.25">
      <c r="B6" s="92"/>
      <c r="C6" s="92"/>
      <c r="D6" s="92"/>
      <c r="F6" s="94"/>
      <c r="G6" s="94"/>
      <c r="H6" s="94"/>
      <c r="J6" s="99"/>
      <c r="K6" s="99"/>
      <c r="L6" s="99"/>
      <c r="N6" s="100"/>
      <c r="O6" s="100"/>
      <c r="P6" s="100"/>
      <c r="R6" s="99"/>
      <c r="S6" s="99"/>
      <c r="T6" s="99"/>
    </row>
    <row r="7" spans="1:36" x14ac:dyDescent="0.25">
      <c r="B7" s="92"/>
      <c r="C7" s="92"/>
      <c r="D7" s="92"/>
      <c r="F7" s="94"/>
      <c r="G7" s="94"/>
      <c r="H7" s="94"/>
      <c r="J7" s="99"/>
      <c r="K7" s="99"/>
      <c r="L7" s="99"/>
      <c r="N7" s="100"/>
      <c r="O7" s="100"/>
      <c r="P7" s="100"/>
      <c r="R7" s="99"/>
      <c r="S7" s="99"/>
      <c r="T7" s="99"/>
    </row>
    <row r="8" spans="1:36" x14ac:dyDescent="0.25">
      <c r="B8" s="93" t="s">
        <v>826</v>
      </c>
      <c r="C8" s="93"/>
      <c r="D8" s="93"/>
      <c r="F8" s="93" t="s">
        <v>827</v>
      </c>
      <c r="G8" s="93"/>
      <c r="H8" s="93"/>
      <c r="J8" s="93" t="s">
        <v>828</v>
      </c>
      <c r="K8" s="93"/>
      <c r="L8" s="93"/>
      <c r="N8" s="101" t="s">
        <v>829</v>
      </c>
      <c r="O8" s="101"/>
      <c r="P8" s="101"/>
      <c r="R8" s="102" t="s">
        <v>830</v>
      </c>
      <c r="S8" s="103"/>
      <c r="T8" s="103"/>
    </row>
    <row r="30" spans="2:4" x14ac:dyDescent="0.25">
      <c r="B30" s="55" t="s">
        <v>786</v>
      </c>
      <c r="C30" t="s">
        <v>793</v>
      </c>
      <c r="D30" t="s">
        <v>785</v>
      </c>
    </row>
    <row r="31" spans="2:4" x14ac:dyDescent="0.25">
      <c r="B31" s="56" t="s">
        <v>73</v>
      </c>
      <c r="C31" s="57">
        <v>371</v>
      </c>
      <c r="D31" s="57">
        <v>262620540</v>
      </c>
    </row>
    <row r="32" spans="2:4" x14ac:dyDescent="0.25">
      <c r="B32" s="56" t="s">
        <v>93</v>
      </c>
      <c r="C32" s="57">
        <v>386</v>
      </c>
      <c r="D32" s="57">
        <v>237491675</v>
      </c>
    </row>
    <row r="33" spans="2:4" x14ac:dyDescent="0.25">
      <c r="B33" s="56" t="s">
        <v>83</v>
      </c>
      <c r="C33" s="57">
        <v>410</v>
      </c>
      <c r="D33" s="57">
        <v>211356405</v>
      </c>
    </row>
    <row r="34" spans="2:4" x14ac:dyDescent="0.25">
      <c r="B34" s="56" t="s">
        <v>109</v>
      </c>
      <c r="C34" s="57">
        <v>411</v>
      </c>
      <c r="D34" s="57">
        <v>202374380</v>
      </c>
    </row>
    <row r="35" spans="2:4" x14ac:dyDescent="0.25">
      <c r="B35" s="56" t="s">
        <v>117</v>
      </c>
      <c r="C35" s="57">
        <v>375</v>
      </c>
      <c r="D35" s="57">
        <v>191595290</v>
      </c>
    </row>
    <row r="36" spans="2:4" x14ac:dyDescent="0.25">
      <c r="B36" s="56" t="s">
        <v>703</v>
      </c>
      <c r="C36" s="57">
        <v>47</v>
      </c>
      <c r="D36" s="57">
        <v>34223660</v>
      </c>
    </row>
    <row r="37" spans="2:4" x14ac:dyDescent="0.25">
      <c r="B37" s="56" t="s">
        <v>784</v>
      </c>
      <c r="C37" s="57">
        <v>2000</v>
      </c>
      <c r="D37" s="57">
        <v>1139661950</v>
      </c>
    </row>
  </sheetData>
  <mergeCells count="13">
    <mergeCell ref="AG1:AJ2"/>
    <mergeCell ref="B4:D7"/>
    <mergeCell ref="B8:D8"/>
    <mergeCell ref="F4:H7"/>
    <mergeCell ref="F8:H8"/>
    <mergeCell ref="A1:AF2"/>
    <mergeCell ref="A3:AF3"/>
    <mergeCell ref="J4:L7"/>
    <mergeCell ref="J8:L8"/>
    <mergeCell ref="N4:P7"/>
    <mergeCell ref="R4:T7"/>
    <mergeCell ref="N8:P8"/>
    <mergeCell ref="R8:T8"/>
  </mergeCells>
  <pageMargins left="0.75" right="0.75" top="1" bottom="1" header="0.511811023622047" footer="0.511811023622047"/>
  <pageSetup paperSize="9" orientation="portrait" horizontalDpi="300" verticalDpi="30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🗂️ Données_v1</vt:lpstr>
      <vt:lpstr>Résumé_Nettoyage</vt:lpstr>
      <vt:lpstr>📋 README</vt:lpstr>
      <vt:lpstr>🗂️ Données_Brutes</vt:lpstr>
      <vt:lpstr>Fiche_Audit</vt:lpstr>
      <vt:lpstr>✅ Données_Propres</vt:lpstr>
      <vt:lpstr>📊 Analyse</vt:lpstr>
      <vt:lpstr>🔄 TCD</vt:lpstr>
      <vt:lpstr>📈 Graphiques</vt:lpstr>
      <vt:lpstr>📊 TCD</vt:lpstr>
      <vt:lpstr>🏆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FATOUMATA SOUARE</cp:lastModifiedBy>
  <cp:revision>0</cp:revision>
  <dcterms:created xsi:type="dcterms:W3CDTF">2026-03-06T17:47:12Z</dcterms:created>
  <dcterms:modified xsi:type="dcterms:W3CDTF">2026-08-23T01:00:00Z</dcterms:modified>
  <dc:language>en-US</dc:language>
</cp:coreProperties>
</file>